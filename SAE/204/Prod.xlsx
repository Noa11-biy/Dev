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oamo\Documents\SAE 204\"/>
    </mc:Choice>
  </mc:AlternateContent>
  <xr:revisionPtr revIDLastSave="0" documentId="13_ncr:1_{5EC14B16-3CF8-473D-B678-7ED83118CC1F}" xr6:coauthVersionLast="47" xr6:coauthVersionMax="47" xr10:uidLastSave="{00000000-0000-0000-0000-000000000000}"/>
  <bookViews>
    <workbookView xWindow="28680" yWindow="-120" windowWidth="29040" windowHeight="15720" activeTab="4" xr2:uid="{813B8257-3B85-42D3-B728-D4942C2AD735}"/>
  </bookViews>
  <sheets>
    <sheet name="_4_2_Synthese_Electricite_2026_" sheetId="2" r:id="rId1"/>
    <sheet name="Production" sheetId="1" r:id="rId2"/>
    <sheet name="Stats_1var" sheetId="3" r:id="rId3"/>
    <sheet name="Saisonnalite" sheetId="5" r:id="rId4"/>
    <sheet name="Graphiques" sheetId="6" r:id="rId5"/>
  </sheets>
  <definedNames>
    <definedName name="DonnéesExternes_1" localSheetId="0" hidden="1">_4_2_Synthese_Electricite_2026_!$A$1:$N$557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B41" i="6"/>
  <c r="E10" i="3"/>
  <c r="E9" i="3"/>
  <c r="E8" i="3"/>
  <c r="E7" i="3"/>
  <c r="E5" i="3"/>
  <c r="E6" i="3"/>
  <c r="E4" i="3"/>
  <c r="E3" i="3"/>
  <c r="E2" i="3"/>
  <c r="J3" i="1"/>
  <c r="J4" i="1"/>
  <c r="J5" i="1"/>
  <c r="J6" i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J17" i="1"/>
  <c r="J18" i="1"/>
  <c r="K18" i="1" s="1"/>
  <c r="J19" i="1"/>
  <c r="J20" i="1"/>
  <c r="J21" i="1"/>
  <c r="J22" i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J32" i="1"/>
  <c r="J33" i="1"/>
  <c r="J34" i="1"/>
  <c r="K34" i="1" s="1"/>
  <c r="J35" i="1"/>
  <c r="J36" i="1"/>
  <c r="J37" i="1"/>
  <c r="J38" i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J48" i="1"/>
  <c r="J49" i="1"/>
  <c r="J50" i="1"/>
  <c r="K50" i="1" s="1"/>
  <c r="J51" i="1"/>
  <c r="J52" i="1"/>
  <c r="J53" i="1"/>
  <c r="J54" i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J64" i="1"/>
  <c r="J65" i="1"/>
  <c r="J66" i="1"/>
  <c r="K66" i="1" s="1"/>
  <c r="J67" i="1"/>
  <c r="J68" i="1"/>
  <c r="J69" i="1"/>
  <c r="J70" i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J80" i="1"/>
  <c r="J81" i="1"/>
  <c r="J82" i="1"/>
  <c r="K82" i="1" s="1"/>
  <c r="J83" i="1"/>
  <c r="J84" i="1"/>
  <c r="J85" i="1"/>
  <c r="J86" i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J96" i="1"/>
  <c r="J97" i="1"/>
  <c r="J98" i="1"/>
  <c r="K98" i="1" s="1"/>
  <c r="J99" i="1"/>
  <c r="J100" i="1"/>
  <c r="J101" i="1"/>
  <c r="J102" i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J112" i="1"/>
  <c r="J113" i="1"/>
  <c r="J114" i="1"/>
  <c r="K114" i="1" s="1"/>
  <c r="J115" i="1"/>
  <c r="J116" i="1"/>
  <c r="J117" i="1"/>
  <c r="J118" i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J128" i="1"/>
  <c r="J129" i="1"/>
  <c r="J130" i="1"/>
  <c r="K130" i="1" s="1"/>
  <c r="J131" i="1"/>
  <c r="J132" i="1"/>
  <c r="J133" i="1"/>
  <c r="J134" i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J144" i="1"/>
  <c r="J145" i="1"/>
  <c r="J146" i="1"/>
  <c r="K146" i="1" s="1"/>
  <c r="J147" i="1"/>
  <c r="J148" i="1"/>
  <c r="J149" i="1"/>
  <c r="J150" i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J160" i="1"/>
  <c r="J161" i="1"/>
  <c r="J162" i="1"/>
  <c r="K162" i="1" s="1"/>
  <c r="J163" i="1"/>
  <c r="J164" i="1"/>
  <c r="J165" i="1"/>
  <c r="J166" i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J176" i="1"/>
  <c r="J177" i="1"/>
  <c r="J178" i="1"/>
  <c r="K178" i="1" s="1"/>
  <c r="J179" i="1"/>
  <c r="J180" i="1"/>
  <c r="J181" i="1"/>
  <c r="J182" i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J192" i="1"/>
  <c r="J193" i="1"/>
  <c r="J194" i="1"/>
  <c r="K194" i="1" s="1"/>
  <c r="J195" i="1"/>
  <c r="J196" i="1"/>
  <c r="J197" i="1"/>
  <c r="J198" i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" i="1"/>
  <c r="K2" i="1"/>
  <c r="K3" i="1"/>
  <c r="K4" i="1"/>
  <c r="K5" i="1"/>
  <c r="K6" i="1"/>
  <c r="K15" i="1"/>
  <c r="K16" i="1"/>
  <c r="K17" i="1"/>
  <c r="K19" i="1"/>
  <c r="K20" i="1"/>
  <c r="K21" i="1"/>
  <c r="K22" i="1"/>
  <c r="K31" i="1"/>
  <c r="K32" i="1"/>
  <c r="K33" i="1"/>
  <c r="K35" i="1"/>
  <c r="K36" i="1"/>
  <c r="K37" i="1"/>
  <c r="K38" i="1"/>
  <c r="K47" i="1"/>
  <c r="K48" i="1"/>
  <c r="K49" i="1"/>
  <c r="K51" i="1"/>
  <c r="K52" i="1"/>
  <c r="K53" i="1"/>
  <c r="K54" i="1"/>
  <c r="K63" i="1"/>
  <c r="K64" i="1"/>
  <c r="K65" i="1"/>
  <c r="K67" i="1"/>
  <c r="K68" i="1"/>
  <c r="K69" i="1"/>
  <c r="K70" i="1"/>
  <c r="K79" i="1"/>
  <c r="K80" i="1"/>
  <c r="K81" i="1"/>
  <c r="K83" i="1"/>
  <c r="K84" i="1"/>
  <c r="K85" i="1"/>
  <c r="K86" i="1"/>
  <c r="K95" i="1"/>
  <c r="K96" i="1"/>
  <c r="K97" i="1"/>
  <c r="K99" i="1"/>
  <c r="K100" i="1"/>
  <c r="K101" i="1"/>
  <c r="K102" i="1"/>
  <c r="K111" i="1"/>
  <c r="K112" i="1"/>
  <c r="K113" i="1"/>
  <c r="K115" i="1"/>
  <c r="K116" i="1"/>
  <c r="K117" i="1"/>
  <c r="K118" i="1"/>
  <c r="K127" i="1"/>
  <c r="K128" i="1"/>
  <c r="K129" i="1"/>
  <c r="K131" i="1"/>
  <c r="K132" i="1"/>
  <c r="K133" i="1"/>
  <c r="K134" i="1"/>
  <c r="K143" i="1"/>
  <c r="K144" i="1"/>
  <c r="K145" i="1"/>
  <c r="K147" i="1"/>
  <c r="K148" i="1"/>
  <c r="K149" i="1"/>
  <c r="K150" i="1"/>
  <c r="K159" i="1"/>
  <c r="K160" i="1"/>
  <c r="K161" i="1"/>
  <c r="K163" i="1"/>
  <c r="K164" i="1"/>
  <c r="K165" i="1"/>
  <c r="K166" i="1"/>
  <c r="K175" i="1"/>
  <c r="K176" i="1"/>
  <c r="K177" i="1"/>
  <c r="K179" i="1"/>
  <c r="K180" i="1"/>
  <c r="K181" i="1"/>
  <c r="K182" i="1"/>
  <c r="K191" i="1"/>
  <c r="K192" i="1"/>
  <c r="K193" i="1"/>
  <c r="K195" i="1"/>
  <c r="K196" i="1"/>
  <c r="K197" i="1"/>
  <c r="K19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E2" i="1"/>
  <c r="B44" i="6"/>
  <c r="B43" i="6"/>
  <c r="B42" i="6"/>
  <c r="C10" i="3"/>
  <c r="D10" i="3"/>
  <c r="B10" i="3"/>
  <c r="C9" i="3"/>
  <c r="D9" i="3"/>
  <c r="B9" i="3"/>
  <c r="C8" i="3"/>
  <c r="D8" i="3"/>
  <c r="B8" i="3"/>
  <c r="C7" i="3"/>
  <c r="D7" i="3"/>
  <c r="B7" i="3"/>
  <c r="C6" i="3"/>
  <c r="D6" i="3"/>
  <c r="B6" i="3"/>
  <c r="C5" i="3"/>
  <c r="D5" i="3"/>
  <c r="B5" i="3"/>
  <c r="C4" i="3"/>
  <c r="D4" i="3"/>
  <c r="B4" i="3"/>
  <c r="C3" i="3"/>
  <c r="D3" i="3"/>
  <c r="B3" i="3"/>
  <c r="C2" i="3"/>
  <c r="D2" i="3"/>
  <c r="B2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L169" i="1" s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L116" i="1" l="1"/>
  <c r="L86" i="1"/>
  <c r="L35" i="1"/>
  <c r="L163" i="1"/>
  <c r="L185" i="1"/>
  <c r="L137" i="1"/>
  <c r="L121" i="1"/>
  <c r="L41" i="1"/>
  <c r="L25" i="1"/>
  <c r="L201" i="1"/>
  <c r="L153" i="1"/>
  <c r="L89" i="1"/>
  <c r="L73" i="1"/>
  <c r="L9" i="1"/>
  <c r="L180" i="1"/>
  <c r="L132" i="1"/>
  <c r="L84" i="1"/>
  <c r="L36" i="1"/>
  <c r="L164" i="1"/>
  <c r="L117" i="1"/>
  <c r="L133" i="1"/>
  <c r="L85" i="1"/>
  <c r="L105" i="1"/>
  <c r="L57" i="1"/>
  <c r="L53" i="1"/>
  <c r="L196" i="1"/>
  <c r="L52" i="1"/>
  <c r="L146" i="1"/>
  <c r="L50" i="1"/>
  <c r="L194" i="1"/>
  <c r="L34" i="1"/>
  <c r="L205" i="1"/>
  <c r="L157" i="1"/>
  <c r="L51" i="1"/>
  <c r="L190" i="1"/>
  <c r="L126" i="1"/>
  <c r="L14" i="1"/>
  <c r="L174" i="1"/>
  <c r="L158" i="1"/>
  <c r="L142" i="1"/>
  <c r="L110" i="1"/>
  <c r="L78" i="1"/>
  <c r="L62" i="1"/>
  <c r="L30" i="1"/>
  <c r="L109" i="1"/>
  <c r="L200" i="1"/>
  <c r="L168" i="1"/>
  <c r="L152" i="1"/>
  <c r="L120" i="1"/>
  <c r="L104" i="1"/>
  <c r="L88" i="1"/>
  <c r="L56" i="1"/>
  <c r="L40" i="1"/>
  <c r="L199" i="1"/>
  <c r="L183" i="1"/>
  <c r="L167" i="1"/>
  <c r="L151" i="1"/>
  <c r="L135" i="1"/>
  <c r="L119" i="1"/>
  <c r="L103" i="1"/>
  <c r="L87" i="1"/>
  <c r="L71" i="1"/>
  <c r="L55" i="1"/>
  <c r="L39" i="1"/>
  <c r="L23" i="1"/>
  <c r="L7" i="1"/>
  <c r="L184" i="1"/>
  <c r="L136" i="1"/>
  <c r="L166" i="1"/>
  <c r="L6" i="1"/>
  <c r="E12" i="3"/>
  <c r="L179" i="1"/>
  <c r="L147" i="1"/>
  <c r="L131" i="1"/>
  <c r="L83" i="1"/>
  <c r="L178" i="1"/>
  <c r="L130" i="1"/>
  <c r="L98" i="1"/>
  <c r="L82" i="1"/>
  <c r="L18" i="1"/>
  <c r="L177" i="1"/>
  <c r="L129" i="1"/>
  <c r="L65" i="1"/>
  <c r="L17" i="1"/>
  <c r="L175" i="1"/>
  <c r="L2" i="1"/>
  <c r="L202" i="1"/>
  <c r="L186" i="1"/>
  <c r="L170" i="1"/>
  <c r="L154" i="1"/>
  <c r="L138" i="1"/>
  <c r="L122" i="1"/>
  <c r="L106" i="1"/>
  <c r="L90" i="1"/>
  <c r="L74" i="1"/>
  <c r="L58" i="1"/>
  <c r="L42" i="1"/>
  <c r="L26" i="1"/>
  <c r="L10" i="1"/>
  <c r="L118" i="1"/>
  <c r="L54" i="1"/>
  <c r="L102" i="1"/>
  <c r="L197" i="1"/>
  <c r="L148" i="1"/>
  <c r="L99" i="1"/>
  <c r="L37" i="1"/>
  <c r="L182" i="1"/>
  <c r="L134" i="1"/>
  <c r="L70" i="1"/>
  <c r="L22" i="1"/>
  <c r="L198" i="1"/>
  <c r="L181" i="1"/>
  <c r="L114" i="1"/>
  <c r="L66" i="1"/>
  <c r="L38" i="1"/>
  <c r="L162" i="1"/>
  <c r="L193" i="1"/>
  <c r="L161" i="1"/>
  <c r="L145" i="1"/>
  <c r="L113" i="1"/>
  <c r="L97" i="1"/>
  <c r="L81" i="1"/>
  <c r="L49" i="1"/>
  <c r="L33" i="1"/>
  <c r="L101" i="1"/>
  <c r="L100" i="1"/>
  <c r="L195" i="1"/>
  <c r="L68" i="1"/>
  <c r="L192" i="1"/>
  <c r="L176" i="1"/>
  <c r="L160" i="1"/>
  <c r="L144" i="1"/>
  <c r="L128" i="1"/>
  <c r="L112" i="1"/>
  <c r="L96" i="1"/>
  <c r="L80" i="1"/>
  <c r="L64" i="1"/>
  <c r="L48" i="1"/>
  <c r="L32" i="1"/>
  <c r="L16" i="1"/>
  <c r="L150" i="1"/>
  <c r="L149" i="1"/>
  <c r="L69" i="1"/>
  <c r="L21" i="1"/>
  <c r="L20" i="1"/>
  <c r="L115" i="1"/>
  <c r="L67" i="1"/>
  <c r="L19" i="1"/>
  <c r="L191" i="1"/>
  <c r="L159" i="1"/>
  <c r="L143" i="1"/>
  <c r="L127" i="1"/>
  <c r="L111" i="1"/>
  <c r="L95" i="1"/>
  <c r="L79" i="1"/>
  <c r="L63" i="1"/>
  <c r="L47" i="1"/>
  <c r="L31" i="1"/>
  <c r="L15" i="1"/>
  <c r="L204" i="1"/>
  <c r="L108" i="1"/>
  <c r="L61" i="1"/>
  <c r="L188" i="1"/>
  <c r="L172" i="1"/>
  <c r="L140" i="1"/>
  <c r="L124" i="1"/>
  <c r="L92" i="1"/>
  <c r="L76" i="1"/>
  <c r="L60" i="1"/>
  <c r="L28" i="1"/>
  <c r="L12" i="1"/>
  <c r="L44" i="1"/>
  <c r="L156" i="1"/>
  <c r="L189" i="1"/>
  <c r="L173" i="1"/>
  <c r="L141" i="1"/>
  <c r="L125" i="1"/>
  <c r="L93" i="1"/>
  <c r="L77" i="1"/>
  <c r="L45" i="1"/>
  <c r="L29" i="1"/>
  <c r="L13" i="1"/>
  <c r="L203" i="1"/>
  <c r="L187" i="1"/>
  <c r="L171" i="1"/>
  <c r="L155" i="1"/>
  <c r="L139" i="1"/>
  <c r="L123" i="1"/>
  <c r="L107" i="1"/>
  <c r="L91" i="1"/>
  <c r="L75" i="1"/>
  <c r="L59" i="1"/>
  <c r="L43" i="1"/>
  <c r="L27" i="1"/>
  <c r="L11" i="1"/>
  <c r="L5" i="1"/>
  <c r="L165" i="1"/>
  <c r="L94" i="1"/>
  <c r="L4" i="1"/>
  <c r="L46" i="1"/>
  <c r="C12" i="3"/>
  <c r="D12" i="3"/>
  <c r="B11" i="3"/>
  <c r="B12" i="3"/>
  <c r="D11" i="3"/>
  <c r="C11" i="3"/>
  <c r="L8" i="1" l="1"/>
  <c r="L24" i="1"/>
  <c r="L72" i="1"/>
  <c r="E11" i="3"/>
  <c r="L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118E63-41DD-462F-9BE2-4CA3D97C9822}" keepAlive="1" name="Requête - _4_2_Synthese_Electricite_2026_04" description="Connexion à la requête « _4_2_Synthese_Electricite_2026_04 » dans le classeur." type="5" refreshedVersion="8" background="1" saveData="1">
    <dbPr connection="Provider=Microsoft.Mashup.OleDb.1;Data Source=$Workbook$;Location=_4_2_Synthese_Electricite_2026_04;Extended Properties=&quot;&quot;" command="SELECT * FROM [_4_2_Synthese_Electricite_2026_04]"/>
  </connection>
</connections>
</file>

<file path=xl/sharedStrings.xml><?xml version="1.0" encoding="utf-8"?>
<sst xmlns="http://schemas.openxmlformats.org/spreadsheetml/2006/main" count="8122" uniqueCount="5737">
  <si>
    <t>Période</t>
  </si>
  <si>
    <t>Année</t>
  </si>
  <si>
    <t>Mois</t>
  </si>
  <si>
    <t>Hydraulique</t>
  </si>
  <si>
    <t>Éolien</t>
  </si>
  <si>
    <t>Solaire</t>
  </si>
  <si>
    <t>Nucléaire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</si>
  <si>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</si>
  <si>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</si>
  <si>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</si>
  <si>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</si>
  <si>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</si>
  <si>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</si>
  <si>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</si>
  <si>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</si>
  <si>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</si>
  <si>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</si>
  <si>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</si>
  <si>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</si>
  <si>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</si>
  <si>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</si>
  <si>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1. Production (brute) d'électricité hydraulique, éolienne et photovoltaïque (en GWh)</t>
  </si>
  <si>
    <t>1.1 Production brute d'électricité hydraulique (en GWh)</t>
  </si>
  <si>
    <t>1.2 Production brute d'électricité éolienne (en GWh)</t>
  </si>
  <si>
    <t>1.3 Production brute d'électricité solaire photovoltaïque (en GWh)</t>
  </si>
  <si>
    <t>2. Production nucléaire (équivalent primaire à la production, sous forme de chaleur) (en GWh)</t>
  </si>
  <si>
    <t>3. Solde importateur (importations - exportations) d'électricité (en GWh)</t>
  </si>
  <si>
    <t>3.1 Importations d'électricité (en GWh)</t>
  </si>
  <si>
    <t>3.2 Exportations d'électricité (en GWh)</t>
  </si>
  <si>
    <t>4. Consommation primaire d'énergie nucléaire, hydraulique, éolienne et photovoltaïque brute (en GWh)</t>
  </si>
  <si>
    <t>5. Consommation d'électricité primaire et d'équivalent primaire d'électricité nucléaire CVC-CJO (en GWh)</t>
  </si>
  <si>
    <t>6. Consommation d'électricité primaire et d'équivalent primaire d'électricité nucléaire CVS-CVC-CJO (en GWh)</t>
  </si>
  <si>
    <t>7. Degrés jours unifiés mensuels en France, pour la période de chauffe (vaut 0 de juin à septembre, en °C)</t>
  </si>
  <si>
    <t>8. Indice de rigueur climatique pour la France métropolitaine (ref.1 pour la période de référence) (sans unité)</t>
  </si>
  <si>
    <t>PERIODE</t>
  </si>
  <si>
    <t>PRODB_ELE_SYNT</t>
  </si>
  <si>
    <t>PRODB_HYDRO_SYNT</t>
  </si>
  <si>
    <t>PRODB_EOL_SYNT</t>
  </si>
  <si>
    <t>PRODB_PV_SYNT</t>
  </si>
  <si>
    <t>PRODB_NUCL_SYNT</t>
  </si>
  <si>
    <t>QSOLI_ELE_SYNT</t>
  </si>
  <si>
    <t>QIMP_ELE_SYNT</t>
  </si>
  <si>
    <t>QEXP_ELE_SYNT</t>
  </si>
  <si>
    <t>CONSO_ELE_SYNT</t>
  </si>
  <si>
    <t>CONSO_ELE_SYNT_COR1</t>
  </si>
  <si>
    <t>CONSO_ELE_SYNT_COR2</t>
  </si>
  <si>
    <t>DJU</t>
  </si>
  <si>
    <t>INDRIG</t>
  </si>
  <si>
    <t>2026-02</t>
  </si>
  <si>
    <t>14728.307</t>
  </si>
  <si>
    <t>6530.276</t>
  </si>
  <si>
    <t>6511.472</t>
  </si>
  <si>
    <t>1686.559</t>
  </si>
  <si>
    <t>101210.84</t>
  </si>
  <si>
    <t>-8546.592</t>
  </si>
  <si>
    <t>1155.744</t>
  </si>
  <si>
    <t>9702.335</t>
  </si>
  <si>
    <t>107392.555</t>
  </si>
  <si>
    <t>111117.937</t>
  </si>
  <si>
    <t>103171.582</t>
  </si>
  <si>
    <t>164.5</t>
  </si>
  <si>
    <t>0.638</t>
  </si>
  <si>
    <t>2026-01</t>
  </si>
  <si>
    <t>13743.982</t>
  </si>
  <si>
    <t>6415.77</t>
  </si>
  <si>
    <t>6163.672</t>
  </si>
  <si>
    <t>1164.54</t>
  </si>
  <si>
    <t>120977.946</t>
  </si>
  <si>
    <t>-6450.831</t>
  </si>
  <si>
    <t>1998.12</t>
  </si>
  <si>
    <t>8448.951</t>
  </si>
  <si>
    <t>128271.097</t>
  </si>
  <si>
    <t>128723.757</t>
  </si>
  <si>
    <t>102274.31</t>
  </si>
  <si>
    <t>300.7</t>
  </si>
  <si>
    <t>0.964</t>
  </si>
  <si>
    <t>2025-12</t>
  </si>
  <si>
    <t>13619.297</t>
  </si>
  <si>
    <t>6557.591</t>
  </si>
  <si>
    <t>5944.041</t>
  </si>
  <si>
    <t>1117.664</t>
  </si>
  <si>
    <t>122374.567</t>
  </si>
  <si>
    <t>-10671.542</t>
  </si>
  <si>
    <t>730.876</t>
  </si>
  <si>
    <t>11402.418</t>
  </si>
  <si>
    <t>125322.322</t>
  </si>
  <si>
    <t>127013.777</t>
  </si>
  <si>
    <t>107919.751</t>
  </si>
  <si>
    <t>245.6</t>
  </si>
  <si>
    <t>0.855</t>
  </si>
  <si>
    <t>2025-11</t>
  </si>
  <si>
    <t>13063.459</t>
  </si>
  <si>
    <t>5986.831</t>
  </si>
  <si>
    <t>5514.904</t>
  </si>
  <si>
    <t>1561.724</t>
  </si>
  <si>
    <t>106352.443</t>
  </si>
  <si>
    <t>-9121.631</t>
  </si>
  <si>
    <t>920.313</t>
  </si>
  <si>
    <t>10041.944</t>
  </si>
  <si>
    <t>110294.272</t>
  </si>
  <si>
    <t>111090.968</t>
  </si>
  <si>
    <t>106372.71</t>
  </si>
  <si>
    <t>177.1</t>
  </si>
  <si>
    <t>0.904</t>
  </si>
  <si>
    <t>2025-10</t>
  </si>
  <si>
    <t>12412.642</t>
  </si>
  <si>
    <t>4307.534</t>
  </si>
  <si>
    <t>5523.829</t>
  </si>
  <si>
    <t>2581.279</t>
  </si>
  <si>
    <t>96519.121</t>
  </si>
  <si>
    <t>-8745.68</t>
  </si>
  <si>
    <t>632.138</t>
  </si>
  <si>
    <t>9377.818</t>
  </si>
  <si>
    <t>100186.083</t>
  </si>
  <si>
    <t>101205.852</t>
  </si>
  <si>
    <t>103347.395</t>
  </si>
  <si>
    <t>64.7</t>
  </si>
  <si>
    <t>0.872</t>
  </si>
  <si>
    <t>2025-09</t>
  </si>
  <si>
    <t>10824.239</t>
  </si>
  <si>
    <t>3771.678</t>
  </si>
  <si>
    <t>3988.734</t>
  </si>
  <si>
    <t>3063.827</t>
  </si>
  <si>
    <t>93113.391</t>
  </si>
  <si>
    <t>-8706.709</t>
  </si>
  <si>
    <t>564.275</t>
  </si>
  <si>
    <t>9270.984</t>
  </si>
  <si>
    <t>95230.921</t>
  </si>
  <si>
    <t>95373.018</t>
  </si>
  <si>
    <t>105596.512</t>
  </si>
  <si>
    <t>0</t>
  </si>
  <si>
    <t>1</t>
  </si>
  <si>
    <t>2025-08</t>
  </si>
  <si>
    <t>10202.807</t>
  </si>
  <si>
    <t>3499.762</t>
  </si>
  <si>
    <t>2646.361</t>
  </si>
  <si>
    <t>4056.684</t>
  </si>
  <si>
    <t>91590.718</t>
  </si>
  <si>
    <t>-8793.19</t>
  </si>
  <si>
    <t>705.141</t>
  </si>
  <si>
    <t>9498.331</t>
  </si>
  <si>
    <t>93000.335</t>
  </si>
  <si>
    <t>91929.192</t>
  </si>
  <si>
    <t>104329.141</t>
  </si>
  <si>
    <t>2025-07</t>
  </si>
  <si>
    <t>11346.493</t>
  </si>
  <si>
    <t>3867.243</t>
  </si>
  <si>
    <t>2921.78</t>
  </si>
  <si>
    <t>4557.471</t>
  </si>
  <si>
    <t>94358.878</t>
  </si>
  <si>
    <t>-8983.518</t>
  </si>
  <si>
    <t>663.078</t>
  </si>
  <si>
    <t>9646.597</t>
  </si>
  <si>
    <t>96721.853</t>
  </si>
  <si>
    <t>97040.016</t>
  </si>
  <si>
    <t>106865.69</t>
  </si>
  <si>
    <t>2025-06</t>
  </si>
  <si>
    <t>11891.865</t>
  </si>
  <si>
    <t>5367.633</t>
  </si>
  <si>
    <t>2471.821</t>
  </si>
  <si>
    <t>4052.41</t>
  </si>
  <si>
    <t>83035.331</t>
  </si>
  <si>
    <t>-7103.715</t>
  </si>
  <si>
    <t>807.991</t>
  </si>
  <si>
    <t>7911.706</t>
  </si>
  <si>
    <t>87823.481</t>
  </si>
  <si>
    <t>86479.742</t>
  </si>
  <si>
    <t>101927.152</t>
  </si>
  <si>
    <t>2025-05</t>
  </si>
  <si>
    <t>12956.833</t>
  </si>
  <si>
    <t>5752.501</t>
  </si>
  <si>
    <t>3479.039</t>
  </si>
  <si>
    <t>3725.292</t>
  </si>
  <si>
    <t>81031.077</t>
  </si>
  <si>
    <t>-7492.084</t>
  </si>
  <si>
    <t>1255.746</t>
  </si>
  <si>
    <t>8747.83</t>
  </si>
  <si>
    <t>86495.826</t>
  </si>
  <si>
    <t>87500.542</t>
  </si>
  <si>
    <t>96079.968</t>
  </si>
  <si>
    <t>30.8</t>
  </si>
  <si>
    <t>0.658</t>
  </si>
  <si>
    <t>2025-04</t>
  </si>
  <si>
    <t>12056.204</t>
  </si>
  <si>
    <t>5203.275</t>
  </si>
  <si>
    <t>3686.537</t>
  </si>
  <si>
    <t>3166.392</t>
  </si>
  <si>
    <t>86457.627</t>
  </si>
  <si>
    <t>-6310.211</t>
  </si>
  <si>
    <t>1595.618</t>
  </si>
  <si>
    <t>7905.83</t>
  </si>
  <si>
    <t>92203.619</t>
  </si>
  <si>
    <t>95425.013</t>
  </si>
  <si>
    <t>101762.882</t>
  </si>
  <si>
    <t>30.9</t>
  </si>
  <si>
    <t>0.263</t>
  </si>
  <si>
    <t>2025-03</t>
  </si>
  <si>
    <t>12558.21</t>
  </si>
  <si>
    <t>5633.794</t>
  </si>
  <si>
    <t>4169.03</t>
  </si>
  <si>
    <t>2755.387</t>
  </si>
  <si>
    <t>102803.552</t>
  </si>
  <si>
    <t>-6131.389</t>
  </si>
  <si>
    <t>1957.265</t>
  </si>
  <si>
    <t>8088.655</t>
  </si>
  <si>
    <t>109230.373</t>
  </si>
  <si>
    <t>110432.21</t>
  </si>
  <si>
    <t>103693.497</t>
  </si>
  <si>
    <t>180.1</t>
  </si>
  <si>
    <t>0.898</t>
  </si>
  <si>
    <t>2025-02</t>
  </si>
  <si>
    <t>12040.306</t>
  </si>
  <si>
    <t>6681.028</t>
  </si>
  <si>
    <t>3700.832</t>
  </si>
  <si>
    <t>1658.446</t>
  </si>
  <si>
    <t>101542.841</t>
  </si>
  <si>
    <t>-4979.928</t>
  </si>
  <si>
    <t>1955.759</t>
  </si>
  <si>
    <t>6935.686</t>
  </si>
  <si>
    <t>108603.219</t>
  </si>
  <si>
    <t>109953.643</t>
  </si>
  <si>
    <t>101407.249</t>
  </si>
  <si>
    <t>239.3</t>
  </si>
  <si>
    <t>0.928</t>
  </si>
  <si>
    <t>2025-01</t>
  </si>
  <si>
    <t>14327.931</t>
  </si>
  <si>
    <t>7475.435</t>
  </si>
  <si>
    <t>5759.524</t>
  </si>
  <si>
    <t>1092.972</t>
  </si>
  <si>
    <t>123003.734</t>
  </si>
  <si>
    <t>-6806.736</t>
  </si>
  <si>
    <t>1813.292</t>
  </si>
  <si>
    <t>8620.028</t>
  </si>
  <si>
    <t>130524.929</t>
  </si>
  <si>
    <t>131038.148</t>
  </si>
  <si>
    <t>104580.257</t>
  </si>
  <si>
    <t>302</t>
  </si>
  <si>
    <t>0.968</t>
  </si>
  <si>
    <t>2024-12</t>
  </si>
  <si>
    <t>13289.623</t>
  </si>
  <si>
    <t>6931.457</t>
  </si>
  <si>
    <t>5483.049</t>
  </si>
  <si>
    <t>875.117</t>
  </si>
  <si>
    <t>116472.013</t>
  </si>
  <si>
    <t>-6741.928</t>
  </si>
  <si>
    <t>1479.777</t>
  </si>
  <si>
    <t>8221.704</t>
  </si>
  <si>
    <t>123019.708</t>
  </si>
  <si>
    <t>123453.008</t>
  </si>
  <si>
    <t>104796.229</t>
  </si>
  <si>
    <t>277.6</t>
  </si>
  <si>
    <t>0.966</t>
  </si>
  <si>
    <t>2024-11</t>
  </si>
  <si>
    <t>10718.914</t>
  </si>
  <si>
    <t>5419.378</t>
  </si>
  <si>
    <t>4140.185</t>
  </si>
  <si>
    <t>1159.352</t>
  </si>
  <si>
    <t>104971.445</t>
  </si>
  <si>
    <t>-7489.945</t>
  </si>
  <si>
    <t>830.25</t>
  </si>
  <si>
    <t>8320.195</t>
  </si>
  <si>
    <t>108200.414</t>
  </si>
  <si>
    <t>109305.022</t>
  </si>
  <si>
    <t>105043.828</t>
  </si>
  <si>
    <t>173.1</t>
  </si>
  <si>
    <t>0.884</t>
  </si>
  <si>
    <t>2024-10</t>
  </si>
  <si>
    <t>11691.489</t>
  </si>
  <si>
    <t>6692.771</t>
  </si>
  <si>
    <t>3382.382</t>
  </si>
  <si>
    <t>1616.336</t>
  </si>
  <si>
    <t>95562.082</t>
  </si>
  <si>
    <t>-8154.845</t>
  </si>
  <si>
    <t>717.527</t>
  </si>
  <si>
    <t>8872.372</t>
  </si>
  <si>
    <t>99098.727</t>
  </si>
  <si>
    <t>101574.427</t>
  </si>
  <si>
    <t>103563.243</t>
  </si>
  <si>
    <t>43.2</t>
  </si>
  <si>
    <t>0.582</t>
  </si>
  <si>
    <t>2024-09</t>
  </si>
  <si>
    <t>10544.619</t>
  </si>
  <si>
    <t>4147.823</t>
  </si>
  <si>
    <t>4135.139</t>
  </si>
  <si>
    <t>2261.656</t>
  </si>
  <si>
    <t>87740.337</t>
  </si>
  <si>
    <t>-7822.991</t>
  </si>
  <si>
    <t>642.576</t>
  </si>
  <si>
    <t>8465.568</t>
  </si>
  <si>
    <t>90461.964</t>
  </si>
  <si>
    <t>90548.638</t>
  </si>
  <si>
    <t>100741.402</t>
  </si>
  <si>
    <t>2024-08</t>
  </si>
  <si>
    <t>9695.37</t>
  </si>
  <si>
    <t>4393.612</t>
  </si>
  <si>
    <t>2163.783</t>
  </si>
  <si>
    <t>3137.975</t>
  </si>
  <si>
    <t>91543.337</t>
  </si>
  <si>
    <t>-8150.557</t>
  </si>
  <si>
    <t>991.427</t>
  </si>
  <si>
    <t>9141.984</t>
  </si>
  <si>
    <t>93088.15</t>
  </si>
  <si>
    <t>91839.964</t>
  </si>
  <si>
    <t>104250.904</t>
  </si>
  <si>
    <t>2024-07</t>
  </si>
  <si>
    <t>11395.155</t>
  </si>
  <si>
    <t>6096.57</t>
  </si>
  <si>
    <t>2160.486</t>
  </si>
  <si>
    <t>3138.098</t>
  </si>
  <si>
    <t>91363.633</t>
  </si>
  <si>
    <t>-8581.758</t>
  </si>
  <si>
    <t>926.41</t>
  </si>
  <si>
    <t>9508.168</t>
  </si>
  <si>
    <t>94177.029</t>
  </si>
  <si>
    <t>94495.192</t>
  </si>
  <si>
    <t>104573.067</t>
  </si>
  <si>
    <t>2024-06</t>
  </si>
  <si>
    <t>12020.529</t>
  </si>
  <si>
    <t>6838.896</t>
  </si>
  <si>
    <t>2402.15</t>
  </si>
  <si>
    <t>2779.484</t>
  </si>
  <si>
    <t>84277.712</t>
  </si>
  <si>
    <t>-8416.571</t>
  </si>
  <si>
    <t>664.82</t>
  </si>
  <si>
    <t>9081.392</t>
  </si>
  <si>
    <t>87881.67</t>
  </si>
  <si>
    <t>87675.632</t>
  </si>
  <si>
    <t>103036.877</t>
  </si>
  <si>
    <t>2024-05</t>
  </si>
  <si>
    <t>13115.865</t>
  </si>
  <si>
    <t>7935.559</t>
  </si>
  <si>
    <t>2598.85</t>
  </si>
  <si>
    <t>2581.457</t>
  </si>
  <si>
    <t>88786.986</t>
  </si>
  <si>
    <t>-9309.055</t>
  </si>
  <si>
    <t>842.611</t>
  </si>
  <si>
    <t>10151.666</t>
  </si>
  <si>
    <t>92593.797</t>
  </si>
  <si>
    <t>93871.153</t>
  </si>
  <si>
    <t>102426.061</t>
  </si>
  <si>
    <t>28.3</t>
  </si>
  <si>
    <t>0.604</t>
  </si>
  <si>
    <t>2024-04</t>
  </si>
  <si>
    <t>13282.849</t>
  </si>
  <si>
    <t>6316.219</t>
  </si>
  <si>
    <t>4647.567</t>
  </si>
  <si>
    <t>2319.064</t>
  </si>
  <si>
    <t>85272.361</t>
  </si>
  <si>
    <t>-5505.511</t>
  </si>
  <si>
    <t>1767.757</t>
  </si>
  <si>
    <t>7273.268</t>
  </si>
  <si>
    <t>93049.7</t>
  </si>
  <si>
    <t>93658.464</t>
  </si>
  <si>
    <t>99978.927</t>
  </si>
  <si>
    <t>107.2</t>
  </si>
  <si>
    <t>0.913</t>
  </si>
  <si>
    <t>2024-03</t>
  </si>
  <si>
    <t>14166.567</t>
  </si>
  <si>
    <t>7686.198</t>
  </si>
  <si>
    <t>4580.947</t>
  </si>
  <si>
    <t>1899.422</t>
  </si>
  <si>
    <t>95201.877</t>
  </si>
  <si>
    <t>-6988.066</t>
  </si>
  <si>
    <t>1704.97</t>
  </si>
  <si>
    <t>8693.036</t>
  </si>
  <si>
    <t>102380.378</t>
  </si>
  <si>
    <t>105393.941</t>
  </si>
  <si>
    <t>98561.097</t>
  </si>
  <si>
    <t>153.6</t>
  </si>
  <si>
    <t>0.766</t>
  </si>
  <si>
    <t>2024-02</t>
  </si>
  <si>
    <t>13415.59</t>
  </si>
  <si>
    <t>6504.421</t>
  </si>
  <si>
    <t>5839.255</t>
  </si>
  <si>
    <t>1071.914</t>
  </si>
  <si>
    <t>97796.002</t>
  </si>
  <si>
    <t>-6981.574</t>
  </si>
  <si>
    <t>1855.631</t>
  </si>
  <si>
    <t>8837.204</t>
  </si>
  <si>
    <t>104230.018</t>
  </si>
  <si>
    <t>104430.43</t>
  </si>
  <si>
    <t>95098.852</t>
  </si>
  <si>
    <t>170.8</t>
  </si>
  <si>
    <t>0.662</t>
  </si>
  <si>
    <t>2024-01</t>
  </si>
  <si>
    <t>14308.767</t>
  </si>
  <si>
    <t>7995.654</t>
  </si>
  <si>
    <t>5466.31</t>
  </si>
  <si>
    <t>846.804</t>
  </si>
  <si>
    <t>114101.564</t>
  </si>
  <si>
    <t>-5874.653</t>
  </si>
  <si>
    <t>2044.676</t>
  </si>
  <si>
    <t>7919.329</t>
  </si>
  <si>
    <t>122535.678</t>
  </si>
  <si>
    <t>123306.124</t>
  </si>
  <si>
    <t>96663.275</t>
  </si>
  <si>
    <t>296.3</t>
  </si>
  <si>
    <t>0.95</t>
  </si>
  <si>
    <t>2023-12</t>
  </si>
  <si>
    <t>15039.319</t>
  </si>
  <si>
    <t>7589.172</t>
  </si>
  <si>
    <t>6700.399</t>
  </si>
  <si>
    <t>749.748</t>
  </si>
  <si>
    <t>100557.336</t>
  </si>
  <si>
    <t>-5580.004</t>
  </si>
  <si>
    <t>1988.358</t>
  </si>
  <si>
    <t>7568.362</t>
  </si>
  <si>
    <t>110016.65</t>
  </si>
  <si>
    <t>112103.186</t>
  </si>
  <si>
    <t>93689.518</t>
  </si>
  <si>
    <t>227.8</t>
  </si>
  <si>
    <t>0.793</t>
  </si>
  <si>
    <t>2023-11</t>
  </si>
  <si>
    <t>14201.16</t>
  </si>
  <si>
    <t>6838.525</t>
  </si>
  <si>
    <t>6426.942</t>
  </si>
  <si>
    <t>935.694</t>
  </si>
  <si>
    <t>88147.661</t>
  </si>
  <si>
    <t>-5275.95</t>
  </si>
  <si>
    <t>1571.283</t>
  </si>
  <si>
    <t>6847.232</t>
  </si>
  <si>
    <t>97072.872</t>
  </si>
  <si>
    <t>98565.582</t>
  </si>
  <si>
    <t>94884.09</t>
  </si>
  <si>
    <t>167.4</t>
  </si>
  <si>
    <t>2023-10</t>
  </si>
  <si>
    <t>9873.35</t>
  </si>
  <si>
    <t>3724.418</t>
  </si>
  <si>
    <t>4496.997</t>
  </si>
  <si>
    <t>1651.935</t>
  </si>
  <si>
    <t>90183.219</t>
  </si>
  <si>
    <t>-6625.192</t>
  </si>
  <si>
    <t>1016.183</t>
  </si>
  <si>
    <t>7641.375</t>
  </si>
  <si>
    <t>93431.377</t>
  </si>
  <si>
    <t>96119.669</t>
  </si>
  <si>
    <t>97950.021</t>
  </si>
  <si>
    <t>38.3</t>
  </si>
  <si>
    <t>0.516</t>
  </si>
  <si>
    <t>2023-09</t>
  </si>
  <si>
    <t>7981.567</t>
  </si>
  <si>
    <t>3303.074</t>
  </si>
  <si>
    <t>2379.209</t>
  </si>
  <si>
    <t>2299.284</t>
  </si>
  <si>
    <t>86326.309</t>
  </si>
  <si>
    <t>-5658.018</t>
  </si>
  <si>
    <t>977.176</t>
  </si>
  <si>
    <t>6635.194</t>
  </si>
  <si>
    <t>88649.858</t>
  </si>
  <si>
    <t>88068.298</t>
  </si>
  <si>
    <t>98530.74</t>
  </si>
  <si>
    <t>2023-08</t>
  </si>
  <si>
    <t>9056.138</t>
  </si>
  <si>
    <t>3698.678</t>
  </si>
  <si>
    <t>2759.589</t>
  </si>
  <si>
    <t>2597.871</t>
  </si>
  <si>
    <t>77044.735</t>
  </si>
  <si>
    <t>-4471.805</t>
  </si>
  <si>
    <t>1518.273</t>
  </si>
  <si>
    <t>5990.078</t>
  </si>
  <si>
    <t>81629.068</t>
  </si>
  <si>
    <t>81270.402</t>
  </si>
  <si>
    <t>93792.392</t>
  </si>
  <si>
    <t>2023-07</t>
  </si>
  <si>
    <t>10092.341</t>
  </si>
  <si>
    <t>4119.944</t>
  </si>
  <si>
    <t>3248.001</t>
  </si>
  <si>
    <t>2724.396</t>
  </si>
  <si>
    <t>77073.513</t>
  </si>
  <si>
    <t>-4410.794</t>
  </si>
  <si>
    <t>1739.313</t>
  </si>
  <si>
    <t>6150.107</t>
  </si>
  <si>
    <t>82755.06</t>
  </si>
  <si>
    <t>82891.525</t>
  </si>
  <si>
    <t>93309.921</t>
  </si>
  <si>
    <t>2023-06</t>
  </si>
  <si>
    <t>10734.126</t>
  </si>
  <si>
    <t>5928.41</t>
  </si>
  <si>
    <t>2101.719</t>
  </si>
  <si>
    <t>2703.997</t>
  </si>
  <si>
    <t>72916.701</t>
  </si>
  <si>
    <t>-4979.896</t>
  </si>
  <si>
    <t>1321.238</t>
  </si>
  <si>
    <t>6301.134</t>
  </si>
  <si>
    <t>78670.93</t>
  </si>
  <si>
    <t>77359.732</t>
  </si>
  <si>
    <t>92660.791</t>
  </si>
  <si>
    <t>2023-05</t>
  </si>
  <si>
    <t>11779.296</t>
  </si>
  <si>
    <t>5553.898</t>
  </si>
  <si>
    <t>3678.307</t>
  </si>
  <si>
    <t>2547.091</t>
  </si>
  <si>
    <t>80529.493</t>
  </si>
  <si>
    <t>-7057.27</t>
  </si>
  <si>
    <t>1112.2</t>
  </si>
  <si>
    <t>8169.47</t>
  </si>
  <si>
    <t>85251.519</t>
  </si>
  <si>
    <t>86430.689</t>
  </si>
  <si>
    <t>95066.921</t>
  </si>
  <si>
    <t>29.9</t>
  </si>
  <si>
    <t>0.639</t>
  </si>
  <si>
    <t>2023-04</t>
  </si>
  <si>
    <t>10702.765</t>
  </si>
  <si>
    <t>4729.89</t>
  </si>
  <si>
    <t>3801.007</t>
  </si>
  <si>
    <t>2171.868</t>
  </si>
  <si>
    <t>80023.07</t>
  </si>
  <si>
    <t>-2931.528</t>
  </si>
  <si>
    <t>2359.425</t>
  </si>
  <si>
    <t>5290.952</t>
  </si>
  <si>
    <t>87794.307</t>
  </si>
  <si>
    <t>87466.095</t>
  </si>
  <si>
    <t>93684.683</t>
  </si>
  <si>
    <t>127.6</t>
  </si>
  <si>
    <t>1.087</t>
  </si>
  <si>
    <t>2023-03</t>
  </si>
  <si>
    <t>12323.238</t>
  </si>
  <si>
    <t>4755.247</t>
  </si>
  <si>
    <t>5891.183</t>
  </si>
  <si>
    <t>1676.808</t>
  </si>
  <si>
    <t>82246.038</t>
  </si>
  <si>
    <t>-1437.259</t>
  </si>
  <si>
    <t>3719.669</t>
  </si>
  <si>
    <t>5156.928</t>
  </si>
  <si>
    <t>93132.017</t>
  </si>
  <si>
    <t>95173.933</t>
  </si>
  <si>
    <t>88086.928</t>
  </si>
  <si>
    <t>171.3</t>
  </si>
  <si>
    <t>0.854</t>
  </si>
  <si>
    <t>2023-02</t>
  </si>
  <si>
    <t>8339.489</t>
  </si>
  <si>
    <t>3703.161</t>
  </si>
  <si>
    <t>3366.562</t>
  </si>
  <si>
    <t>1269.765</t>
  </si>
  <si>
    <t>91729.514</t>
  </si>
  <si>
    <t>-863.155</t>
  </si>
  <si>
    <t>3464.624</t>
  </si>
  <si>
    <t>4327.779</t>
  </si>
  <si>
    <t>99205.848</t>
  </si>
  <si>
    <t>100553.097</t>
  </si>
  <si>
    <t>90273.621</t>
  </si>
  <si>
    <t>239.4</t>
  </si>
  <si>
    <t>0.929</t>
  </si>
  <si>
    <t>2023-01</t>
  </si>
  <si>
    <t>13168.162</t>
  </si>
  <si>
    <t>6532.577</t>
  </si>
  <si>
    <t>5977.055</t>
  </si>
  <si>
    <t>658.53</t>
  </si>
  <si>
    <t>98262.049</t>
  </si>
  <si>
    <t>-1340.241</t>
  </si>
  <si>
    <t>4005.721</t>
  </si>
  <si>
    <t>5345.962</t>
  </si>
  <si>
    <t>110089.97</t>
  </si>
  <si>
    <t>111363.95</t>
  </si>
  <si>
    <t>84355.205</t>
  </si>
  <si>
    <t>282.5</t>
  </si>
  <si>
    <t>0.906</t>
  </si>
  <si>
    <t>2022-12</t>
  </si>
  <si>
    <t>10203.652</t>
  </si>
  <si>
    <t>5234.522</t>
  </si>
  <si>
    <t>4364.634</t>
  </si>
  <si>
    <t>604.497</t>
  </si>
  <si>
    <t>89307.744</t>
  </si>
  <si>
    <t>1890.73</t>
  </si>
  <si>
    <t>5629.246</t>
  </si>
  <si>
    <t>3738.515</t>
  </si>
  <si>
    <t>101402.127</t>
  </si>
  <si>
    <t>101739.33</t>
  </si>
  <si>
    <t>83658.932</t>
  </si>
  <si>
    <t>280.3</t>
  </si>
  <si>
    <t>0.976</t>
  </si>
  <si>
    <t>2022-11</t>
  </si>
  <si>
    <t>9424.627</t>
  </si>
  <si>
    <t>3949.045</t>
  </si>
  <si>
    <t>4626.758</t>
  </si>
  <si>
    <t>848.824</t>
  </si>
  <si>
    <t>69562.288</t>
  </si>
  <si>
    <t>1077.335</t>
  </si>
  <si>
    <t>4810.486</t>
  </si>
  <si>
    <t>3733.151</t>
  </si>
  <si>
    <t>80064.25</t>
  </si>
  <si>
    <t>82618.321</t>
  </si>
  <si>
    <t>79532.859</t>
  </si>
  <si>
    <t>144.9</t>
  </si>
  <si>
    <t>0.74</t>
  </si>
  <si>
    <t>2022-10</t>
  </si>
  <si>
    <t>7904.648</t>
  </si>
  <si>
    <t>3152.902</t>
  </si>
  <si>
    <t>3432.376</t>
  </si>
  <si>
    <t>1319.37</t>
  </si>
  <si>
    <t>65057.226</t>
  </si>
  <si>
    <t>275.665</t>
  </si>
  <si>
    <t>4114.793</t>
  </si>
  <si>
    <t>3839.128</t>
  </si>
  <si>
    <t>73237.539</t>
  </si>
  <si>
    <t>77235.451</t>
  </si>
  <si>
    <t>78871.996</t>
  </si>
  <si>
    <t>17.2</t>
  </si>
  <si>
    <t>0.232</t>
  </si>
  <si>
    <t>2022-09</t>
  </si>
  <si>
    <t>6673.6</t>
  </si>
  <si>
    <t>2541.154</t>
  </si>
  <si>
    <t>2293.837</t>
  </si>
  <si>
    <t>1838.609</t>
  </si>
  <si>
    <t>58600.02</t>
  </si>
  <si>
    <t>3318.835</t>
  </si>
  <si>
    <t>5469.073</t>
  </si>
  <si>
    <t>2150.238</t>
  </si>
  <si>
    <t>68592.455</t>
  </si>
  <si>
    <t>68889.018</t>
  </si>
  <si>
    <t>79681.996</t>
  </si>
  <si>
    <t>2022-08</t>
  </si>
  <si>
    <t>7159.165</t>
  </si>
  <si>
    <t>2778.709</t>
  </si>
  <si>
    <t>2077.602</t>
  </si>
  <si>
    <t>2302.854</t>
  </si>
  <si>
    <t>58554.054</t>
  </si>
  <si>
    <t>3214.307</t>
  </si>
  <si>
    <t>5123.618</t>
  </si>
  <si>
    <t>1909.311</t>
  </si>
  <si>
    <t>68927.526</t>
  </si>
  <si>
    <t>67857.819</t>
  </si>
  <si>
    <t>80724.856</t>
  </si>
  <si>
    <t>2022-07</t>
  </si>
  <si>
    <t>8066.496</t>
  </si>
  <si>
    <t>3588.929</t>
  </si>
  <si>
    <t>1885.33</t>
  </si>
  <si>
    <t>2592.237</t>
  </si>
  <si>
    <t>60385.593</t>
  </si>
  <si>
    <t>3215.987</t>
  </si>
  <si>
    <t>5481.076</t>
  </si>
  <si>
    <t>2265.09</t>
  </si>
  <si>
    <t>71668.076</t>
  </si>
  <si>
    <t>71804.54</t>
  </si>
  <si>
    <t>82676.483</t>
  </si>
  <si>
    <t>2022-06</t>
  </si>
  <si>
    <t>8237.324</t>
  </si>
  <si>
    <t>4157.178</t>
  </si>
  <si>
    <t>1849.939</t>
  </si>
  <si>
    <t>2230.207</t>
  </si>
  <si>
    <t>64482.038</t>
  </si>
  <si>
    <t>1063.461</t>
  </si>
  <si>
    <t>3813.163</t>
  </si>
  <si>
    <t>2749.701</t>
  </si>
  <si>
    <t>73782.824</t>
  </si>
  <si>
    <t>72673.889</t>
  </si>
  <si>
    <t>88025.517</t>
  </si>
  <si>
    <t>2022-05</t>
  </si>
  <si>
    <t>9497.402</t>
  </si>
  <si>
    <t>5157.255</t>
  </si>
  <si>
    <t>2076.276</t>
  </si>
  <si>
    <t>2263.87</t>
  </si>
  <si>
    <t>65809.978</t>
  </si>
  <si>
    <t>-620.846</t>
  </si>
  <si>
    <t>3083.756</t>
  </si>
  <si>
    <t>3704.602</t>
  </si>
  <si>
    <t>74686.534</t>
  </si>
  <si>
    <t>76347.869</t>
  </si>
  <si>
    <t>85006.433</t>
  </si>
  <si>
    <t>20.1</t>
  </si>
  <si>
    <t>0.429</t>
  </si>
  <si>
    <t>2022-04</t>
  </si>
  <si>
    <t>10587.225</t>
  </si>
  <si>
    <t>5231.089</t>
  </si>
  <si>
    <t>3560.29</t>
  </si>
  <si>
    <t>1795.845</t>
  </si>
  <si>
    <t>69785.579</t>
  </si>
  <si>
    <t>1086.988</t>
  </si>
  <si>
    <t>3789.507</t>
  </si>
  <si>
    <t>2702.519</t>
  </si>
  <si>
    <t>81459.791</t>
  </si>
  <si>
    <t>81476.797</t>
  </si>
  <si>
    <t>87440.564</t>
  </si>
  <si>
    <t>121</t>
  </si>
  <si>
    <t>1.031</t>
  </si>
  <si>
    <t>2022-03</t>
  </si>
  <si>
    <t>9564.164</t>
  </si>
  <si>
    <t>4712.432</t>
  </si>
  <si>
    <t>3461.02</t>
  </si>
  <si>
    <t>1390.713</t>
  </si>
  <si>
    <t>85750.867</t>
  </si>
  <si>
    <t>995.088</t>
  </si>
  <si>
    <t>4030.988</t>
  </si>
  <si>
    <t>3035.9</t>
  </si>
  <si>
    <t>96310.119</t>
  </si>
  <si>
    <t>98215.302</t>
  </si>
  <si>
    <t>90739.256</t>
  </si>
  <si>
    <t>173.3</t>
  </si>
  <si>
    <t>0.864</t>
  </si>
  <si>
    <t>2022-02</t>
  </si>
  <si>
    <t>10806.264</t>
  </si>
  <si>
    <t>4511.357</t>
  </si>
  <si>
    <t>5265.783</t>
  </si>
  <si>
    <t>1029.124</t>
  </si>
  <si>
    <t>94127.124</t>
  </si>
  <si>
    <t>-1844.439</t>
  </si>
  <si>
    <t>2325.285</t>
  </si>
  <si>
    <t>4169.724</t>
  </si>
  <si>
    <t>103088.948</t>
  </si>
  <si>
    <t>105420.471</t>
  </si>
  <si>
    <t>94179.117</t>
  </si>
  <si>
    <t>208.4</t>
  </si>
  <si>
    <t>0.808</t>
  </si>
  <si>
    <t>2022-01</t>
  </si>
  <si>
    <t>10005.228</t>
  </si>
  <si>
    <t>6075.32</t>
  </si>
  <si>
    <t>3144.953</t>
  </si>
  <si>
    <t>784.956</t>
  </si>
  <si>
    <t>111862.4</t>
  </si>
  <si>
    <t>995.94</t>
  </si>
  <si>
    <t>4108.283</t>
  </si>
  <si>
    <t>3112.343</t>
  </si>
  <si>
    <t>122863.568</t>
  </si>
  <si>
    <t>122244.813</t>
  </si>
  <si>
    <t>94911.888</t>
  </si>
  <si>
    <t>321.8</t>
  </si>
  <si>
    <t>1.032</t>
  </si>
  <si>
    <t>2021-12</t>
  </si>
  <si>
    <t>10380.631</t>
  </si>
  <si>
    <t>5461.218</t>
  </si>
  <si>
    <t>4331.128</t>
  </si>
  <si>
    <t>588.286</t>
  </si>
  <si>
    <t>100376.851</t>
  </si>
  <si>
    <t>1937.095</t>
  </si>
  <si>
    <t>4520.495</t>
  </si>
  <si>
    <t>2583.4</t>
  </si>
  <si>
    <t>112694.577</t>
  </si>
  <si>
    <t>113862.836</t>
  </si>
  <si>
    <t>95553.1</t>
  </si>
  <si>
    <t>260.3</t>
  </si>
  <si>
    <t>2021-11</t>
  </si>
  <si>
    <t>7556.563</t>
  </si>
  <si>
    <t>4141.716</t>
  </si>
  <si>
    <t>2710.387</t>
  </si>
  <si>
    <t>704.46</t>
  </si>
  <si>
    <t>96607.449</t>
  </si>
  <si>
    <t>799.768</t>
  </si>
  <si>
    <t>3621.99</t>
  </si>
  <si>
    <t>2822.222</t>
  </si>
  <si>
    <t>104963.781</t>
  </si>
  <si>
    <t>103338.449</t>
  </si>
  <si>
    <t>100818.7</t>
  </si>
  <si>
    <t>233.5</t>
  </si>
  <si>
    <t>1.192</t>
  </si>
  <si>
    <t>2021-10</t>
  </si>
  <si>
    <t>7900.584</t>
  </si>
  <si>
    <t>3162.122</t>
  </si>
  <si>
    <t>3489.485</t>
  </si>
  <si>
    <t>1248.977</t>
  </si>
  <si>
    <t>97571.431</t>
  </si>
  <si>
    <t>-4305.188</t>
  </si>
  <si>
    <t>1038.882</t>
  </si>
  <si>
    <t>5344.07</t>
  </si>
  <si>
    <t>101166.828</t>
  </si>
  <si>
    <t>100824.032</t>
  </si>
  <si>
    <t>102733.465</t>
  </si>
  <si>
    <t>81.3</t>
  </si>
  <si>
    <t>1.096</t>
  </si>
  <si>
    <t>2021-09</t>
  </si>
  <si>
    <t>6662.272</t>
  </si>
  <si>
    <t>3538.607</t>
  </si>
  <si>
    <t>1657.392</t>
  </si>
  <si>
    <t>1466.273</t>
  </si>
  <si>
    <t>92746.184</t>
  </si>
  <si>
    <t>-5788.223</t>
  </si>
  <si>
    <t>641.311</t>
  </si>
  <si>
    <t>6429.534</t>
  </si>
  <si>
    <t>93620.234</t>
  </si>
  <si>
    <t>93302.29</t>
  </si>
  <si>
    <t>104701.364</t>
  </si>
  <si>
    <t>2021-08</t>
  </si>
  <si>
    <t>8497.822</t>
  </si>
  <si>
    <t>4522.329</t>
  </si>
  <si>
    <t>2225.564</t>
  </si>
  <si>
    <t>1749.93</t>
  </si>
  <si>
    <t>93107.481</t>
  </si>
  <si>
    <t>-7641.946</t>
  </si>
  <si>
    <t>460.189</t>
  </si>
  <si>
    <t>8102.135</t>
  </si>
  <si>
    <t>93963.357</t>
  </si>
  <si>
    <t>94077.999</t>
  </si>
  <si>
    <t>107412.267</t>
  </si>
  <si>
    <t>2021-07</t>
  </si>
  <si>
    <t>9806.693</t>
  </si>
  <si>
    <t>5773.367</t>
  </si>
  <si>
    <t>2315.103</t>
  </si>
  <si>
    <t>1718.223</t>
  </si>
  <si>
    <t>91149.167</t>
  </si>
  <si>
    <t>-7321.069</t>
  </si>
  <si>
    <t>741.902</t>
  </si>
  <si>
    <t>8062.97</t>
  </si>
  <si>
    <t>93634.792</t>
  </si>
  <si>
    <t>93748.603</t>
  </si>
  <si>
    <t>104938.927</t>
  </si>
  <si>
    <t>2021-06</t>
  </si>
  <si>
    <t>9411.105</t>
  </si>
  <si>
    <t>6375.294</t>
  </si>
  <si>
    <t>1359.505</t>
  </si>
  <si>
    <t>1676.305</t>
  </si>
  <si>
    <t>88324.864</t>
  </si>
  <si>
    <t>-6851.46</t>
  </si>
  <si>
    <t>689.691</t>
  </si>
  <si>
    <t>7541.151</t>
  </si>
  <si>
    <t>90884.509</t>
  </si>
  <si>
    <t>89891.154</t>
  </si>
  <si>
    <t>105281.076</t>
  </si>
  <si>
    <t>2021-05</t>
  </si>
  <si>
    <t>12022.468</t>
  </si>
  <si>
    <t>6436.821</t>
  </si>
  <si>
    <t>3964.355</t>
  </si>
  <si>
    <t>1621.291</t>
  </si>
  <si>
    <t>87953.999</t>
  </si>
  <si>
    <t>-5919.64</t>
  </si>
  <si>
    <t>1213.582</t>
  </si>
  <si>
    <t>7133.223</t>
  </si>
  <si>
    <t>94056.827</t>
  </si>
  <si>
    <t>91972.192</t>
  </si>
  <si>
    <t>100690.243</t>
  </si>
  <si>
    <t>79.2</t>
  </si>
  <si>
    <t>1.691</t>
  </si>
  <si>
    <t>2021-04</t>
  </si>
  <si>
    <t>8699.539</t>
  </si>
  <si>
    <t>4170.276</t>
  </si>
  <si>
    <t>2949.235</t>
  </si>
  <si>
    <t>1580.027</t>
  </si>
  <si>
    <t>86700.855</t>
  </si>
  <si>
    <t>-1445.471</t>
  </si>
  <si>
    <t>2800.074</t>
  </si>
  <si>
    <t>4245.545</t>
  </si>
  <si>
    <t>93954.922</t>
  </si>
  <si>
    <t>92509.194</t>
  </si>
  <si>
    <t>98153.021</t>
  </si>
  <si>
    <t>167.2</t>
  </si>
  <si>
    <t>1.425</t>
  </si>
  <si>
    <t>2021-03</t>
  </si>
  <si>
    <t>11107.695</t>
  </si>
  <si>
    <t>6089.126</t>
  </si>
  <si>
    <t>3714.417</t>
  </si>
  <si>
    <t>1304.153</t>
  </si>
  <si>
    <t>100674.872</t>
  </si>
  <si>
    <t>-3224.652</t>
  </si>
  <si>
    <t>2339.282</t>
  </si>
  <si>
    <t>5563.934</t>
  </si>
  <si>
    <t>108557.915</t>
  </si>
  <si>
    <t>108001.885</t>
  </si>
  <si>
    <t>99875.233</t>
  </si>
  <si>
    <t>209.3</t>
  </si>
  <si>
    <t>1.044</t>
  </si>
  <si>
    <t>2021-02</t>
  </si>
  <si>
    <t>11984.998</t>
  </si>
  <si>
    <t>7057.552</t>
  </si>
  <si>
    <t>4253.715</t>
  </si>
  <si>
    <t>673.731</t>
  </si>
  <si>
    <t>96487.993</t>
  </si>
  <si>
    <t>-3409.726</t>
  </si>
  <si>
    <t>2302.195</t>
  </si>
  <si>
    <t>5711.921</t>
  </si>
  <si>
    <t>105063.266</t>
  </si>
  <si>
    <t>107337.637</t>
  </si>
  <si>
    <t>95312.277</t>
  </si>
  <si>
    <t>210.2</t>
  </si>
  <si>
    <t>0.815</t>
  </si>
  <si>
    <t>2021-01</t>
  </si>
  <si>
    <t>11935.063</t>
  </si>
  <si>
    <t>7493.704</t>
  </si>
  <si>
    <t>3960.974</t>
  </si>
  <si>
    <t>480.385</t>
  </si>
  <si>
    <t>118085.182</t>
  </si>
  <si>
    <t>-1990.012</t>
  </si>
  <si>
    <t>3290.319</t>
  </si>
  <si>
    <t>5280.331</t>
  </si>
  <si>
    <t>128030.233</t>
  </si>
  <si>
    <t>126996.304</t>
  </si>
  <si>
    <t>99298.119</t>
  </si>
  <si>
    <t>331</t>
  </si>
  <si>
    <t>1.061</t>
  </si>
  <si>
    <t>2020-12</t>
  </si>
  <si>
    <t>10618.838</t>
  </si>
  <si>
    <t>5860.812</t>
  </si>
  <si>
    <t>4383.911</t>
  </si>
  <si>
    <t>374.115</t>
  </si>
  <si>
    <t>109533.554</t>
  </si>
  <si>
    <t>-2444.321</t>
  </si>
  <si>
    <t>2523.323</t>
  </si>
  <si>
    <t>4967.644</t>
  </si>
  <si>
    <t>117708.071</t>
  </si>
  <si>
    <t>118633.627</t>
  </si>
  <si>
    <t>100883.407</t>
  </si>
  <si>
    <t>264.2</t>
  </si>
  <si>
    <t>0.92</t>
  </si>
  <si>
    <t>2020-11</t>
  </si>
  <si>
    <t>8474.122</t>
  </si>
  <si>
    <t>4622.319</t>
  </si>
  <si>
    <t>3154.791</t>
  </si>
  <si>
    <t>697.013</t>
  </si>
  <si>
    <t>100429.253</t>
  </si>
  <si>
    <t>-4778.82</t>
  </si>
  <si>
    <t>1418.214</t>
  </si>
  <si>
    <t>6197.034</t>
  </si>
  <si>
    <t>104124.556</t>
  </si>
  <si>
    <t>106034.627</t>
  </si>
  <si>
    <t>104101.322</t>
  </si>
  <si>
    <t>153</t>
  </si>
  <si>
    <t>0.781</t>
  </si>
  <si>
    <t>2020-10</t>
  </si>
  <si>
    <t>10405.507</t>
  </si>
  <si>
    <t>5275.964</t>
  </si>
  <si>
    <t>4320.308</t>
  </si>
  <si>
    <t>809.234</t>
  </si>
  <si>
    <t>90211.446</t>
  </si>
  <si>
    <t>-2838.676</t>
  </si>
  <si>
    <t>1858.294</t>
  </si>
  <si>
    <t>4696.97</t>
  </si>
  <si>
    <t>97778.277</t>
  </si>
  <si>
    <t>97153.659</t>
  </si>
  <si>
    <t>100752.514</t>
  </si>
  <si>
    <t>87.4</t>
  </si>
  <si>
    <t>1.178</t>
  </si>
  <si>
    <t>2020-09</t>
  </si>
  <si>
    <t>6884.818</t>
  </si>
  <si>
    <t>3466.232</t>
  </si>
  <si>
    <t>2145.086</t>
  </si>
  <si>
    <t>1273.5</t>
  </si>
  <si>
    <t>69877.497</t>
  </si>
  <si>
    <t>552.039</t>
  </si>
  <si>
    <t>3196.689</t>
  </si>
  <si>
    <t>2644.65</t>
  </si>
  <si>
    <t>77314.354</t>
  </si>
  <si>
    <t>77356.474</t>
  </si>
  <si>
    <t>89379.034</t>
  </si>
  <si>
    <t>2020-08</t>
  </si>
  <si>
    <t>7399.325</t>
  </si>
  <si>
    <t>3795.92</t>
  </si>
  <si>
    <t>2047.002</t>
  </si>
  <si>
    <t>1556.403</t>
  </si>
  <si>
    <t>73715.969</t>
  </si>
  <si>
    <t>-1741.479</t>
  </si>
  <si>
    <t>2072.972</t>
  </si>
  <si>
    <t>3814.451</t>
  </si>
  <si>
    <t>79373.815</t>
  </si>
  <si>
    <t>78900.647</t>
  </si>
  <si>
    <t>91297.112</t>
  </si>
  <si>
    <t>2020-07</t>
  </si>
  <si>
    <t>8588.947</t>
  </si>
  <si>
    <t>4741.867</t>
  </si>
  <si>
    <t>2105.002</t>
  </si>
  <si>
    <t>1742.078</t>
  </si>
  <si>
    <t>72325.808</t>
  </si>
  <si>
    <t>-1300.921</t>
  </si>
  <si>
    <t>2287.017</t>
  </si>
  <si>
    <t>3587.938</t>
  </si>
  <si>
    <t>79613.834</t>
  </si>
  <si>
    <t>79794.891</t>
  </si>
  <si>
    <t>90564.532</t>
  </si>
  <si>
    <t>2020-06</t>
  </si>
  <si>
    <t>10133.611</t>
  </si>
  <si>
    <t>6527.504</t>
  </si>
  <si>
    <t>2051.309</t>
  </si>
  <si>
    <t>1554.798</t>
  </si>
  <si>
    <t>68777.753</t>
  </si>
  <si>
    <t>-3321.485</t>
  </si>
  <si>
    <t>1220.755</t>
  </si>
  <si>
    <t>4542.239</t>
  </si>
  <si>
    <t>75589.879</t>
  </si>
  <si>
    <t>75457.935</t>
  </si>
  <si>
    <t>90469.766</t>
  </si>
  <si>
    <t>2020-05</t>
  </si>
  <si>
    <t>11154.458</t>
  </si>
  <si>
    <t>6858.007</t>
  </si>
  <si>
    <t>2662.786</t>
  </si>
  <si>
    <t>1633.665</t>
  </si>
  <si>
    <t>79563.073</t>
  </si>
  <si>
    <t>-6394.102</t>
  </si>
  <si>
    <t>555.781</t>
  </si>
  <si>
    <t>6949.883</t>
  </si>
  <si>
    <t>84323.429</t>
  </si>
  <si>
    <t>84761.683</t>
  </si>
  <si>
    <t>93020.742</t>
  </si>
  <si>
    <t>36.2</t>
  </si>
  <si>
    <t>0.773</t>
  </si>
  <si>
    <t>2020-04</t>
  </si>
  <si>
    <t>8858.861</t>
  </si>
  <si>
    <t>5225.506</t>
  </si>
  <si>
    <t>2282.031</t>
  </si>
  <si>
    <t>1351.323</t>
  </si>
  <si>
    <t>85870.559</t>
  </si>
  <si>
    <t>-5693.375</t>
  </si>
  <si>
    <t>738.257</t>
  </si>
  <si>
    <t>6431.631</t>
  </si>
  <si>
    <t>89036.046</t>
  </si>
  <si>
    <t>91742.873</t>
  </si>
  <si>
    <t>96816.038</t>
  </si>
  <si>
    <t>58.6</t>
  </si>
  <si>
    <t>0.499</t>
  </si>
  <si>
    <t>2020-03</t>
  </si>
  <si>
    <t>13109.09</t>
  </si>
  <si>
    <t>7508.621</t>
  </si>
  <si>
    <t>4498.825</t>
  </si>
  <si>
    <t>1101.644</t>
  </si>
  <si>
    <t>97714.37</t>
  </si>
  <si>
    <t>-5993.398</t>
  </si>
  <si>
    <t>978.975</t>
  </si>
  <si>
    <t>6972.373</t>
  </si>
  <si>
    <t>104830.062</t>
  </si>
  <si>
    <t>104942.89</t>
  </si>
  <si>
    <t>96106.156</t>
  </si>
  <si>
    <t>195</t>
  </si>
  <si>
    <t>0.972</t>
  </si>
  <si>
    <t>2020-02</t>
  </si>
  <si>
    <t>13122.62</t>
  </si>
  <si>
    <t>6432.001</t>
  </si>
  <si>
    <t>5907.95</t>
  </si>
  <si>
    <t>782.668</t>
  </si>
  <si>
    <t>105638.334</t>
  </si>
  <si>
    <t>-6751.129</t>
  </si>
  <si>
    <t>474.392</t>
  </si>
  <si>
    <t>7225.521</t>
  </si>
  <si>
    <t>112009.824</t>
  </si>
  <si>
    <t>112056.784</t>
  </si>
  <si>
    <t>100133.07</t>
  </si>
  <si>
    <t>181.1</t>
  </si>
  <si>
    <t>0.702</t>
  </si>
  <si>
    <t>2020-01</t>
  </si>
  <si>
    <t>11171.291</t>
  </si>
  <si>
    <t>6472.11</t>
  </si>
  <si>
    <t>4174.923</t>
  </si>
  <si>
    <t>524.257</t>
  </si>
  <si>
    <t>118755.941</t>
  </si>
  <si>
    <t>-4517.428</t>
  </si>
  <si>
    <t>1516.862</t>
  </si>
  <si>
    <t>6034.29</t>
  </si>
  <si>
    <t>125409.804</t>
  </si>
  <si>
    <t>127652.379</t>
  </si>
  <si>
    <t>100260.786</t>
  </si>
  <si>
    <t>259.8</t>
  </si>
  <si>
    <t>0.833</t>
  </si>
  <si>
    <t>2019-12</t>
  </si>
  <si>
    <t>13257.324</t>
  </si>
  <si>
    <t>8052.219</t>
  </si>
  <si>
    <t>4715.008</t>
  </si>
  <si>
    <t>490.097</t>
  </si>
  <si>
    <t>105413.8</t>
  </si>
  <si>
    <t>-3569.703</t>
  </si>
  <si>
    <t>2008.625</t>
  </si>
  <si>
    <t>5578.329</t>
  </si>
  <si>
    <t>115101.421</t>
  </si>
  <si>
    <t>116757.085</t>
  </si>
  <si>
    <t>98567.027</t>
  </si>
  <si>
    <t>235.4</t>
  </si>
  <si>
    <t>0.819</t>
  </si>
  <si>
    <t>2019-11</t>
  </si>
  <si>
    <t>10620.685</t>
  </si>
  <si>
    <t>6644.621</t>
  </si>
  <si>
    <t>3416.78</t>
  </si>
  <si>
    <t>559.283</t>
  </si>
  <si>
    <t>93100.702</t>
  </si>
  <si>
    <t>-1388.136</t>
  </si>
  <si>
    <t>2814.769</t>
  </si>
  <si>
    <t>4202.904</t>
  </si>
  <si>
    <t>102333.251</t>
  </si>
  <si>
    <t>101727.058</t>
  </si>
  <si>
    <t>100062.813</t>
  </si>
  <si>
    <t>206.5</t>
  </si>
  <si>
    <t>1.055</t>
  </si>
  <si>
    <t>2019-10</t>
  </si>
  <si>
    <t>8174.03</t>
  </si>
  <si>
    <t>3922.912</t>
  </si>
  <si>
    <t>3429.099</t>
  </si>
  <si>
    <t>822.019</t>
  </si>
  <si>
    <t>92959.701</t>
  </si>
  <si>
    <t>-4282.494</t>
  </si>
  <si>
    <t>1292.912</t>
  </si>
  <si>
    <t>5575.405</t>
  </si>
  <si>
    <t>96851.237</t>
  </si>
  <si>
    <t>98557.437</t>
  </si>
  <si>
    <t>103108.011</t>
  </si>
  <si>
    <t>50.8</t>
  </si>
  <si>
    <t>0.685</t>
  </si>
  <si>
    <t>2019-09</t>
  </si>
  <si>
    <t>6590.759</t>
  </si>
  <si>
    <t>2693.82</t>
  </si>
  <si>
    <t>2696.32</t>
  </si>
  <si>
    <t>1200.62</t>
  </si>
  <si>
    <t>88010.441</t>
  </si>
  <si>
    <t>-4894.041</t>
  </si>
  <si>
    <t>1078.312</t>
  </si>
  <si>
    <t>5972.353</t>
  </si>
  <si>
    <t>89707.16</t>
  </si>
  <si>
    <t>89656.632</t>
  </si>
  <si>
    <t>102354.88</t>
  </si>
  <si>
    <t>2019-08</t>
  </si>
  <si>
    <t>6951.624</t>
  </si>
  <si>
    <t>3881.36</t>
  </si>
  <si>
    <t>1662.521</t>
  </si>
  <si>
    <t>1407.743</t>
  </si>
  <si>
    <t>88794.004</t>
  </si>
  <si>
    <t>-5576.92</t>
  </si>
  <si>
    <t>796.987</t>
  </si>
  <si>
    <t>6373.907</t>
  </si>
  <si>
    <t>90168.709</t>
  </si>
  <si>
    <t>89475.377</t>
  </si>
  <si>
    <t>102174.803</t>
  </si>
  <si>
    <t>2019-07</t>
  </si>
  <si>
    <t>7795.51</t>
  </si>
  <si>
    <t>4553.264</t>
  </si>
  <si>
    <t>1758.16</t>
  </si>
  <si>
    <t>1484.086</t>
  </si>
  <si>
    <t>93226.276</t>
  </si>
  <si>
    <t>-5623.546</t>
  </si>
  <si>
    <t>891.546</t>
  </si>
  <si>
    <t>6515.093</t>
  </si>
  <si>
    <t>95398.24</t>
  </si>
  <si>
    <t>95641.773</t>
  </si>
  <si>
    <t>106634.532</t>
  </si>
  <si>
    <t>2019-06</t>
  </si>
  <si>
    <t>9222.652</t>
  </si>
  <si>
    <t>5919.264</t>
  </si>
  <si>
    <t>1907.332</t>
  </si>
  <si>
    <t>1396.056</t>
  </si>
  <si>
    <t>91228.342</t>
  </si>
  <si>
    <t>-7126.901</t>
  </si>
  <si>
    <t>325.155</t>
  </si>
  <si>
    <t>7452.055</t>
  </si>
  <si>
    <t>93324.093</t>
  </si>
  <si>
    <t>92925.342</t>
  </si>
  <si>
    <t>107874.203</t>
  </si>
  <si>
    <t>2019-05</t>
  </si>
  <si>
    <t>9263.131</t>
  </si>
  <si>
    <t>5696.605</t>
  </si>
  <si>
    <t>2266.776</t>
  </si>
  <si>
    <t>1299.751</t>
  </si>
  <si>
    <t>100989.601</t>
  </si>
  <si>
    <t>-7473.103</t>
  </si>
  <si>
    <t>243.513</t>
  </si>
  <si>
    <t>7716.616</t>
  </si>
  <si>
    <t>102779.63</t>
  </si>
  <si>
    <t>101378.798</t>
  </si>
  <si>
    <t>109615.925</t>
  </si>
  <si>
    <t>71.7</t>
  </si>
  <si>
    <t>1.531</t>
  </si>
  <si>
    <t>2019-04</t>
  </si>
  <si>
    <t>8061.152</t>
  </si>
  <si>
    <t>4622.497</t>
  </si>
  <si>
    <t>2358.331</t>
  </si>
  <si>
    <t>1080.324</t>
  </si>
  <si>
    <t>101109.583</t>
  </si>
  <si>
    <t>-4459.443</t>
  </si>
  <si>
    <t>1052.061</t>
  </si>
  <si>
    <t>5511.504</t>
  </si>
  <si>
    <t>104711.293</t>
  </si>
  <si>
    <t>104769.129</t>
  </si>
  <si>
    <t>109389.044</t>
  </si>
  <si>
    <t>124.7</t>
  </si>
  <si>
    <t>1.063</t>
  </si>
  <si>
    <t>2019-03</t>
  </si>
  <si>
    <t>10884.684</t>
  </si>
  <si>
    <t>5309.362</t>
  </si>
  <si>
    <t>4506.809</t>
  </si>
  <si>
    <t>1068.513</t>
  </si>
  <si>
    <t>112901.594</t>
  </si>
  <si>
    <t>-6793.155</t>
  </si>
  <si>
    <t>649.618</t>
  </si>
  <si>
    <t>7442.772</t>
  </si>
  <si>
    <t>116993.123</t>
  </si>
  <si>
    <t>118562.564</t>
  </si>
  <si>
    <t>109067.954</t>
  </si>
  <si>
    <t>2019-02</t>
  </si>
  <si>
    <t>8612.26</t>
  </si>
  <si>
    <t>5202.466</t>
  </si>
  <si>
    <t>2627.507</t>
  </si>
  <si>
    <t>782.287</t>
  </si>
  <si>
    <t>114250.763</t>
  </si>
  <si>
    <t>-5526.15</t>
  </si>
  <si>
    <t>961.489</t>
  </si>
  <si>
    <t>6487.639</t>
  </si>
  <si>
    <t>117336.874</t>
  </si>
  <si>
    <t>119624.963</t>
  </si>
  <si>
    <t>107841.466</t>
  </si>
  <si>
    <t>209.8</t>
  </si>
  <si>
    <t>0.814</t>
  </si>
  <si>
    <t>2019-01</t>
  </si>
  <si>
    <t>8616.836</t>
  </si>
  <si>
    <t>5146.742</t>
  </si>
  <si>
    <t>2968.868</t>
  </si>
  <si>
    <t>501.226</t>
  </si>
  <si>
    <t>127358.574</t>
  </si>
  <si>
    <t>-1334.049</t>
  </si>
  <si>
    <t>2744.544</t>
  </si>
  <si>
    <t>4078.593</t>
  </si>
  <si>
    <t>134641.361</t>
  </si>
  <si>
    <t>133434.586</t>
  </si>
  <si>
    <t>105322.81</t>
  </si>
  <si>
    <t>338.4</t>
  </si>
  <si>
    <t>1.085</t>
  </si>
  <si>
    <t>2018-12</t>
  </si>
  <si>
    <t>9295.144</t>
  </si>
  <si>
    <t>5311.143</t>
  </si>
  <si>
    <t>3613.452</t>
  </si>
  <si>
    <t>370.549</t>
  </si>
  <si>
    <t>123406.02</t>
  </si>
  <si>
    <t>-5243.608</t>
  </si>
  <si>
    <t>1232.186</t>
  </si>
  <si>
    <t>6475.793</t>
  </si>
  <si>
    <t>127457.557</t>
  </si>
  <si>
    <t>128804.892</t>
  </si>
  <si>
    <t>110278.423</t>
  </si>
  <si>
    <t>242.9</t>
  </si>
  <si>
    <t>0.845</t>
  </si>
  <si>
    <t>2018-11</t>
  </si>
  <si>
    <t>7419.094</t>
  </si>
  <si>
    <t>4123.806</t>
  </si>
  <si>
    <t>2796.145</t>
  </si>
  <si>
    <t>499.144</t>
  </si>
  <si>
    <t>103937.521</t>
  </si>
  <si>
    <t>-1924.516</t>
  </si>
  <si>
    <t>2068.629</t>
  </si>
  <si>
    <t>3993.146</t>
  </si>
  <si>
    <t>109432.099</t>
  </si>
  <si>
    <t>110141.778</t>
  </si>
  <si>
    <t>108164.953</t>
  </si>
  <si>
    <t>187.1</t>
  </si>
  <si>
    <t>0.955</t>
  </si>
  <si>
    <t>2018-10</t>
  </si>
  <si>
    <t>6334.095</t>
  </si>
  <si>
    <t>3074.426</t>
  </si>
  <si>
    <t>2449.602</t>
  </si>
  <si>
    <t>810.067</t>
  </si>
  <si>
    <t>100772.212</t>
  </si>
  <si>
    <t>-4581.154</t>
  </si>
  <si>
    <t>1049.823</t>
  </si>
  <si>
    <t>5630.977</t>
  </si>
  <si>
    <t>102525.152</t>
  </si>
  <si>
    <t>103174.075</t>
  </si>
  <si>
    <t>108246.447</t>
  </si>
  <si>
    <t>76</t>
  </si>
  <si>
    <t>1.024</t>
  </si>
  <si>
    <t>2018-09</t>
  </si>
  <si>
    <t>5937.32</t>
  </si>
  <si>
    <t>3175.102</t>
  </si>
  <si>
    <t>1585.212</t>
  </si>
  <si>
    <t>1177.006</t>
  </si>
  <si>
    <t>96104.598</t>
  </si>
  <si>
    <t>-5605.085</t>
  </si>
  <si>
    <t>704.055</t>
  </si>
  <si>
    <t>6309.139</t>
  </si>
  <si>
    <t>96436.834</t>
  </si>
  <si>
    <t>96200.369</t>
  </si>
  <si>
    <t>109831.314</t>
  </si>
  <si>
    <t>2018-08</t>
  </si>
  <si>
    <t>6793.945</t>
  </si>
  <si>
    <t>4064.845</t>
  </si>
  <si>
    <t>1402.538</t>
  </si>
  <si>
    <t>1326.562</t>
  </si>
  <si>
    <t>87546.408</t>
  </si>
  <si>
    <t>-4356.247</t>
  </si>
  <si>
    <t>1174.754</t>
  </si>
  <si>
    <t>5531.001</t>
  </si>
  <si>
    <t>89984.106</t>
  </si>
  <si>
    <t>89685.151</t>
  </si>
  <si>
    <t>103045.841</t>
  </si>
  <si>
    <t>2018-07</t>
  </si>
  <si>
    <t>7984.209</t>
  </si>
  <si>
    <t>5465.742</t>
  </si>
  <si>
    <t>1085.735</t>
  </si>
  <si>
    <t>1432.732</t>
  </si>
  <si>
    <t>95721.776</t>
  </si>
  <si>
    <t>-6262.978</t>
  </si>
  <si>
    <t>728.226</t>
  </si>
  <si>
    <t>6991.204</t>
  </si>
  <si>
    <t>97443.007</t>
  </si>
  <si>
    <t>97487.36</t>
  </si>
  <si>
    <t>108562.613</t>
  </si>
  <si>
    <t>2018-06</t>
  </si>
  <si>
    <t>10461.153</t>
  </si>
  <si>
    <t>7803.665</t>
  </si>
  <si>
    <t>1373.513</t>
  </si>
  <si>
    <t>1283.975</t>
  </si>
  <si>
    <t>91391.126</t>
  </si>
  <si>
    <t>-7602.147</t>
  </si>
  <si>
    <t>208.992</t>
  </si>
  <si>
    <t>7811.139</t>
  </si>
  <si>
    <t>94250.132</t>
  </si>
  <si>
    <t>93112.987</t>
  </si>
  <si>
    <t>107898.714</t>
  </si>
  <si>
    <t>2018-05</t>
  </si>
  <si>
    <t>10689.059</t>
  </si>
  <si>
    <t>7938.852</t>
  </si>
  <si>
    <t>1605.95</t>
  </si>
  <si>
    <t>1144.258</t>
  </si>
  <si>
    <t>97495.218</t>
  </si>
  <si>
    <t>-8079.749</t>
  </si>
  <si>
    <t>393.475</t>
  </si>
  <si>
    <t>8473.224</t>
  </si>
  <si>
    <t>100104.528</t>
  </si>
  <si>
    <t>101143.847</t>
  </si>
  <si>
    <t>109380.995</t>
  </si>
  <si>
    <t>37.8</t>
  </si>
  <si>
    <t>0.807</t>
  </si>
  <si>
    <t>2018-04</t>
  </si>
  <si>
    <t>10334.004</t>
  </si>
  <si>
    <t>7162.382</t>
  </si>
  <si>
    <t>2160.382</t>
  </si>
  <si>
    <t>1011.24</t>
  </si>
  <si>
    <t>97451.631</t>
  </si>
  <si>
    <t>-5810.196</t>
  </si>
  <si>
    <t>647.513</t>
  </si>
  <si>
    <t>6457.708</t>
  </si>
  <si>
    <t>101975.44</t>
  </si>
  <si>
    <t>104119.656</t>
  </si>
  <si>
    <t>108635.908</t>
  </si>
  <si>
    <t>73.3</t>
  </si>
  <si>
    <t>0.625</t>
  </si>
  <si>
    <t>2018-03</t>
  </si>
  <si>
    <t>11191.906</t>
  </si>
  <si>
    <t>7323.987</t>
  </si>
  <si>
    <t>3093.609</t>
  </si>
  <si>
    <t>774.309</t>
  </si>
  <si>
    <t>113291.108</t>
  </si>
  <si>
    <t>-3394.033</t>
  </si>
  <si>
    <t>1914.957</t>
  </si>
  <si>
    <t>5308.989</t>
  </si>
  <si>
    <t>121088.981</t>
  </si>
  <si>
    <t>119066.515</t>
  </si>
  <si>
    <t>108851.368</t>
  </si>
  <si>
    <t>234.4</t>
  </si>
  <si>
    <t>1.169</t>
  </si>
  <si>
    <t>2018-02</t>
  </si>
  <si>
    <t>10634.552</t>
  </si>
  <si>
    <t>7367.189</t>
  </si>
  <si>
    <t>2732.924</t>
  </si>
  <si>
    <t>534.438</t>
  </si>
  <si>
    <t>115269.05</t>
  </si>
  <si>
    <t>-3128.702</t>
  </si>
  <si>
    <t>2115.676</t>
  </si>
  <si>
    <t>5244.378</t>
  </si>
  <si>
    <t>122774.9</t>
  </si>
  <si>
    <t>121378.588</t>
  </si>
  <si>
    <t>109910.861</t>
  </si>
  <si>
    <t>344.7</t>
  </si>
  <si>
    <t>1.337</t>
  </si>
  <si>
    <t>2018-01</t>
  </si>
  <si>
    <t>11831.779</t>
  </si>
  <si>
    <t>7523.848</t>
  </si>
  <si>
    <t>3976.68</t>
  </si>
  <si>
    <t>331.251</t>
  </si>
  <si>
    <t>129237.358</t>
  </si>
  <si>
    <t>-7291.863</t>
  </si>
  <si>
    <t>590.119</t>
  </si>
  <si>
    <t>7881.983</t>
  </si>
  <si>
    <t>133777.274</t>
  </si>
  <si>
    <t>137924.897</t>
  </si>
  <si>
    <t>109489.504</t>
  </si>
  <si>
    <t>223.9</t>
  </si>
  <si>
    <t>0.718</t>
  </si>
  <si>
    <t>2017-12</t>
  </si>
  <si>
    <t>8724.127</t>
  </si>
  <si>
    <t>5344.461</t>
  </si>
  <si>
    <t>3084.339</t>
  </si>
  <si>
    <t>295.327</t>
  </si>
  <si>
    <t>118870.359</t>
  </si>
  <si>
    <t>-939.168</t>
  </si>
  <si>
    <t>2982.316</t>
  </si>
  <si>
    <t>3921.484</t>
  </si>
  <si>
    <t>126655.318</t>
  </si>
  <si>
    <t>126402.583</t>
  </si>
  <si>
    <t>107272.197</t>
  </si>
  <si>
    <t>298.2</t>
  </si>
  <si>
    <t>1.038</t>
  </si>
  <si>
    <t>2017-11</t>
  </si>
  <si>
    <t>6504.006</t>
  </si>
  <si>
    <t>3930.395</t>
  </si>
  <si>
    <t>2172.685</t>
  </si>
  <si>
    <t>400.926</t>
  </si>
  <si>
    <t>96864.569</t>
  </si>
  <si>
    <t>548.251</t>
  </si>
  <si>
    <t>3651.65</t>
  </si>
  <si>
    <t>3103.4</t>
  </si>
  <si>
    <t>103916.826</t>
  </si>
  <si>
    <t>103027.705</t>
  </si>
  <si>
    <t>100665.726</t>
  </si>
  <si>
    <t>218.7</t>
  </si>
  <si>
    <t>1.117</t>
  </si>
  <si>
    <t>2017-10</t>
  </si>
  <si>
    <t>5358.065</t>
  </si>
  <si>
    <t>2732.815</t>
  </si>
  <si>
    <t>1972.717</t>
  </si>
  <si>
    <t>652.534</t>
  </si>
  <si>
    <t>89679.724</t>
  </si>
  <si>
    <t>-2422.495</t>
  </si>
  <si>
    <t>1979.086</t>
  </si>
  <si>
    <t>4401.581</t>
  </si>
  <si>
    <t>92615.294</t>
  </si>
  <si>
    <t>94094.212</t>
  </si>
  <si>
    <t>99732.566</t>
  </si>
  <si>
    <t>53</t>
  </si>
  <si>
    <t>0.714</t>
  </si>
  <si>
    <t>2017-09</t>
  </si>
  <si>
    <t>5449.267</t>
  </si>
  <si>
    <t>3098.526</t>
  </si>
  <si>
    <t>1557.968</t>
  </si>
  <si>
    <t>792.772</t>
  </si>
  <si>
    <t>93701.03</t>
  </si>
  <si>
    <t>-4559.397</t>
  </si>
  <si>
    <t>826.804</t>
  </si>
  <si>
    <t>5386.2</t>
  </si>
  <si>
    <t>94590.9</t>
  </si>
  <si>
    <t>94579.953</t>
  </si>
  <si>
    <t>108698.621</t>
  </si>
  <si>
    <t>2017-08</t>
  </si>
  <si>
    <t>5702.77</t>
  </si>
  <si>
    <t>3531.814</t>
  </si>
  <si>
    <t>1170.41</t>
  </si>
  <si>
    <t>1000.546</t>
  </si>
  <si>
    <t>91336.844</t>
  </si>
  <si>
    <t>-4583.026</t>
  </si>
  <si>
    <t>1005.355</t>
  </si>
  <si>
    <t>5588.381</t>
  </si>
  <si>
    <t>92456.588</t>
  </si>
  <si>
    <t>92577.669</t>
  </si>
  <si>
    <t>106148.606</t>
  </si>
  <si>
    <t>2017-07</t>
  </si>
  <si>
    <t>6618.307</t>
  </si>
  <si>
    <t>3939.341</t>
  </si>
  <si>
    <t>1619.103</t>
  </si>
  <si>
    <t>1059.862</t>
  </si>
  <si>
    <t>90039.041</t>
  </si>
  <si>
    <t>-4580.895</t>
  </si>
  <si>
    <t>1365.907</t>
  </si>
  <si>
    <t>5946.802</t>
  </si>
  <si>
    <t>92076.452</t>
  </si>
  <si>
    <t>91963.102</t>
  </si>
  <si>
    <t>102618.921</t>
  </si>
  <si>
    <t>2017-06</t>
  </si>
  <si>
    <t>7603.436</t>
  </si>
  <si>
    <t>5157.894</t>
  </si>
  <si>
    <t>1396.048</t>
  </si>
  <si>
    <t>1049.494</t>
  </si>
  <si>
    <t>86043.753</t>
  </si>
  <si>
    <t>-3455.039</t>
  </si>
  <si>
    <t>1244.385</t>
  </si>
  <si>
    <t>4699.424</t>
  </si>
  <si>
    <t>90192.15</t>
  </si>
  <si>
    <t>89238.354</t>
  </si>
  <si>
    <t>103719.936</t>
  </si>
  <si>
    <t>2017-05</t>
  </si>
  <si>
    <t>8174.524</t>
  </si>
  <si>
    <t>5757.965</t>
  </si>
  <si>
    <t>1400.762</t>
  </si>
  <si>
    <t>1015.797</t>
  </si>
  <si>
    <t>95666.749</t>
  </si>
  <si>
    <t>-5872.107</t>
  </si>
  <si>
    <t>668.334</t>
  </si>
  <si>
    <t>6540.441</t>
  </si>
  <si>
    <t>97969.166</t>
  </si>
  <si>
    <t>98583.262</t>
  </si>
  <si>
    <t>107321.586</t>
  </si>
  <si>
    <t>42.1</t>
  </si>
  <si>
    <t>0.899</t>
  </si>
  <si>
    <t>2017-04</t>
  </si>
  <si>
    <t>6549.996</t>
  </si>
  <si>
    <t>4239.905</t>
  </si>
  <si>
    <t>1378.93</t>
  </si>
  <si>
    <t>931.161</t>
  </si>
  <si>
    <t>101042.997</t>
  </si>
  <si>
    <t>-5389.928</t>
  </si>
  <si>
    <t>699.463</t>
  </si>
  <si>
    <t>6089.391</t>
  </si>
  <si>
    <t>102203.066</t>
  </si>
  <si>
    <t>101559.806</t>
  </si>
  <si>
    <t>106525.922</t>
  </si>
  <si>
    <t>134.1</t>
  </si>
  <si>
    <t>1.143</t>
  </si>
  <si>
    <t>2017-03</t>
  </si>
  <si>
    <t>9501.756</t>
  </si>
  <si>
    <t>6308.38</t>
  </si>
  <si>
    <t>2514.855</t>
  </si>
  <si>
    <t>678.52</t>
  </si>
  <si>
    <t>108798.419</t>
  </si>
  <si>
    <t>-6375.781</t>
  </si>
  <si>
    <t>837.279</t>
  </si>
  <si>
    <t>7213.06</t>
  </si>
  <si>
    <t>111924.393</t>
  </si>
  <si>
    <t>115976.244</t>
  </si>
  <si>
    <t>105666.548</t>
  </si>
  <si>
    <t>142.8</t>
  </si>
  <si>
    <t>0.712</t>
  </si>
  <si>
    <t>2017-02</t>
  </si>
  <si>
    <t>7418.695</t>
  </si>
  <si>
    <t>4583.539</t>
  </si>
  <si>
    <t>2422.158</t>
  </si>
  <si>
    <t>412.998</t>
  </si>
  <si>
    <t>107040.272</t>
  </si>
  <si>
    <t>-3541.926</t>
  </si>
  <si>
    <t>1475.366</t>
  </si>
  <si>
    <t>5017.292</t>
  </si>
  <si>
    <t>110917.041</t>
  </si>
  <si>
    <t>113502.993</t>
  </si>
  <si>
    <t>102220.009</t>
  </si>
  <si>
    <t>207.1</t>
  </si>
  <si>
    <t>0.803</t>
  </si>
  <si>
    <t>2017-01</t>
  </si>
  <si>
    <t>7513.705</t>
  </si>
  <si>
    <t>5286.67</t>
  </si>
  <si>
    <t>1909.142</t>
  </si>
  <si>
    <t>317.893</t>
  </si>
  <si>
    <t>128272.379</t>
  </si>
  <si>
    <t>693.502</t>
  </si>
  <si>
    <t>3651.175</t>
  </si>
  <si>
    <t>2957.673</t>
  </si>
  <si>
    <t>136479.586</t>
  </si>
  <si>
    <t>132932.365</t>
  </si>
  <si>
    <t>104258.585</t>
  </si>
  <si>
    <t>391.3</t>
  </si>
  <si>
    <t>1.254</t>
  </si>
  <si>
    <t>2016-12</t>
  </si>
  <si>
    <t>6237.571</t>
  </si>
  <si>
    <t>4597.338</t>
  </si>
  <si>
    <t>1388.663</t>
  </si>
  <si>
    <t>251.57</t>
  </si>
  <si>
    <t>116283.806</t>
  </si>
  <si>
    <t>-84.533</t>
  </si>
  <si>
    <t>3099.026</t>
  </si>
  <si>
    <t>3183.559</t>
  </si>
  <si>
    <t>122436.844</t>
  </si>
  <si>
    <t>121746.794</t>
  </si>
  <si>
    <t>102086</t>
  </si>
  <si>
    <t>303.2</t>
  </si>
  <si>
    <t>2016-11</t>
  </si>
  <si>
    <t>6732.772</t>
  </si>
  <si>
    <t>4228.766</t>
  </si>
  <si>
    <t>2188.501</t>
  </si>
  <si>
    <t>315.506</t>
  </si>
  <si>
    <t>99125.531</t>
  </si>
  <si>
    <t>-644.348</t>
  </si>
  <si>
    <t>2665.649</t>
  </si>
  <si>
    <t>3309.997</t>
  </si>
  <si>
    <t>105213.956</t>
  </si>
  <si>
    <t>105120.869</t>
  </si>
  <si>
    <t>102207.581</t>
  </si>
  <si>
    <t>203.5</t>
  </si>
  <si>
    <t>1.039</t>
  </si>
  <si>
    <t>2016-10</t>
  </si>
  <si>
    <t>4973.338</t>
  </si>
  <si>
    <t>3081.484</t>
  </si>
  <si>
    <t>1340.852</t>
  </si>
  <si>
    <t>551.002</t>
  </si>
  <si>
    <t>92610.348</t>
  </si>
  <si>
    <t>-769.879</t>
  </si>
  <si>
    <t>2446.859</t>
  </si>
  <si>
    <t>3216.738</t>
  </si>
  <si>
    <t>96813.808</t>
  </si>
  <si>
    <t>94924.882</t>
  </si>
  <si>
    <t>100824.476</t>
  </si>
  <si>
    <t>104.8</t>
  </si>
  <si>
    <t>1.413</t>
  </si>
  <si>
    <t>2016-09</t>
  </si>
  <si>
    <t>5115.889</t>
  </si>
  <si>
    <t>3403.33</t>
  </si>
  <si>
    <t>953.063</t>
  </si>
  <si>
    <t>759.496</t>
  </si>
  <si>
    <t>84673.304</t>
  </si>
  <si>
    <t>-2734.927</t>
  </si>
  <si>
    <t>1594.555</t>
  </si>
  <si>
    <t>4329.482</t>
  </si>
  <si>
    <t>87054.266</t>
  </si>
  <si>
    <t>87030.552</t>
  </si>
  <si>
    <t>101422.324</t>
  </si>
  <si>
    <t>2016-08</t>
  </si>
  <si>
    <t>6015.646</t>
  </si>
  <si>
    <t>3918.211</t>
  </si>
  <si>
    <t>1134.446</t>
  </si>
  <si>
    <t>962.988</t>
  </si>
  <si>
    <t>86803.211</t>
  </si>
  <si>
    <t>-3405.203</t>
  </si>
  <si>
    <t>1483.288</t>
  </si>
  <si>
    <t>4888.491</t>
  </si>
  <si>
    <t>89413.654</t>
  </si>
  <si>
    <t>89063.805</t>
  </si>
  <si>
    <t>102761.006</t>
  </si>
  <si>
    <t>2016-07</t>
  </si>
  <si>
    <t>7337.601</t>
  </si>
  <si>
    <t>5356.707</t>
  </si>
  <si>
    <t>974.329</t>
  </si>
  <si>
    <t>1006.566</t>
  </si>
  <si>
    <t>90469.67</t>
  </si>
  <si>
    <t>-4291.312</t>
  </si>
  <si>
    <t>1041.214</t>
  </si>
  <si>
    <t>5332.527</t>
  </si>
  <si>
    <t>93515.959</t>
  </si>
  <si>
    <t>93365.252</t>
  </si>
  <si>
    <t>103445.01</t>
  </si>
  <si>
    <t>2016-06</t>
  </si>
  <si>
    <t>9167.383</t>
  </si>
  <si>
    <t>7231.335</t>
  </si>
  <si>
    <t>1025.024</t>
  </si>
  <si>
    <t>911.023</t>
  </si>
  <si>
    <t>91412.76</t>
  </si>
  <si>
    <t>-6646.871</t>
  </si>
  <si>
    <t>369.818</t>
  </si>
  <si>
    <t>7016.689</t>
  </si>
  <si>
    <t>93933.272</t>
  </si>
  <si>
    <t>93667.934</t>
  </si>
  <si>
    <t>107893.428</t>
  </si>
  <si>
    <t>2016-05</t>
  </si>
  <si>
    <t>8947.16</t>
  </si>
  <si>
    <t>6570.149</t>
  </si>
  <si>
    <t>1480.649</t>
  </si>
  <si>
    <t>896.362</t>
  </si>
  <si>
    <t>94016.725</t>
  </si>
  <si>
    <t>-5265.884</t>
  </si>
  <si>
    <t>815.106</t>
  </si>
  <si>
    <t>6080.989</t>
  </si>
  <si>
    <t>97698.001</t>
  </si>
  <si>
    <t>97483.325</t>
  </si>
  <si>
    <t>106904.762</t>
  </si>
  <si>
    <t>50.4</t>
  </si>
  <si>
    <t>1.076</t>
  </si>
  <si>
    <t>2016-04</t>
  </si>
  <si>
    <t>8902.157</t>
  </si>
  <si>
    <t>6538.252</t>
  </si>
  <si>
    <t>1603.637</t>
  </si>
  <si>
    <t>760.269</t>
  </si>
  <si>
    <t>98619.128</t>
  </si>
  <si>
    <t>-3721.056</t>
  </si>
  <si>
    <t>1576.583</t>
  </si>
  <si>
    <t>5297.638</t>
  </si>
  <si>
    <t>103800.23</t>
  </si>
  <si>
    <t>102910.13</t>
  </si>
  <si>
    <t>108494.361</t>
  </si>
  <si>
    <t>143.1</t>
  </si>
  <si>
    <t>1.219</t>
  </si>
  <si>
    <t>2016-03</t>
  </si>
  <si>
    <t>9640.988</t>
  </si>
  <si>
    <t>6684.654</t>
  </si>
  <si>
    <t>2334.085</t>
  </si>
  <si>
    <t>622.249</t>
  </si>
  <si>
    <t>117876.299</t>
  </si>
  <si>
    <t>-4245.575</t>
  </si>
  <si>
    <t>1423.542</t>
  </si>
  <si>
    <t>5669.117</t>
  </si>
  <si>
    <t>123271.711</t>
  </si>
  <si>
    <t>120861.255</t>
  </si>
  <si>
    <t>110882.891</t>
  </si>
  <si>
    <t>241.2</t>
  </si>
  <si>
    <t>1.203</t>
  </si>
  <si>
    <t>2016-02</t>
  </si>
  <si>
    <t>10145.814</t>
  </si>
  <si>
    <t>7016.748</t>
  </si>
  <si>
    <t>2748.613</t>
  </si>
  <si>
    <t>380.453</t>
  </si>
  <si>
    <t>118312.262</t>
  </si>
  <si>
    <t>-4951.876</t>
  </si>
  <si>
    <t>1171.563</t>
  </si>
  <si>
    <t>6123.439</t>
  </si>
  <si>
    <t>123506.2</t>
  </si>
  <si>
    <t>121057.969</t>
  </si>
  <si>
    <t>109965.639</t>
  </si>
  <si>
    <t>242.7</t>
  </si>
  <si>
    <t>0.941</t>
  </si>
  <si>
    <t>2016-01</t>
  </si>
  <si>
    <t>8696.471</t>
  </si>
  <si>
    <t>5731.961</t>
  </si>
  <si>
    <t>2716.194</t>
  </si>
  <si>
    <t>248.315</t>
  </si>
  <si>
    <t>131863.546</t>
  </si>
  <si>
    <t>-5105.276</t>
  </si>
  <si>
    <t>1483.518</t>
  </si>
  <si>
    <t>6588.794</t>
  </si>
  <si>
    <t>135454.741</t>
  </si>
  <si>
    <t>137200.483</t>
  </si>
  <si>
    <t>108402.445</t>
  </si>
  <si>
    <t>269.6</t>
  </si>
  <si>
    <t>2015-12</t>
  </si>
  <si>
    <t>6427.208</t>
  </si>
  <si>
    <t>3688.393</t>
  </si>
  <si>
    <t>2527.055</t>
  </si>
  <si>
    <t>211.76</t>
  </si>
  <si>
    <t>127974.032</t>
  </si>
  <si>
    <t>-6359.074</t>
  </si>
  <si>
    <t>704.267</t>
  </si>
  <si>
    <t>7063.341</t>
  </si>
  <si>
    <t>128042.166</t>
  </si>
  <si>
    <t>131878.228</t>
  </si>
  <si>
    <t>111549.233</t>
  </si>
  <si>
    <t>176.2</t>
  </si>
  <si>
    <t>0.613</t>
  </si>
  <si>
    <t>2015-11</t>
  </si>
  <si>
    <t>6314.784</t>
  </si>
  <si>
    <t>3557.628</t>
  </si>
  <si>
    <t>2433.612</t>
  </si>
  <si>
    <t>323.543</t>
  </si>
  <si>
    <t>113490.519</t>
  </si>
  <si>
    <t>-5960.733</t>
  </si>
  <si>
    <t>838.001</t>
  </si>
  <si>
    <t>6798.734</t>
  </si>
  <si>
    <t>113844.57</t>
  </si>
  <si>
    <t>117025.652</t>
  </si>
  <si>
    <t>113464.683</t>
  </si>
  <si>
    <t>135.4</t>
  </si>
  <si>
    <t>0.691</t>
  </si>
  <si>
    <t>2015-10</t>
  </si>
  <si>
    <t>5590.416</t>
  </si>
  <si>
    <t>3893.284</t>
  </si>
  <si>
    <t>1218.133</t>
  </si>
  <si>
    <t>478.998</t>
  </si>
  <si>
    <t>109641.585</t>
  </si>
  <si>
    <t>-4904.503</t>
  </si>
  <si>
    <t>972.395</t>
  </si>
  <si>
    <t>5876.898</t>
  </si>
  <si>
    <t>110327.498</t>
  </si>
  <si>
    <t>108690.212</t>
  </si>
  <si>
    <t>114590.811</t>
  </si>
  <si>
    <t>105</t>
  </si>
  <si>
    <t>1.415</t>
  </si>
  <si>
    <t>2015-09</t>
  </si>
  <si>
    <t>5676.879</t>
  </si>
  <si>
    <t>3442.721</t>
  </si>
  <si>
    <t>1585.603</t>
  </si>
  <si>
    <t>648.555</t>
  </si>
  <si>
    <t>97679.617</t>
  </si>
  <si>
    <t>-5172.021</t>
  </si>
  <si>
    <t>617.501</t>
  </si>
  <si>
    <t>5789.522</t>
  </si>
  <si>
    <t>98184.476</t>
  </si>
  <si>
    <t>98332.946</t>
  </si>
  <si>
    <t>112609.509</t>
  </si>
  <si>
    <t>2015-08</t>
  </si>
  <si>
    <t>5326.434</t>
  </si>
  <si>
    <t>3458.606</t>
  </si>
  <si>
    <t>1076.516</t>
  </si>
  <si>
    <t>791.311</t>
  </si>
  <si>
    <t>102283.505</t>
  </si>
  <si>
    <t>-6873.127</t>
  </si>
  <si>
    <t>319.678</t>
  </si>
  <si>
    <t>7192.804</t>
  </si>
  <si>
    <t>100736.812</t>
  </si>
  <si>
    <t>100290.107</t>
  </si>
  <si>
    <t>114292.88</t>
  </si>
  <si>
    <t>2015-07</t>
  </si>
  <si>
    <t>6303.814</t>
  </si>
  <si>
    <t>4092.741</t>
  </si>
  <si>
    <t>1338.682</t>
  </si>
  <si>
    <t>872.391</t>
  </si>
  <si>
    <t>106076.096</t>
  </si>
  <si>
    <t>-6310.976</t>
  </si>
  <si>
    <t>710.328</t>
  </si>
  <si>
    <t>7021.304</t>
  </si>
  <si>
    <t>106068.934</t>
  </si>
  <si>
    <t>106188.031</t>
  </si>
  <si>
    <t>115813.732</t>
  </si>
  <si>
    <t>2015-06</t>
  </si>
  <si>
    <t>7744.345</t>
  </si>
  <si>
    <t>5693.893</t>
  </si>
  <si>
    <t>1199.77</t>
  </si>
  <si>
    <t>850.682</t>
  </si>
  <si>
    <t>97938.391</t>
  </si>
  <si>
    <t>-6062.101</t>
  </si>
  <si>
    <t>485.447</t>
  </si>
  <si>
    <t>6547.548</t>
  </si>
  <si>
    <t>99620.635</t>
  </si>
  <si>
    <t>99228.377</t>
  </si>
  <si>
    <t>113327.18</t>
  </si>
  <si>
    <t>2015-05</t>
  </si>
  <si>
    <t>8822.161</t>
  </si>
  <si>
    <t>6515.786</t>
  </si>
  <si>
    <t>1519.049</t>
  </si>
  <si>
    <t>787.325</t>
  </si>
  <si>
    <t>96932.331</t>
  </si>
  <si>
    <t>-5976.246</t>
  </si>
  <si>
    <t>572.463</t>
  </si>
  <si>
    <t>6548.709</t>
  </si>
  <si>
    <t>99778.246</t>
  </si>
  <si>
    <t>99710.021</t>
  </si>
  <si>
    <t>109877.063</t>
  </si>
  <si>
    <t>43.6</t>
  </si>
  <si>
    <t>0.931</t>
  </si>
  <si>
    <t>2015-04</t>
  </si>
  <si>
    <t>7885.395</t>
  </si>
  <si>
    <t>5809.624</t>
  </si>
  <si>
    <t>1378.05</t>
  </si>
  <si>
    <t>697.72</t>
  </si>
  <si>
    <t>99393.986</t>
  </si>
  <si>
    <t>-4119.961</t>
  </si>
  <si>
    <t>1018.973</t>
  </si>
  <si>
    <t>5138.935</t>
  </si>
  <si>
    <t>103159.419</t>
  </si>
  <si>
    <t>104238.194</t>
  </si>
  <si>
    <t>110352.865</t>
  </si>
  <si>
    <t>98.8</t>
  </si>
  <si>
    <t>0.842</t>
  </si>
  <si>
    <t>2015-03</t>
  </si>
  <si>
    <t>8950.398</t>
  </si>
  <si>
    <t>6525.108</t>
  </si>
  <si>
    <t>1908.979</t>
  </si>
  <si>
    <t>516.311</t>
  </si>
  <si>
    <t>117108.442</t>
  </si>
  <si>
    <t>-4351.973</t>
  </si>
  <si>
    <t>803.375</t>
  </si>
  <si>
    <t>5155.348</t>
  </si>
  <si>
    <t>121706.867</t>
  </si>
  <si>
    <t>121420.841</t>
  </si>
  <si>
    <t>112017.75</t>
  </si>
  <si>
    <t>204.8</t>
  </si>
  <si>
    <t>1.021</t>
  </si>
  <si>
    <t>2015-02</t>
  </si>
  <si>
    <t>8564.409</t>
  </si>
  <si>
    <t>6423.175</t>
  </si>
  <si>
    <t>1808.531</t>
  </si>
  <si>
    <t>332.703</t>
  </si>
  <si>
    <t>118645.628</t>
  </si>
  <si>
    <t>-3061.461</t>
  </si>
  <si>
    <t>1446.87</t>
  </si>
  <si>
    <t>4508.331</t>
  </si>
  <si>
    <t>124148.576</t>
  </si>
  <si>
    <t>124040.258</t>
  </si>
  <si>
    <t>112803.235</t>
  </si>
  <si>
    <t>299.6</t>
  </si>
  <si>
    <t>1.162</t>
  </si>
  <si>
    <t>2015-01</t>
  </si>
  <si>
    <t>8641.291</t>
  </si>
  <si>
    <t>6236.844</t>
  </si>
  <si>
    <t>2176.443</t>
  </si>
  <si>
    <t>228.004</t>
  </si>
  <si>
    <t>138614.247</t>
  </si>
  <si>
    <t>-5183.903</t>
  </si>
  <si>
    <t>720.48</t>
  </si>
  <si>
    <t>5904.383</t>
  </si>
  <si>
    <t>142071.635</t>
  </si>
  <si>
    <t>142068.386</t>
  </si>
  <si>
    <t>113146.597</t>
  </si>
  <si>
    <t>310.6</t>
  </si>
  <si>
    <t>0.996</t>
  </si>
  <si>
    <t>2014-12</t>
  </si>
  <si>
    <t>7885.712</t>
  </si>
  <si>
    <t>5745.297</t>
  </si>
  <si>
    <t>1958.883</t>
  </si>
  <si>
    <t>181.533</t>
  </si>
  <si>
    <t>131968.568</t>
  </si>
  <si>
    <t>-4772.429</t>
  </si>
  <si>
    <t>848.553</t>
  </si>
  <si>
    <t>5620.982</t>
  </si>
  <si>
    <t>135081.851</t>
  </si>
  <si>
    <t>135360.068</t>
  </si>
  <si>
    <t>114561.085</t>
  </si>
  <si>
    <t>287.2</t>
  </si>
  <si>
    <t>2014-11</t>
  </si>
  <si>
    <t>6536.497</t>
  </si>
  <si>
    <t>4897.271</t>
  </si>
  <si>
    <t>1411.79</t>
  </si>
  <si>
    <t>227.435</t>
  </si>
  <si>
    <t>115390.437</t>
  </si>
  <si>
    <t>-5811.516</t>
  </si>
  <si>
    <t>539.667</t>
  </si>
  <si>
    <t>6351.183</t>
  </si>
  <si>
    <t>116115.417</t>
  </si>
  <si>
    <t>118985.633</t>
  </si>
  <si>
    <t>114935.547</t>
  </si>
  <si>
    <t>136.4</t>
  </si>
  <si>
    <t>0.697</t>
  </si>
  <si>
    <t>2014-10</t>
  </si>
  <si>
    <t>5422.052</t>
  </si>
  <si>
    <t>3783.423</t>
  </si>
  <si>
    <t>1209.845</t>
  </si>
  <si>
    <t>428.784</t>
  </si>
  <si>
    <t>104464.23</t>
  </si>
  <si>
    <t>-4307.725</t>
  </si>
  <si>
    <t>664.57</t>
  </si>
  <si>
    <t>4972.295</t>
  </si>
  <si>
    <t>105578.557</t>
  </si>
  <si>
    <t>108071.081</t>
  </si>
  <si>
    <t>113759.5</t>
  </si>
  <si>
    <t>37.9</t>
  </si>
  <si>
    <t>0.511</t>
  </si>
  <si>
    <t>2014-09</t>
  </si>
  <si>
    <t>5030.089</t>
  </si>
  <si>
    <t>3786.237</t>
  </si>
  <si>
    <t>678.464</t>
  </si>
  <si>
    <t>565.388</t>
  </si>
  <si>
    <t>101569.771</t>
  </si>
  <si>
    <t>-5338.181</t>
  </si>
  <si>
    <t>590.886</t>
  </si>
  <si>
    <t>5929.067</t>
  </si>
  <si>
    <t>101261.679</t>
  </si>
  <si>
    <t>101267.886</t>
  </si>
  <si>
    <t>115333.395</t>
  </si>
  <si>
    <t>2014-08</t>
  </si>
  <si>
    <t>6927.682</t>
  </si>
  <si>
    <t>5334.119</t>
  </si>
  <si>
    <t>933.67</t>
  </si>
  <si>
    <t>659.893</t>
  </si>
  <si>
    <t>99057.198</t>
  </si>
  <si>
    <t>-7797.753</t>
  </si>
  <si>
    <t>181.583</t>
  </si>
  <si>
    <t>7979.336</t>
  </si>
  <si>
    <t>98187.127</t>
  </si>
  <si>
    <t>100251.541</t>
  </si>
  <si>
    <t>114665.238</t>
  </si>
  <si>
    <t>2014-07</t>
  </si>
  <si>
    <t>7825.21</t>
  </si>
  <si>
    <t>6232.79</t>
  </si>
  <si>
    <t>910.978</t>
  </si>
  <si>
    <t>681.442</t>
  </si>
  <si>
    <t>106619.163</t>
  </si>
  <si>
    <t>-8166.72</t>
  </si>
  <si>
    <t>174.601</t>
  </si>
  <si>
    <t>8341.321</t>
  </si>
  <si>
    <t>106277.653</t>
  </si>
  <si>
    <t>106406.202</t>
  </si>
  <si>
    <t>115743.245</t>
  </si>
  <si>
    <t>2014-06</t>
  </si>
  <si>
    <t>6699.331</t>
  </si>
  <si>
    <t>5111.226</t>
  </si>
  <si>
    <t>902.475</t>
  </si>
  <si>
    <t>685.63</t>
  </si>
  <si>
    <t>98890.501</t>
  </si>
  <si>
    <t>-6152.477</t>
  </si>
  <si>
    <t>285.111</t>
  </si>
  <si>
    <t>6437.589</t>
  </si>
  <si>
    <t>99437.355</t>
  </si>
  <si>
    <t>98834.731</t>
  </si>
  <si>
    <t>112839.094</t>
  </si>
  <si>
    <t>2014-05</t>
  </si>
  <si>
    <t>8318.585</t>
  </si>
  <si>
    <t>6221.368</t>
  </si>
  <si>
    <t>1461.836</t>
  </si>
  <si>
    <t>635.382</t>
  </si>
  <si>
    <t>99269.357</t>
  </si>
  <si>
    <t>-6442.739</t>
  </si>
  <si>
    <t>268.978</t>
  </si>
  <si>
    <t>6711.718</t>
  </si>
  <si>
    <t>101145.203</t>
  </si>
  <si>
    <t>100689.303</t>
  </si>
  <si>
    <t>111272.238</t>
  </si>
  <si>
    <t>51.6</t>
  </si>
  <si>
    <t>1.102</t>
  </si>
  <si>
    <t>2014-04</t>
  </si>
  <si>
    <t>7455.32</t>
  </si>
  <si>
    <t>5905.107</t>
  </si>
  <si>
    <t>1006.282</t>
  </si>
  <si>
    <t>543.931</t>
  </si>
  <si>
    <t>99323.913</t>
  </si>
  <si>
    <t>-4020.754</t>
  </si>
  <si>
    <t>655.828</t>
  </si>
  <si>
    <t>4676.582</t>
  </si>
  <si>
    <t>102758.479</t>
  </si>
  <si>
    <t>104416.718</t>
  </si>
  <si>
    <t>110908.254</t>
  </si>
  <si>
    <t>83.8</t>
  </si>
  <si>
    <t>2014-03</t>
  </si>
  <si>
    <t>8769.572</t>
  </si>
  <si>
    <t>7065.438</t>
  </si>
  <si>
    <t>1239.57</t>
  </si>
  <si>
    <t>464.564</t>
  </si>
  <si>
    <t>113702.254</t>
  </si>
  <si>
    <t>-4565.792</t>
  </si>
  <si>
    <t>994.589</t>
  </si>
  <si>
    <t>5560.381</t>
  </si>
  <si>
    <t>117906.035</t>
  </si>
  <si>
    <t>119372.994</t>
  </si>
  <si>
    <t>110605.872</t>
  </si>
  <si>
    <t>175.4</t>
  </si>
  <si>
    <t>0.875</t>
  </si>
  <si>
    <t>2014-02</t>
  </si>
  <si>
    <t>9717.788</t>
  </si>
  <si>
    <t>7112.365</t>
  </si>
  <si>
    <t>2357.192</t>
  </si>
  <si>
    <t>248.231</t>
  </si>
  <si>
    <t>115457.115</t>
  </si>
  <si>
    <t>-4319.837</t>
  </si>
  <si>
    <t>1172.431</t>
  </si>
  <si>
    <t>5492.268</t>
  </si>
  <si>
    <t>120855.066</t>
  </si>
  <si>
    <t>123315.409</t>
  </si>
  <si>
    <t>111938.002</t>
  </si>
  <si>
    <t>214.4</t>
  </si>
  <si>
    <t>0.832</t>
  </si>
  <si>
    <t>2014-01</t>
  </si>
  <si>
    <t>9318.398</t>
  </si>
  <si>
    <t>7053.083</t>
  </si>
  <si>
    <t>2100.334</t>
  </si>
  <si>
    <t>164.981</t>
  </si>
  <si>
    <t>135384.939</t>
  </si>
  <si>
    <t>-5882.979</t>
  </si>
  <si>
    <t>788.112</t>
  </si>
  <si>
    <t>6671.091</t>
  </si>
  <si>
    <t>138820.359</t>
  </si>
  <si>
    <t>141988.771</t>
  </si>
  <si>
    <t>113035.133</t>
  </si>
  <si>
    <t>246.8</t>
  </si>
  <si>
    <t>0.791</t>
  </si>
  <si>
    <t>2013-12</t>
  </si>
  <si>
    <t>7787.973</t>
  </si>
  <si>
    <t>5711.181</t>
  </si>
  <si>
    <t>1916.751</t>
  </si>
  <si>
    <t>160.041</t>
  </si>
  <si>
    <t>128204.861</t>
  </si>
  <si>
    <t>-2795.273</t>
  </si>
  <si>
    <t>1723.08</t>
  </si>
  <si>
    <t>4518.353</t>
  </si>
  <si>
    <t>133197.561</t>
  </si>
  <si>
    <t>133477.697</t>
  </si>
  <si>
    <t>112254.537</t>
  </si>
  <si>
    <t>278.3</t>
  </si>
  <si>
    <t>0.969</t>
  </si>
  <si>
    <t>2013-11</t>
  </si>
  <si>
    <t>8212.305</t>
  </si>
  <si>
    <t>6321.496</t>
  </si>
  <si>
    <t>1714.499</t>
  </si>
  <si>
    <t>176.309</t>
  </si>
  <si>
    <t>110128.885</t>
  </si>
  <si>
    <t>-2591.266</t>
  </si>
  <si>
    <t>1514.243</t>
  </si>
  <si>
    <t>4105.509</t>
  </si>
  <si>
    <t>115749.923</t>
  </si>
  <si>
    <t>114378.767</t>
  </si>
  <si>
    <t>110009.727</t>
  </si>
  <si>
    <t>229.4</t>
  </si>
  <si>
    <t>1.171</t>
  </si>
  <si>
    <t>2013-10</t>
  </si>
  <si>
    <t>6675.031</t>
  </si>
  <si>
    <t>4825.201</t>
  </si>
  <si>
    <t>1543.666</t>
  </si>
  <si>
    <t>306.165</t>
  </si>
  <si>
    <t>99163.126</t>
  </si>
  <si>
    <t>-4103.108</t>
  </si>
  <si>
    <t>734.092</t>
  </si>
  <si>
    <t>4837.201</t>
  </si>
  <si>
    <t>101735.049</t>
  </si>
  <si>
    <t>103602.097</t>
  </si>
  <si>
    <t>109130.044</t>
  </si>
  <si>
    <t>52.9</t>
  </si>
  <si>
    <t>0.713</t>
  </si>
  <si>
    <t>2013-09</t>
  </si>
  <si>
    <t>5434.722</t>
  </si>
  <si>
    <t>4108.625</t>
  </si>
  <si>
    <t>899.816</t>
  </si>
  <si>
    <t>426.28</t>
  </si>
  <si>
    <t>94817.042</t>
  </si>
  <si>
    <t>-4904.903</t>
  </si>
  <si>
    <t>400.542</t>
  </si>
  <si>
    <t>5305.445</t>
  </si>
  <si>
    <t>95346.861</t>
  </si>
  <si>
    <t>95267.829</t>
  </si>
  <si>
    <t>108917.935</t>
  </si>
  <si>
    <t>2013-08</t>
  </si>
  <si>
    <t>5794.415</t>
  </si>
  <si>
    <t>4547.102</t>
  </si>
  <si>
    <t>705.577</t>
  </si>
  <si>
    <t>541.736</t>
  </si>
  <si>
    <t>95377.112</t>
  </si>
  <si>
    <t>-6256.686</t>
  </si>
  <si>
    <t>375.258</t>
  </si>
  <si>
    <t>6631.944</t>
  </si>
  <si>
    <t>94914.841</t>
  </si>
  <si>
    <t>94410.301</t>
  </si>
  <si>
    <t>109274.002</t>
  </si>
  <si>
    <t>2013-07</t>
  </si>
  <si>
    <t>7822.592</t>
  </si>
  <si>
    <t>6406.012</t>
  </si>
  <si>
    <t>829.662</t>
  </si>
  <si>
    <t>586.918</t>
  </si>
  <si>
    <t>98138.306</t>
  </si>
  <si>
    <t>-5588.996</t>
  </si>
  <si>
    <t>303.295</t>
  </si>
  <si>
    <t>5892.29</t>
  </si>
  <si>
    <t>100371.902</t>
  </si>
  <si>
    <t>100539.866</t>
  </si>
  <si>
    <t>109830.613</t>
  </si>
  <si>
    <t>2013-06</t>
  </si>
  <si>
    <t>9027.016</t>
  </si>
  <si>
    <t>7377.334</t>
  </si>
  <si>
    <t>1112.418</t>
  </si>
  <si>
    <t>537.263</t>
  </si>
  <si>
    <t>91415.825</t>
  </si>
  <si>
    <t>-5750.575</t>
  </si>
  <si>
    <t>284.641</t>
  </si>
  <si>
    <t>6035.216</t>
  </si>
  <si>
    <t>94692.266</t>
  </si>
  <si>
    <t>95271.594</t>
  </si>
  <si>
    <t>109284.378</t>
  </si>
  <si>
    <t>2013-05</t>
  </si>
  <si>
    <t>10180.748</t>
  </si>
  <si>
    <t>8578.86</t>
  </si>
  <si>
    <t>1112.632</t>
  </si>
  <si>
    <t>489.255</t>
  </si>
  <si>
    <t>99269.63</t>
  </si>
  <si>
    <t>-5848.072</t>
  </si>
  <si>
    <t>474.475</t>
  </si>
  <si>
    <t>6322.548</t>
  </si>
  <si>
    <t>103602.305</t>
  </si>
  <si>
    <t>100798.121</t>
  </si>
  <si>
    <t>111552.563</t>
  </si>
  <si>
    <t>96.9</t>
  </si>
  <si>
    <t>2.069</t>
  </si>
  <si>
    <t>2013-04</t>
  </si>
  <si>
    <t>9097.215</t>
  </si>
  <si>
    <t>7247.376</t>
  </si>
  <si>
    <t>1430.078</t>
  </si>
  <si>
    <t>419.761</t>
  </si>
  <si>
    <t>100186.098</t>
  </si>
  <si>
    <t>-3292.172</t>
  </si>
  <si>
    <t>1061.481</t>
  </si>
  <si>
    <t>4353.654</t>
  </si>
  <si>
    <t>105991.14</t>
  </si>
  <si>
    <t>105144.986</t>
  </si>
  <si>
    <t>111869.943</t>
  </si>
  <si>
    <t>151.1</t>
  </si>
  <si>
    <t>1.288</t>
  </si>
  <si>
    <t>2013-03</t>
  </si>
  <si>
    <t>8105.465</t>
  </si>
  <si>
    <t>6473.443</t>
  </si>
  <si>
    <t>1294.34</t>
  </si>
  <si>
    <t>337.682</t>
  </si>
  <si>
    <t>116706.885</t>
  </si>
  <si>
    <t>-1804.865</t>
  </si>
  <si>
    <t>1572.803</t>
  </si>
  <si>
    <t>3377.668</t>
  </si>
  <si>
    <t>123007.485</t>
  </si>
  <si>
    <t>117945.99</t>
  </si>
  <si>
    <t>109698.455</t>
  </si>
  <si>
    <t>273.5</t>
  </si>
  <si>
    <t>1.364</t>
  </si>
  <si>
    <t>2013-02</t>
  </si>
  <si>
    <t>8476.027</t>
  </si>
  <si>
    <t>6870.56</t>
  </si>
  <si>
    <t>1389.151</t>
  </si>
  <si>
    <t>216.317</t>
  </si>
  <si>
    <t>116396.587</t>
  </si>
  <si>
    <t>-2193.095</t>
  </si>
  <si>
    <t>1546.008</t>
  </si>
  <si>
    <t>3739.103</t>
  </si>
  <si>
    <t>122679.52</t>
  </si>
  <si>
    <t>121653.346</t>
  </si>
  <si>
    <t>110008.943</t>
  </si>
  <si>
    <t>333.4</t>
  </si>
  <si>
    <t>1.293</t>
  </si>
  <si>
    <t>2013-01</t>
  </si>
  <si>
    <t>8293.219</t>
  </si>
  <si>
    <t>6890.277</t>
  </si>
  <si>
    <t>1263.813</t>
  </si>
  <si>
    <t>139.129</t>
  </si>
  <si>
    <t>134319.112</t>
  </si>
  <si>
    <t>-3566.522</t>
  </si>
  <si>
    <t>961.913</t>
  </si>
  <si>
    <t>4528.435</t>
  </si>
  <si>
    <t>139045.809</t>
  </si>
  <si>
    <t>137794.986</t>
  </si>
  <si>
    <t>108644.607</t>
  </si>
  <si>
    <t>341.4</t>
  </si>
  <si>
    <t>1.094</t>
  </si>
  <si>
    <t>2012-12</t>
  </si>
  <si>
    <t>8797.639</t>
  </si>
  <si>
    <t>6482.457</t>
  </si>
  <si>
    <t>2193.274</t>
  </si>
  <si>
    <t>121.908</t>
  </si>
  <si>
    <t>126634.73</t>
  </si>
  <si>
    <t>-4467.754</t>
  </si>
  <si>
    <t>711.008</t>
  </si>
  <si>
    <t>5178.762</t>
  </si>
  <si>
    <t>130964.615</t>
  </si>
  <si>
    <t>131612.479</t>
  </si>
  <si>
    <t>110166.101</t>
  </si>
  <si>
    <t>270.6</t>
  </si>
  <si>
    <t>0.942</t>
  </si>
  <si>
    <t>2012-11</t>
  </si>
  <si>
    <t>6240.278</t>
  </si>
  <si>
    <t>4831.324</t>
  </si>
  <si>
    <t>1249.205</t>
  </si>
  <si>
    <t>159.749</t>
  </si>
  <si>
    <t>118091.255</t>
  </si>
  <si>
    <t>-4413.034</t>
  </si>
  <si>
    <t>663.799</t>
  </si>
  <si>
    <t>5076.834</t>
  </si>
  <si>
    <t>119918.499</t>
  </si>
  <si>
    <t>120039.368</t>
  </si>
  <si>
    <t>115585.952</t>
  </si>
  <si>
    <t>197.8</t>
  </si>
  <si>
    <t>1.01</t>
  </si>
  <si>
    <t>2012-10</t>
  </si>
  <si>
    <t>6061.759</t>
  </si>
  <si>
    <t>4484.318</t>
  </si>
  <si>
    <t>1308.577</t>
  </si>
  <si>
    <t>268.863</t>
  </si>
  <si>
    <t>104797.896</t>
  </si>
  <si>
    <t>-3671.571</t>
  </si>
  <si>
    <t>796.443</t>
  </si>
  <si>
    <t>4468.014</t>
  </si>
  <si>
    <t>107188.084</t>
  </si>
  <si>
    <t>107111.125</t>
  </si>
  <si>
    <t>112637.585</t>
  </si>
  <si>
    <t>87.2</t>
  </si>
  <si>
    <t>1.175</t>
  </si>
  <si>
    <t>2012-09</t>
  </si>
  <si>
    <t>4921.381</t>
  </si>
  <si>
    <t>3663.794</t>
  </si>
  <si>
    <t>883.669</t>
  </si>
  <si>
    <t>373.918</t>
  </si>
  <si>
    <t>96273.91</t>
  </si>
  <si>
    <t>-4102.608</t>
  </si>
  <si>
    <t>610.74</t>
  </si>
  <si>
    <t>4713.348</t>
  </si>
  <si>
    <t>97092.682</t>
  </si>
  <si>
    <t>96929.414</t>
  </si>
  <si>
    <t>110330.715</t>
  </si>
  <si>
    <t>2012-08</t>
  </si>
  <si>
    <t>4946.923</t>
  </si>
  <si>
    <t>3616.866</t>
  </si>
  <si>
    <t>861.719</t>
  </si>
  <si>
    <t>468.338</t>
  </si>
  <si>
    <t>90827.355</t>
  </si>
  <si>
    <t>-3622.972</t>
  </si>
  <si>
    <t>956.662</t>
  </si>
  <si>
    <t>4579.634</t>
  </si>
  <si>
    <t>92151.306</t>
  </si>
  <si>
    <t>91486.59</t>
  </si>
  <si>
    <t>106583.83</t>
  </si>
  <si>
    <t>2012-07</t>
  </si>
  <si>
    <t>6376.397</t>
  </si>
  <si>
    <t>5001.709</t>
  </si>
  <si>
    <t>875.262</t>
  </si>
  <si>
    <t>499.426</t>
  </si>
  <si>
    <t>92115.647</t>
  </si>
  <si>
    <t>-3270.409</t>
  </si>
  <si>
    <t>947.621</t>
  </si>
  <si>
    <t>4218.029</t>
  </si>
  <si>
    <t>95221.636</t>
  </si>
  <si>
    <t>95154.142</t>
  </si>
  <si>
    <t>104628.481</t>
  </si>
  <si>
    <t>2012-06</t>
  </si>
  <si>
    <t>8371.53</t>
  </si>
  <si>
    <t>6966.565</t>
  </si>
  <si>
    <t>951.328</t>
  </si>
  <si>
    <t>453.637</t>
  </si>
  <si>
    <t>84994.337</t>
  </si>
  <si>
    <t>-3699.306</t>
  </si>
  <si>
    <t>633.054</t>
  </si>
  <si>
    <t>4332.36</t>
  </si>
  <si>
    <t>89666.561</t>
  </si>
  <si>
    <t>89777.912</t>
  </si>
  <si>
    <t>103860.166</t>
  </si>
  <si>
    <t>2012-05</t>
  </si>
  <si>
    <t>9203.377</t>
  </si>
  <si>
    <t>7847.839</t>
  </si>
  <si>
    <t>933.063</t>
  </si>
  <si>
    <t>422.475</t>
  </si>
  <si>
    <t>92837.989</t>
  </si>
  <si>
    <t>-4488.638</t>
  </si>
  <si>
    <t>613.01</t>
  </si>
  <si>
    <t>5101.648</t>
  </si>
  <si>
    <t>97552.729</t>
  </si>
  <si>
    <t>97823.307</t>
  </si>
  <si>
    <t>108402.271</t>
  </si>
  <si>
    <t>47.9</t>
  </si>
  <si>
    <t>1.023</t>
  </si>
  <si>
    <t>2012-04</t>
  </si>
  <si>
    <t>7303.67</t>
  </si>
  <si>
    <t>5470.697</t>
  </si>
  <si>
    <t>1502.911</t>
  </si>
  <si>
    <t>330.062</t>
  </si>
  <si>
    <t>105259.434</t>
  </si>
  <si>
    <t>-3548.319</t>
  </si>
  <si>
    <t>939.549</t>
  </si>
  <si>
    <t>4487.868</t>
  </si>
  <si>
    <t>109014.786</t>
  </si>
  <si>
    <t>107680.724</t>
  </si>
  <si>
    <t>114372.816</t>
  </si>
  <si>
    <t>157.4</t>
  </si>
  <si>
    <t>1.341</t>
  </si>
  <si>
    <t>2012-03</t>
  </si>
  <si>
    <t>5239.668</t>
  </si>
  <si>
    <t>4001.282</t>
  </si>
  <si>
    <t>938.771</t>
  </si>
  <si>
    <t>299.615</t>
  </si>
  <si>
    <t>119245.978</t>
  </si>
  <si>
    <t>-5021.084</t>
  </si>
  <si>
    <t>436.229</t>
  </si>
  <si>
    <t>5457.312</t>
  </si>
  <si>
    <t>119464.563</t>
  </si>
  <si>
    <t>122394.708</t>
  </si>
  <si>
    <t>114459.876</t>
  </si>
  <si>
    <t>156.4</t>
  </si>
  <si>
    <t>0.78</t>
  </si>
  <si>
    <t>2012-02</t>
  </si>
  <si>
    <t>6514.954</t>
  </si>
  <si>
    <t>5250.793</t>
  </si>
  <si>
    <t>1083.764</t>
  </si>
  <si>
    <t>180.397</t>
  </si>
  <si>
    <t>122565.787</t>
  </si>
  <si>
    <t>548.039</t>
  </si>
  <si>
    <t>3166.98</t>
  </si>
  <si>
    <t>2618.941</t>
  </si>
  <si>
    <t>129628.78</t>
  </si>
  <si>
    <t>122863.354</t>
  </si>
  <si>
    <t>111156.644</t>
  </si>
  <si>
    <t>393.3</t>
  </si>
  <si>
    <t>1.526</t>
  </si>
  <si>
    <t>2012-01</t>
  </si>
  <si>
    <t>8462.921</t>
  </si>
  <si>
    <t>6833.247</t>
  </si>
  <si>
    <t>1520.984</t>
  </si>
  <si>
    <t>108.69</t>
  </si>
  <si>
    <t>135687.63</t>
  </si>
  <si>
    <t>-5498.52</t>
  </si>
  <si>
    <t>721.02</t>
  </si>
  <si>
    <t>6219.539</t>
  </si>
  <si>
    <t>138652.032</t>
  </si>
  <si>
    <t>140006.758</t>
  </si>
  <si>
    <t>110736.409</t>
  </si>
  <si>
    <t>281.8</t>
  </si>
  <si>
    <t>0.903</t>
  </si>
  <si>
    <t>2011-12</t>
  </si>
  <si>
    <t>7774.077</t>
  </si>
  <si>
    <t>5747.037</t>
  </si>
  <si>
    <t>1944.35</t>
  </si>
  <si>
    <t>82.69</t>
  </si>
  <si>
    <t>126664.766</t>
  </si>
  <si>
    <t>-4827.869</t>
  </si>
  <si>
    <t>943.17</t>
  </si>
  <si>
    <t>5771.039</t>
  </si>
  <si>
    <t>129610.974</t>
  </si>
  <si>
    <t>131284.288</t>
  </si>
  <si>
    <t>109721.958</t>
  </si>
  <si>
    <t>240</t>
  </si>
  <si>
    <t>0.835</t>
  </si>
  <si>
    <t>2011-11</t>
  </si>
  <si>
    <t>4973.075</t>
  </si>
  <si>
    <t>3958.532</t>
  </si>
  <si>
    <t>909.164</t>
  </si>
  <si>
    <t>105.379</t>
  </si>
  <si>
    <t>107339.353</t>
  </si>
  <si>
    <t>-3859.695</t>
  </si>
  <si>
    <t>1262.227</t>
  </si>
  <si>
    <t>5121.922</t>
  </si>
  <si>
    <t>108452.734</t>
  </si>
  <si>
    <t>111091.747</t>
  </si>
  <si>
    <t>106630.005</t>
  </si>
  <si>
    <t>145.2</t>
  </si>
  <si>
    <t>0.741</t>
  </si>
  <si>
    <t>2011-10</t>
  </si>
  <si>
    <t>4498.908</t>
  </si>
  <si>
    <t>3280.981</t>
  </si>
  <si>
    <t>1035.186</t>
  </si>
  <si>
    <t>182.74</t>
  </si>
  <si>
    <t>104447.591</t>
  </si>
  <si>
    <t>-3823.688</t>
  </si>
  <si>
    <t>841.151</t>
  </si>
  <si>
    <t>4664.84</t>
  </si>
  <si>
    <t>105122.81</t>
  </si>
  <si>
    <t>105485.333</t>
  </si>
  <si>
    <t>111009.583</t>
  </si>
  <si>
    <t>71.5</t>
  </si>
  <si>
    <t>2011-09</t>
  </si>
  <si>
    <t>4288.458</t>
  </si>
  <si>
    <t>3238.139</t>
  </si>
  <si>
    <t>821.148</t>
  </si>
  <si>
    <t>229.171</t>
  </si>
  <si>
    <t>100278.478</t>
  </si>
  <si>
    <t>-4265.768</t>
  </si>
  <si>
    <t>487.088</t>
  </si>
  <si>
    <t>4752.855</t>
  </si>
  <si>
    <t>100301.169</t>
  </si>
  <si>
    <t>100310.711</t>
  </si>
  <si>
    <t>113569.539</t>
  </si>
  <si>
    <t>2011-08</t>
  </si>
  <si>
    <t>4831.411</t>
  </si>
  <si>
    <t>3911.157</t>
  </si>
  <si>
    <t>664.12</t>
  </si>
  <si>
    <t>256.134</t>
  </si>
  <si>
    <t>100293.784</t>
  </si>
  <si>
    <t>-5346.962</t>
  </si>
  <si>
    <t>334.06</t>
  </si>
  <si>
    <t>5681.022</t>
  </si>
  <si>
    <t>99778.232</t>
  </si>
  <si>
    <t>100757.18</t>
  </si>
  <si>
    <t>116057.216</t>
  </si>
  <si>
    <t>2011-07</t>
  </si>
  <si>
    <t>5326.124</t>
  </si>
  <si>
    <t>4260.822</t>
  </si>
  <si>
    <t>809.146</t>
  </si>
  <si>
    <t>256.157</t>
  </si>
  <si>
    <t>106785.193</t>
  </si>
  <si>
    <t>-6173.111</t>
  </si>
  <si>
    <t>289.052</t>
  </si>
  <si>
    <t>6462.163</t>
  </si>
  <si>
    <t>105938.206</t>
  </si>
  <si>
    <t>105693.101</t>
  </si>
  <si>
    <t>115385.05</t>
  </si>
  <si>
    <t>2011-06</t>
  </si>
  <si>
    <t>5455.233</t>
  </si>
  <si>
    <t>4381.682</t>
  </si>
  <si>
    <t>853.154</t>
  </si>
  <si>
    <t>220.397</t>
  </si>
  <si>
    <t>103918.029</t>
  </si>
  <si>
    <t>-6055.09</t>
  </si>
  <si>
    <t>302.054</t>
  </si>
  <si>
    <t>6357.144</t>
  </si>
  <si>
    <t>103318.173</t>
  </si>
  <si>
    <t>103686.879</t>
  </si>
  <si>
    <t>117808.077</t>
  </si>
  <si>
    <t>2011-05</t>
  </si>
  <si>
    <t>4414.074</t>
  </si>
  <si>
    <t>3481.64</t>
  </si>
  <si>
    <t>727.131</t>
  </si>
  <si>
    <t>205.304</t>
  </si>
  <si>
    <t>105566.541</t>
  </si>
  <si>
    <t>-5340.961</t>
  </si>
  <si>
    <t>499.09</t>
  </si>
  <si>
    <t>5840.051</t>
  </si>
  <si>
    <t>104639.654</t>
  </si>
  <si>
    <t>106048.662</t>
  </si>
  <si>
    <t>116451.771</t>
  </si>
  <si>
    <t>24.3</t>
  </si>
  <si>
    <t>0.519</t>
  </si>
  <si>
    <t>2011-04</t>
  </si>
  <si>
    <t>4966.954</t>
  </si>
  <si>
    <t>4130.253</t>
  </si>
  <si>
    <t>668.12</t>
  </si>
  <si>
    <t>168.581</t>
  </si>
  <si>
    <t>104735.57</t>
  </si>
  <si>
    <t>-5115.921</t>
  </si>
  <si>
    <t>548.099</t>
  </si>
  <si>
    <t>5664.019</t>
  </si>
  <si>
    <t>104586.604</t>
  </si>
  <si>
    <t>107686.867</t>
  </si>
  <si>
    <t>114237.213</t>
  </si>
  <si>
    <t>0.452</t>
  </si>
  <si>
    <t>2011-03</t>
  </si>
  <si>
    <t>5739.882</t>
  </si>
  <si>
    <t>4525.639</t>
  </si>
  <si>
    <t>1094.197</t>
  </si>
  <si>
    <t>120.046</t>
  </si>
  <si>
    <t>119591.671</t>
  </si>
  <si>
    <t>-4655.838</t>
  </si>
  <si>
    <t>871.157</t>
  </si>
  <si>
    <t>5526.995</t>
  </si>
  <si>
    <t>120675.714</t>
  </si>
  <si>
    <t>121598.295</t>
  </si>
  <si>
    <t>113726.164</t>
  </si>
  <si>
    <t>189.5</t>
  </si>
  <si>
    <t>0.945</t>
  </si>
  <si>
    <t>2011-02</t>
  </si>
  <si>
    <t>5058.581</t>
  </si>
  <si>
    <t>4119.895</t>
  </si>
  <si>
    <t>67.529</t>
  </si>
  <si>
    <t>121352.736</t>
  </si>
  <si>
    <t>-3921.706</t>
  </si>
  <si>
    <t>854.154</t>
  </si>
  <si>
    <t>4775.86</t>
  </si>
  <si>
    <t>122489.611</t>
  </si>
  <si>
    <t>124086.333</t>
  </si>
  <si>
    <t>112340.732</t>
  </si>
  <si>
    <t>237.8</t>
  </si>
  <si>
    <t>0.922</t>
  </si>
  <si>
    <t>2011-01</t>
  </si>
  <si>
    <t>7320.55</t>
  </si>
  <si>
    <t>6048.917</t>
  </si>
  <si>
    <t>1229.221</t>
  </si>
  <si>
    <t>42.411</t>
  </si>
  <si>
    <t>138909.815</t>
  </si>
  <si>
    <t>-3750.675</t>
  </si>
  <si>
    <t>1266.228</t>
  </si>
  <si>
    <t>5016.903</t>
  </si>
  <si>
    <t>142479.69</t>
  </si>
  <si>
    <t>141886.171</t>
  </si>
  <si>
    <t>112664.923</t>
  </si>
  <si>
    <t>322.1</t>
  </si>
  <si>
    <t>1.033</t>
  </si>
  <si>
    <t>2010-12</t>
  </si>
  <si>
    <t>8014.061</t>
  </si>
  <si>
    <t>7063.89</t>
  </si>
  <si>
    <t>950.171</t>
  </si>
  <si>
    <t>132842.122</t>
  </si>
  <si>
    <t>-830.149</t>
  </si>
  <si>
    <t>2184.393</t>
  </si>
  <si>
    <t>3014.543</t>
  </si>
  <si>
    <t>140026.034</t>
  </si>
  <si>
    <t/>
  </si>
  <si>
    <t>114433.782</t>
  </si>
  <si>
    <t>408.2</t>
  </si>
  <si>
    <t>1.421</t>
  </si>
  <si>
    <t>2010-11</t>
  </si>
  <si>
    <t>6489.117</t>
  </si>
  <si>
    <t>5519.942</t>
  </si>
  <si>
    <t>969.174</t>
  </si>
  <si>
    <t>112760.297</t>
  </si>
  <si>
    <t>-2321.418</t>
  </si>
  <si>
    <t>1726.311</t>
  </si>
  <si>
    <t>4047.728</t>
  </si>
  <si>
    <t>116927.996</t>
  </si>
  <si>
    <t>113184.067</t>
  </si>
  <si>
    <t>224.6</t>
  </si>
  <si>
    <t>1.147</t>
  </si>
  <si>
    <t>2010-10</t>
  </si>
  <si>
    <t>5083.066</t>
  </si>
  <si>
    <t>4048.88</t>
  </si>
  <si>
    <t>1034.186</t>
  </si>
  <si>
    <t>101708.371</t>
  </si>
  <si>
    <t>-569.102</t>
  </si>
  <si>
    <t>2680.482</t>
  </si>
  <si>
    <t>3249.585</t>
  </si>
  <si>
    <t>106222.335</t>
  </si>
  <si>
    <t>108614.222</t>
  </si>
  <si>
    <t>114.8</t>
  </si>
  <si>
    <t>1.547</t>
  </si>
  <si>
    <t>2010-09</t>
  </si>
  <si>
    <t>4156.318</t>
  </si>
  <si>
    <t>3608.219</t>
  </si>
  <si>
    <t>100872.091</t>
  </si>
  <si>
    <t>-3610.65</t>
  </si>
  <si>
    <t>982.177</t>
  </si>
  <si>
    <t>4592.827</t>
  </si>
  <si>
    <t>101417.759</t>
  </si>
  <si>
    <t>112298.626</t>
  </si>
  <si>
    <t>2010-08</t>
  </si>
  <si>
    <t>5070.815</t>
  </si>
  <si>
    <t>4402.695</t>
  </si>
  <si>
    <t>103451.927</t>
  </si>
  <si>
    <t>-5908.063</t>
  </si>
  <si>
    <t>481.087</t>
  </si>
  <si>
    <t>6389.15</t>
  </si>
  <si>
    <t>102614.679</t>
  </si>
  <si>
    <t>113600.542</t>
  </si>
  <si>
    <t>2010-07</t>
  </si>
  <si>
    <t>5991.1</t>
  </si>
  <si>
    <t>5512.014</t>
  </si>
  <si>
    <t>479.086</t>
  </si>
  <si>
    <t>101295.785</t>
  </si>
  <si>
    <t>-4632.834</t>
  </si>
  <si>
    <t>781.141</t>
  </si>
  <si>
    <t>5413.974</t>
  </si>
  <si>
    <t>102654.051</t>
  </si>
  <si>
    <t>112363.767</t>
  </si>
  <si>
    <t>2010-06</t>
  </si>
  <si>
    <t>7974.2</t>
  </si>
  <si>
    <t>7408.098</t>
  </si>
  <si>
    <t>566.102</t>
  </si>
  <si>
    <t>94335.046</t>
  </si>
  <si>
    <t>-5287.952</t>
  </si>
  <si>
    <t>544.098</t>
  </si>
  <si>
    <t>5832.05</t>
  </si>
  <si>
    <t>97021.295</t>
  </si>
  <si>
    <t>110718.364</t>
  </si>
  <si>
    <t>2010-05</t>
  </si>
  <si>
    <t>7299.991</t>
  </si>
  <si>
    <t>6574.861</t>
  </si>
  <si>
    <t>725.131</t>
  </si>
  <si>
    <t>93362.235</t>
  </si>
  <si>
    <t>-2139.385</t>
  </si>
  <si>
    <t>1377.248</t>
  </si>
  <si>
    <t>3516.633</t>
  </si>
  <si>
    <t>98522.841</t>
  </si>
  <si>
    <t>108020.322</t>
  </si>
  <si>
    <t>89.9</t>
  </si>
  <si>
    <t>1.92</t>
  </si>
  <si>
    <t>2010-04</t>
  </si>
  <si>
    <t>6541.318</t>
  </si>
  <si>
    <t>5834.191</t>
  </si>
  <si>
    <t>707.127</t>
  </si>
  <si>
    <t>99668.426</t>
  </si>
  <si>
    <t>-2590.466</t>
  </si>
  <si>
    <t>1312.236</t>
  </si>
  <si>
    <t>3902.702</t>
  </si>
  <si>
    <t>103619.278</t>
  </si>
  <si>
    <t>108251.023</t>
  </si>
  <si>
    <t>116.6</t>
  </si>
  <si>
    <t>0.994</t>
  </si>
  <si>
    <t>2010-03</t>
  </si>
  <si>
    <t>7459.857</t>
  </si>
  <si>
    <t>6310.65</t>
  </si>
  <si>
    <t>1149.207</t>
  </si>
  <si>
    <t>114382.671</t>
  </si>
  <si>
    <t>-2146.386</t>
  </si>
  <si>
    <t>2129.383</t>
  </si>
  <si>
    <t>4275.77</t>
  </si>
  <si>
    <t>119696.141</t>
  </si>
  <si>
    <t>110449.04</t>
  </si>
  <si>
    <t>236</t>
  </si>
  <si>
    <t>1.177</t>
  </si>
  <si>
    <t>2010-02</t>
  </si>
  <si>
    <t>6852.716</t>
  </si>
  <si>
    <t>5903.545</t>
  </si>
  <si>
    <t>949.171</t>
  </si>
  <si>
    <t>115196.484</t>
  </si>
  <si>
    <t>-1095.197</t>
  </si>
  <si>
    <t>2199.396</t>
  </si>
  <si>
    <t>3294.593</t>
  </si>
  <si>
    <t>120954.003</t>
  </si>
  <si>
    <t>111949.064</t>
  </si>
  <si>
    <t>301.7</t>
  </si>
  <si>
    <t>1.17</t>
  </si>
  <si>
    <t>2010-01</t>
  </si>
  <si>
    <t>7039.828</t>
  </si>
  <si>
    <t>6371.707</t>
  </si>
  <si>
    <t>128292.756</t>
  </si>
  <si>
    <t>378.068</t>
  </si>
  <si>
    <t>3042.548</t>
  </si>
  <si>
    <t>2664.48</t>
  </si>
  <si>
    <t>135710.651</t>
  </si>
  <si>
    <t>108893.223</t>
  </si>
  <si>
    <t>415.5</t>
  </si>
  <si>
    <t>1.332</t>
  </si>
  <si>
    <t>2009-12</t>
  </si>
  <si>
    <t>6263.241</t>
  </si>
  <si>
    <t>5323.072</t>
  </si>
  <si>
    <t>940.169</t>
  </si>
  <si>
    <t>120193.633</t>
  </si>
  <si>
    <t>-797.143</t>
  </si>
  <si>
    <t>2376.428</t>
  </si>
  <si>
    <t>3173.571</t>
  </si>
  <si>
    <t>125659.731</t>
  </si>
  <si>
    <t>105981.885</t>
  </si>
  <si>
    <t>323.4</t>
  </si>
  <si>
    <t>1.126</t>
  </si>
  <si>
    <t>2009-11</t>
  </si>
  <si>
    <t>5090.556</t>
  </si>
  <si>
    <t>3794.323</t>
  </si>
  <si>
    <t>1296.233</t>
  </si>
  <si>
    <t>100247.048</t>
  </si>
  <si>
    <t>-1108.199</t>
  </si>
  <si>
    <t>1918.345</t>
  </si>
  <si>
    <t>3026.545</t>
  </si>
  <si>
    <t>104229.405</t>
  </si>
  <si>
    <t>103533.119</t>
  </si>
  <si>
    <t>142.9</t>
  </si>
  <si>
    <t>0.73</t>
  </si>
  <si>
    <t>2009-10</t>
  </si>
  <si>
    <t>3714.019</t>
  </si>
  <si>
    <t>3081.905</t>
  </si>
  <si>
    <t>632.114</t>
  </si>
  <si>
    <t>98785.998</t>
  </si>
  <si>
    <t>428.077</t>
  </si>
  <si>
    <t>2606.469</t>
  </si>
  <si>
    <t>2178.392</t>
  </si>
  <si>
    <t>102928.094</t>
  </si>
  <si>
    <t>105076.21</t>
  </si>
  <si>
    <t>92</t>
  </si>
  <si>
    <t>1.24</t>
  </si>
  <si>
    <t>2009-09</t>
  </si>
  <si>
    <t>3536.964</t>
  </si>
  <si>
    <t>2994.867</t>
  </si>
  <si>
    <t>542.098</t>
  </si>
  <si>
    <t>91803.258</t>
  </si>
  <si>
    <t>-1262.227</t>
  </si>
  <si>
    <t>1603.289</t>
  </si>
  <si>
    <t>2865.516</t>
  </si>
  <si>
    <t>94077.995</t>
  </si>
  <si>
    <t>104596.814</t>
  </si>
  <si>
    <t>2009-08</t>
  </si>
  <si>
    <t>4267.069</t>
  </si>
  <si>
    <t>3912.005</t>
  </si>
  <si>
    <t>355.064</t>
  </si>
  <si>
    <t>90316.491</t>
  </si>
  <si>
    <t>-2074.373</t>
  </si>
  <si>
    <t>1372.247</t>
  </si>
  <si>
    <t>3446.62</t>
  </si>
  <si>
    <t>92509.186</t>
  </si>
  <si>
    <t>103976.855</t>
  </si>
  <si>
    <t>2009-07</t>
  </si>
  <si>
    <t>5504.3</t>
  </si>
  <si>
    <t>4966.204</t>
  </si>
  <si>
    <t>538.097</t>
  </si>
  <si>
    <t>92456.012</t>
  </si>
  <si>
    <t>-1358.244</t>
  </si>
  <si>
    <t>2025.365</t>
  </si>
  <si>
    <t>3383.609</t>
  </si>
  <si>
    <t>96602.068</t>
  </si>
  <si>
    <t>105899.999</t>
  </si>
  <si>
    <t>2009-06</t>
  </si>
  <si>
    <t>6849.237</t>
  </si>
  <si>
    <t>6444.164</t>
  </si>
  <si>
    <t>405.073</t>
  </si>
  <si>
    <t>86803.48</t>
  </si>
  <si>
    <t>-1950.351</t>
  </si>
  <si>
    <t>1510.272</t>
  </si>
  <si>
    <t>3460.623</t>
  </si>
  <si>
    <t>91702.366</t>
  </si>
  <si>
    <t>105465.199</t>
  </si>
  <si>
    <t>2009-05</t>
  </si>
  <si>
    <t>7748.765</t>
  </si>
  <si>
    <t>7209.668</t>
  </si>
  <si>
    <t>539.097</t>
  </si>
  <si>
    <t>95638.402</t>
  </si>
  <si>
    <t>-4540.817</t>
  </si>
  <si>
    <t>693.125</t>
  </si>
  <si>
    <t>5233.942</t>
  </si>
  <si>
    <t>98846.35</t>
  </si>
  <si>
    <t>108683.441</t>
  </si>
  <si>
    <t>32.4</t>
  </si>
  <si>
    <t>0.692</t>
  </si>
  <si>
    <t>2009-04</t>
  </si>
  <si>
    <t>7207.142</t>
  </si>
  <si>
    <t>6743.059</t>
  </si>
  <si>
    <t>464.084</t>
  </si>
  <si>
    <t>98544.985</t>
  </si>
  <si>
    <t>-2783.501</t>
  </si>
  <si>
    <t>1033.186</t>
  </si>
  <si>
    <t>3816.687</t>
  </si>
  <si>
    <t>102968.626</t>
  </si>
  <si>
    <t>108421.89</t>
  </si>
  <si>
    <t>94.5</t>
  </si>
  <si>
    <t>0.805</t>
  </si>
  <si>
    <t>2009-03</t>
  </si>
  <si>
    <t>7056.205</t>
  </si>
  <si>
    <t>6315.072</t>
  </si>
  <si>
    <t>741.133</t>
  </si>
  <si>
    <t>114347.825</t>
  </si>
  <si>
    <t>-4449.801</t>
  </si>
  <si>
    <t>827.149</t>
  </si>
  <si>
    <t>5276.95</t>
  </si>
  <si>
    <t>116954.23</t>
  </si>
  <si>
    <t>108972.999</t>
  </si>
  <si>
    <t>224.9</t>
  </si>
  <si>
    <t>1.121</t>
  </si>
  <si>
    <t>2009-02</t>
  </si>
  <si>
    <t>6302.488</t>
  </si>
  <si>
    <t>5808.399</t>
  </si>
  <si>
    <t>494.089</t>
  </si>
  <si>
    <t>117351.395</t>
  </si>
  <si>
    <t>-3328.599</t>
  </si>
  <si>
    <t>4310.776</t>
  </si>
  <si>
    <t>120325.284</t>
  </si>
  <si>
    <t>111904.909</t>
  </si>
  <si>
    <t>292.6</t>
  </si>
  <si>
    <t>1.135</t>
  </si>
  <si>
    <t>2009-01</t>
  </si>
  <si>
    <t>6798.31</t>
  </si>
  <si>
    <t>6149.193</t>
  </si>
  <si>
    <t>649.117</t>
  </si>
  <si>
    <t>136557.878</t>
  </si>
  <si>
    <t>-2718.489</t>
  </si>
  <si>
    <t>1569.282</t>
  </si>
  <si>
    <t>4287.772</t>
  </si>
  <si>
    <t>140637.698</t>
  </si>
  <si>
    <t>114694.136</t>
  </si>
  <si>
    <t>391.8</t>
  </si>
  <si>
    <t>1.256</t>
  </si>
  <si>
    <t>2008-12</t>
  </si>
  <si>
    <t>6323.758</t>
  </si>
  <si>
    <t>5663.639</t>
  </si>
  <si>
    <t>660.119</t>
  </si>
  <si>
    <t>131144.783</t>
  </si>
  <si>
    <t>-2868.516</t>
  </si>
  <si>
    <t>1395.251</t>
  </si>
  <si>
    <t>4263.767</t>
  </si>
  <si>
    <t>134600.025</t>
  </si>
  <si>
    <t>114380.366</t>
  </si>
  <si>
    <t>346.8</t>
  </si>
  <si>
    <t>1.207</t>
  </si>
  <si>
    <t>2008-11</t>
  </si>
  <si>
    <t>5762.935</t>
  </si>
  <si>
    <t>5125.82</t>
  </si>
  <si>
    <t>637.115</t>
  </si>
  <si>
    <t>114784.267</t>
  </si>
  <si>
    <t>-3428.617</t>
  </si>
  <si>
    <t>4368.786</t>
  </si>
  <si>
    <t>117118.585</t>
  </si>
  <si>
    <t>114202.055</t>
  </si>
  <si>
    <t>212.9</t>
  </si>
  <si>
    <t>2008-10</t>
  </si>
  <si>
    <t>4281.465</t>
  </si>
  <si>
    <t>3806.379</t>
  </si>
  <si>
    <t>475.086</t>
  </si>
  <si>
    <t>108061.847</t>
  </si>
  <si>
    <t>-1480.266</t>
  </si>
  <si>
    <t>1577.284</t>
  </si>
  <si>
    <t>3057.55</t>
  </si>
  <si>
    <t>110863.045</t>
  </si>
  <si>
    <t>111674.615</t>
  </si>
  <si>
    <t>109.9</t>
  </si>
  <si>
    <t>1.481</t>
  </si>
  <si>
    <t>2008-09</t>
  </si>
  <si>
    <t>5343.377</t>
  </si>
  <si>
    <t>4879.293</t>
  </si>
  <si>
    <t>99626.997</t>
  </si>
  <si>
    <t>-3689.664</t>
  </si>
  <si>
    <t>878.158</t>
  </si>
  <si>
    <t>4567.822</t>
  </si>
  <si>
    <t>101280.71</t>
  </si>
  <si>
    <t>111196.348</t>
  </si>
  <si>
    <t>2008-08</t>
  </si>
  <si>
    <t>4736.158</t>
  </si>
  <si>
    <t>4329.084</t>
  </si>
  <si>
    <t>407.073</t>
  </si>
  <si>
    <t>102460.84</t>
  </si>
  <si>
    <t>-5184.933</t>
  </si>
  <si>
    <t>876.158</t>
  </si>
  <si>
    <t>6061.091</t>
  </si>
  <si>
    <t>102012.065</t>
  </si>
  <si>
    <t>114047.441</t>
  </si>
  <si>
    <t>2008-07</t>
  </si>
  <si>
    <t>6455.129</t>
  </si>
  <si>
    <t>6108.066</t>
  </si>
  <si>
    <t>347.062</t>
  </si>
  <si>
    <t>101837.054</t>
  </si>
  <si>
    <t>-4782.861</t>
  </si>
  <si>
    <t>642.116</t>
  </si>
  <si>
    <t>5424.976</t>
  </si>
  <si>
    <t>103509.322</t>
  </si>
  <si>
    <t>112917.778</t>
  </si>
  <si>
    <t>2008-06</t>
  </si>
  <si>
    <t>8776.084</t>
  </si>
  <si>
    <t>8493.033</t>
  </si>
  <si>
    <t>283.051</t>
  </si>
  <si>
    <t>91410.369</t>
  </si>
  <si>
    <t>-5179.932</t>
  </si>
  <si>
    <t>446.08</t>
  </si>
  <si>
    <t>5626.013</t>
  </si>
  <si>
    <t>95006.521</t>
  </si>
  <si>
    <t>108109.689</t>
  </si>
  <si>
    <t>2008-05</t>
  </si>
  <si>
    <t>7636.606</t>
  </si>
  <si>
    <t>7354.555</t>
  </si>
  <si>
    <t>282.051</t>
  </si>
  <si>
    <t>102006.213</t>
  </si>
  <si>
    <t>-5818.047</t>
  </si>
  <si>
    <t>314.057</t>
  </si>
  <si>
    <t>6132.104</t>
  </si>
  <si>
    <t>103824.772</t>
  </si>
  <si>
    <t>112831.254</t>
  </si>
  <si>
    <t>19.3</t>
  </si>
  <si>
    <t>0.412</t>
  </si>
  <si>
    <t>2008-04</t>
  </si>
  <si>
    <t>7568.261</t>
  </si>
  <si>
    <t>7152.186</t>
  </si>
  <si>
    <t>416.075</t>
  </si>
  <si>
    <t>109092.335</t>
  </si>
  <si>
    <t>-3797.683</t>
  </si>
  <si>
    <t>594.107</t>
  </si>
  <si>
    <t>4391.79</t>
  </si>
  <si>
    <t>112862.913</t>
  </si>
  <si>
    <t>115986.848</t>
  </si>
  <si>
    <t>148.2</t>
  </si>
  <si>
    <t>1.263</t>
  </si>
  <si>
    <t>2008-03</t>
  </si>
  <si>
    <t>6370.011</t>
  </si>
  <si>
    <t>5672.885</t>
  </si>
  <si>
    <t>697.125</t>
  </si>
  <si>
    <t>118281.865</t>
  </si>
  <si>
    <t>-3074.553</t>
  </si>
  <si>
    <t>915.165</t>
  </si>
  <si>
    <t>3989.718</t>
  </si>
  <si>
    <t>121577.323</t>
  </si>
  <si>
    <t>114711.617</t>
  </si>
  <si>
    <t>232</t>
  </si>
  <si>
    <t>1.157</t>
  </si>
  <si>
    <t>2008-02</t>
  </si>
  <si>
    <t>4931.899</t>
  </si>
  <si>
    <t>4503.822</t>
  </si>
  <si>
    <t>123370.659</t>
  </si>
  <si>
    <t>-4344.782</t>
  </si>
  <si>
    <t>520.094</t>
  </si>
  <si>
    <t>4864.876</t>
  </si>
  <si>
    <t>123957.776</t>
  </si>
  <si>
    <t>115156.593</t>
  </si>
  <si>
    <t>230.9</t>
  </si>
  <si>
    <t>0.896</t>
  </si>
  <si>
    <t>2008-01</t>
  </si>
  <si>
    <t>6746.671</t>
  </si>
  <si>
    <t>6132.561</t>
  </si>
  <si>
    <t>614.111</t>
  </si>
  <si>
    <t>129923.352</t>
  </si>
  <si>
    <t>-4339.781</t>
  </si>
  <si>
    <t>798.144</t>
  </si>
  <si>
    <t>5137.925</t>
  </si>
  <si>
    <t>132330.242</t>
  </si>
  <si>
    <t>110801.045</t>
  </si>
  <si>
    <t>257.9</t>
  </si>
  <si>
    <t>0.827</t>
  </si>
  <si>
    <t>2007-12</t>
  </si>
  <si>
    <t>5263.391</t>
  </si>
  <si>
    <t>4679.286</t>
  </si>
  <si>
    <t>584.105</t>
  </si>
  <si>
    <t>126925.843</t>
  </si>
  <si>
    <t>-1708.307</t>
  </si>
  <si>
    <t>1809.326</t>
  </si>
  <si>
    <t>3517.633</t>
  </si>
  <si>
    <t>130480.927</t>
  </si>
  <si>
    <t>111663.666</t>
  </si>
  <si>
    <t>323</t>
  </si>
  <si>
    <t>1.124</t>
  </si>
  <si>
    <t>2007-11</t>
  </si>
  <si>
    <t>3811.406</t>
  </si>
  <si>
    <t>3377.328</t>
  </si>
  <si>
    <t>434.078</t>
  </si>
  <si>
    <t>114099.296</t>
  </si>
  <si>
    <t>-637.115</t>
  </si>
  <si>
    <t>2173.391</t>
  </si>
  <si>
    <t>2810.506</t>
  </si>
  <si>
    <t>117273.587</t>
  </si>
  <si>
    <t>111688.958</t>
  </si>
  <si>
    <t>240.3</t>
  </si>
  <si>
    <t>1.227</t>
  </si>
  <si>
    <t>2007-10</t>
  </si>
  <si>
    <t>4234.977</t>
  </si>
  <si>
    <t>3951.926</t>
  </si>
  <si>
    <t>117287.747</t>
  </si>
  <si>
    <t>-3947.71</t>
  </si>
  <si>
    <t>929.167</t>
  </si>
  <si>
    <t>4876.878</t>
  </si>
  <si>
    <t>117575.014</t>
  </si>
  <si>
    <t>117735.175</t>
  </si>
  <si>
    <t>111.7</t>
  </si>
  <si>
    <t>1.506</t>
  </si>
  <si>
    <t>2007-09</t>
  </si>
  <si>
    <t>4297.934</t>
  </si>
  <si>
    <t>4020.884</t>
  </si>
  <si>
    <t>277.05</t>
  </si>
  <si>
    <t>106219.091</t>
  </si>
  <si>
    <t>-5305.955</t>
  </si>
  <si>
    <t>541.097</t>
  </si>
  <si>
    <t>5847.052</t>
  </si>
  <si>
    <t>105211.071</t>
  </si>
  <si>
    <t>115720.229</t>
  </si>
  <si>
    <t>2007-08</t>
  </si>
  <si>
    <t>5403.537</t>
  </si>
  <si>
    <t>5118.486</t>
  </si>
  <si>
    <t>285.051</t>
  </si>
  <si>
    <t>104203.578</t>
  </si>
  <si>
    <t>-7068.272</t>
  </si>
  <si>
    <t>422.076</t>
  </si>
  <si>
    <t>7490.348</t>
  </si>
  <si>
    <t>102538.843</t>
  </si>
  <si>
    <t>113818.15</t>
  </si>
  <si>
    <t>2007-07</t>
  </si>
  <si>
    <t>6560.066</t>
  </si>
  <si>
    <t>6222.005</t>
  </si>
  <si>
    <t>338.061</t>
  </si>
  <si>
    <t>101666.758</t>
  </si>
  <si>
    <t>-5740.033</t>
  </si>
  <si>
    <t>621.112</t>
  </si>
  <si>
    <t>6361.145</t>
  </si>
  <si>
    <t>102486.791</t>
  </si>
  <si>
    <t>111908.009</t>
  </si>
  <si>
    <t>2007-06</t>
  </si>
  <si>
    <t>7601.844</t>
  </si>
  <si>
    <t>7360.801</t>
  </si>
  <si>
    <t>241.043</t>
  </si>
  <si>
    <t>98523.769</t>
  </si>
  <si>
    <t>-6753.215</t>
  </si>
  <si>
    <t>227.041</t>
  </si>
  <si>
    <t>6980.256</t>
  </si>
  <si>
    <t>99372.398</t>
  </si>
  <si>
    <t>111868.215</t>
  </si>
  <si>
    <t>2007-05</t>
  </si>
  <si>
    <t>6563.933</t>
  </si>
  <si>
    <t>6202.868</t>
  </si>
  <si>
    <t>361.065</t>
  </si>
  <si>
    <t>101563.709</t>
  </si>
  <si>
    <t>-5659.018</t>
  </si>
  <si>
    <t>393.071</t>
  </si>
  <si>
    <t>6052.089</t>
  </si>
  <si>
    <t>102468.624</t>
  </si>
  <si>
    <t>111137.204</t>
  </si>
  <si>
    <t>34.5</t>
  </si>
  <si>
    <t>0.737</t>
  </si>
  <si>
    <t>2007-04</t>
  </si>
  <si>
    <t>5647.043</t>
  </si>
  <si>
    <t>5461.009</t>
  </si>
  <si>
    <t>186.033</t>
  </si>
  <si>
    <t>101333.365</t>
  </si>
  <si>
    <t>-4643.836</t>
  </si>
  <si>
    <t>675.122</t>
  </si>
  <si>
    <t>5318.957</t>
  </si>
  <si>
    <t>102336.572</t>
  </si>
  <si>
    <t>110151.442</t>
  </si>
  <si>
    <t>54.9</t>
  </si>
  <si>
    <t>0.468</t>
  </si>
  <si>
    <t>2007-03</t>
  </si>
  <si>
    <t>7292.725</t>
  </si>
  <si>
    <t>6929.66</t>
  </si>
  <si>
    <t>363.065</t>
  </si>
  <si>
    <t>116790.688</t>
  </si>
  <si>
    <t>-5606.009</t>
  </si>
  <si>
    <t>552.099</t>
  </si>
  <si>
    <t>6158.108</t>
  </si>
  <si>
    <t>118477.405</t>
  </si>
  <si>
    <t>112407.778</t>
  </si>
  <si>
    <t>212.2</t>
  </si>
  <si>
    <t>1.058</t>
  </si>
  <si>
    <t>2007-02</t>
  </si>
  <si>
    <t>6009.366</t>
  </si>
  <si>
    <t>5648.301</t>
  </si>
  <si>
    <t>114708.496</t>
  </si>
  <si>
    <t>-5138.925</t>
  </si>
  <si>
    <t>534.096</t>
  </si>
  <si>
    <t>5673.021</t>
  </si>
  <si>
    <t>115578.937</t>
  </si>
  <si>
    <t>112386.176</t>
  </si>
  <si>
    <t>0.756</t>
  </si>
  <si>
    <t>2007-01</t>
  </si>
  <si>
    <t>5897.263</t>
  </si>
  <si>
    <t>5470.186</t>
  </si>
  <si>
    <t>427.077</t>
  </si>
  <si>
    <t>129735.439</t>
  </si>
  <si>
    <t>-4837.871</t>
  </si>
  <si>
    <t>5679.022</t>
  </si>
  <si>
    <t>130794.831</t>
  </si>
  <si>
    <t>110731.955</t>
  </si>
  <si>
    <t>244.1</t>
  </si>
  <si>
    <t>0.783</t>
  </si>
  <si>
    <t>2006-12</t>
  </si>
  <si>
    <t>5575.858</t>
  </si>
  <si>
    <t>5251.799</t>
  </si>
  <si>
    <t>324.058</t>
  </si>
  <si>
    <t>128223.046</t>
  </si>
  <si>
    <t>-3941.709</t>
  </si>
  <si>
    <t>1126.203</t>
  </si>
  <si>
    <t>5067.912</t>
  </si>
  <si>
    <t>129857.194</t>
  </si>
  <si>
    <t>112100.511</t>
  </si>
  <si>
    <t>287.8</t>
  </si>
  <si>
    <t>1.002</t>
  </si>
  <si>
    <t>2006-11</t>
  </si>
  <si>
    <t>4542.109</t>
  </si>
  <si>
    <t>4243.055</t>
  </si>
  <si>
    <t>299.054</t>
  </si>
  <si>
    <t>118378.853</t>
  </si>
  <si>
    <t>-6501.17</t>
  </si>
  <si>
    <t>414.075</t>
  </si>
  <si>
    <t>6915.245</t>
  </si>
  <si>
    <t>116419.791</t>
  </si>
  <si>
    <t>113128.495</t>
  </si>
  <si>
    <t>152.5</t>
  </si>
  <si>
    <t>0.779</t>
  </si>
  <si>
    <t>2006-10</t>
  </si>
  <si>
    <t>5334.152</t>
  </si>
  <si>
    <t>5097.109</t>
  </si>
  <si>
    <t>237.043</t>
  </si>
  <si>
    <t>113681.039</t>
  </si>
  <si>
    <t>-7320.317</t>
  </si>
  <si>
    <t>7547.358</t>
  </si>
  <si>
    <t>111694.873</t>
  </si>
  <si>
    <t>113564.956</t>
  </si>
  <si>
    <t>23.8</t>
  </si>
  <si>
    <t>0.321</t>
  </si>
  <si>
    <t>2006-09</t>
  </si>
  <si>
    <t>4543.042</t>
  </si>
  <si>
    <t>4391.014</t>
  </si>
  <si>
    <t>152.027</t>
  </si>
  <si>
    <t>107807.256</t>
  </si>
  <si>
    <t>-6982.257</t>
  </si>
  <si>
    <t>229.041</t>
  </si>
  <si>
    <t>7211.298</t>
  </si>
  <si>
    <t>105368.041</t>
  </si>
  <si>
    <t>115139.491</t>
  </si>
  <si>
    <t>2006-08</t>
  </si>
  <si>
    <t>4233.605</t>
  </si>
  <si>
    <t>4042.571</t>
  </si>
  <si>
    <t>191.034</t>
  </si>
  <si>
    <t>104570.31</t>
  </si>
  <si>
    <t>-7112.28</t>
  </si>
  <si>
    <t>122.022</t>
  </si>
  <si>
    <t>7234.302</t>
  </si>
  <si>
    <t>101691.635</t>
  </si>
  <si>
    <t>113398.849</t>
  </si>
  <si>
    <t>2006-07</t>
  </si>
  <si>
    <t>4559.035</t>
  </si>
  <si>
    <t>4465.018</t>
  </si>
  <si>
    <t>94.017</t>
  </si>
  <si>
    <t>105161.325</t>
  </si>
  <si>
    <t>-4966.894</t>
  </si>
  <si>
    <t>623.112</t>
  </si>
  <si>
    <t>5590.006</t>
  </si>
  <si>
    <t>104753.466</t>
  </si>
  <si>
    <t>114948.46</t>
  </si>
  <si>
    <t>2006-06</t>
  </si>
  <si>
    <t>5299.84</t>
  </si>
  <si>
    <t>5200.822</t>
  </si>
  <si>
    <t>99.018</t>
  </si>
  <si>
    <t>104758.223</t>
  </si>
  <si>
    <t>-5946.07</t>
  </si>
  <si>
    <t>233.042</t>
  </si>
  <si>
    <t>6179.112</t>
  </si>
  <si>
    <t>104111.992</t>
  </si>
  <si>
    <t>116101.98</t>
  </si>
  <si>
    <t>2006-05</t>
  </si>
  <si>
    <t>7067.682</t>
  </si>
  <si>
    <t>6901.652</t>
  </si>
  <si>
    <t>166.03</t>
  </si>
  <si>
    <t>108225.513</t>
  </si>
  <si>
    <t>-7239.303</t>
  </si>
  <si>
    <t>71.013</t>
  </si>
  <si>
    <t>7310.316</t>
  </si>
  <si>
    <t>108053.892</t>
  </si>
  <si>
    <t>115919.259</t>
  </si>
  <si>
    <t>43.1</t>
  </si>
  <si>
    <t>2006-04</t>
  </si>
  <si>
    <t>7310.044</t>
  </si>
  <si>
    <t>7165.018</t>
  </si>
  <si>
    <t>145.026</t>
  </si>
  <si>
    <t>114187.19</t>
  </si>
  <si>
    <t>-7249.305</t>
  </si>
  <si>
    <t>110.02</t>
  </si>
  <si>
    <t>7359.324</t>
  </si>
  <si>
    <t>114247.929</t>
  </si>
  <si>
    <t>119291.271</t>
  </si>
  <si>
    <t>128.4</t>
  </si>
  <si>
    <t>2006-03</t>
  </si>
  <si>
    <t>6907.886</t>
  </si>
  <si>
    <t>6711.851</t>
  </si>
  <si>
    <t>196.035</t>
  </si>
  <si>
    <t>112414.144</t>
  </si>
  <si>
    <t>1427.257</t>
  </si>
  <si>
    <t>4017.723</t>
  </si>
  <si>
    <t>116731.564</t>
  </si>
  <si>
    <t>108640.348</t>
  </si>
  <si>
    <t>248.4</t>
  </si>
  <si>
    <t>1.239</t>
  </si>
  <si>
    <t>2006-02</t>
  </si>
  <si>
    <t>4803.969</t>
  </si>
  <si>
    <t>4666.944</t>
  </si>
  <si>
    <t>137.025</t>
  </si>
  <si>
    <t>111416.995</t>
  </si>
  <si>
    <t>-955.172</t>
  </si>
  <si>
    <t>1824.328</t>
  </si>
  <si>
    <t>2779.5</t>
  </si>
  <si>
    <t>115265.792</t>
  </si>
  <si>
    <t>108790.164</t>
  </si>
  <si>
    <t>318.4</t>
  </si>
  <si>
    <t>1.235</t>
  </si>
  <si>
    <t>2006-01</t>
  </si>
  <si>
    <t>4432.752</t>
  </si>
  <si>
    <t>4303.729</t>
  </si>
  <si>
    <t>129.023</t>
  </si>
  <si>
    <t>135581.945</t>
  </si>
  <si>
    <t>-2807.505</t>
  </si>
  <si>
    <t>1167.21</t>
  </si>
  <si>
    <t>3974.715</t>
  </si>
  <si>
    <t>137207.191</t>
  </si>
  <si>
    <t>114376.221</t>
  </si>
  <si>
    <t>364</t>
  </si>
  <si>
    <t>1.167</t>
  </si>
  <si>
    <t>2005-12</t>
  </si>
  <si>
    <t>4456.8</t>
  </si>
  <si>
    <t>4327.776</t>
  </si>
  <si>
    <t>133333.056</t>
  </si>
  <si>
    <t>-3283.591</t>
  </si>
  <si>
    <t>1057.19</t>
  </si>
  <si>
    <t>4340.781</t>
  </si>
  <si>
    <t>134506.264</t>
  </si>
  <si>
    <t>113696.329</t>
  </si>
  <si>
    <t>361.2</t>
  </si>
  <si>
    <t>1.257</t>
  </si>
  <si>
    <t>2005-11</t>
  </si>
  <si>
    <t>4004.473</t>
  </si>
  <si>
    <t>3899.454</t>
  </si>
  <si>
    <t>105.019</t>
  </si>
  <si>
    <t>121958.284</t>
  </si>
  <si>
    <t>-5436.978</t>
  </si>
  <si>
    <t>471.085</t>
  </si>
  <si>
    <t>5908.063</t>
  </si>
  <si>
    <t>120525.778</t>
  </si>
  <si>
    <t>113668.246</t>
  </si>
  <si>
    <t>2005-10</t>
  </si>
  <si>
    <t>3849.697</t>
  </si>
  <si>
    <t>3756.68</t>
  </si>
  <si>
    <t>93.017</t>
  </si>
  <si>
    <t>113808.334</t>
  </si>
  <si>
    <t>-5892.06</t>
  </si>
  <si>
    <t>278.05</t>
  </si>
  <si>
    <t>6170.11</t>
  </si>
  <si>
    <t>111765.971</t>
  </si>
  <si>
    <t>113441.048</t>
  </si>
  <si>
    <t>28</t>
  </si>
  <si>
    <t>0.377</t>
  </si>
  <si>
    <t>2005-09</t>
  </si>
  <si>
    <t>3937.25</t>
  </si>
  <si>
    <t>3882.24</t>
  </si>
  <si>
    <t>55.01</t>
  </si>
  <si>
    <t>106446.405</t>
  </si>
  <si>
    <t>-5734.032</t>
  </si>
  <si>
    <t>359.065</t>
  </si>
  <si>
    <t>6093.097</t>
  </si>
  <si>
    <t>104649.623</t>
  </si>
  <si>
    <t>113993.032</t>
  </si>
  <si>
    <t>2005-08</t>
  </si>
  <si>
    <t>3778.064</t>
  </si>
  <si>
    <t>3706.051</t>
  </si>
  <si>
    <t>72.013</t>
  </si>
  <si>
    <t>105840.235</t>
  </si>
  <si>
    <t>-6809.225</t>
  </si>
  <si>
    <t>242.044</t>
  </si>
  <si>
    <t>7051.269</t>
  </si>
  <si>
    <t>102809.074</t>
  </si>
  <si>
    <t>115125.976</t>
  </si>
  <si>
    <t>2005-07</t>
  </si>
  <si>
    <t>4257.028</t>
  </si>
  <si>
    <t>4186.015</t>
  </si>
  <si>
    <t>102727.555</t>
  </si>
  <si>
    <t>-4601.828</t>
  </si>
  <si>
    <t>667.12</t>
  </si>
  <si>
    <t>5268.948</t>
  </si>
  <si>
    <t>102382.754</t>
  </si>
  <si>
    <t>112133.203</t>
  </si>
  <si>
    <t>2005-06</t>
  </si>
  <si>
    <t>5026.851</t>
  </si>
  <si>
    <t>4976.842</t>
  </si>
  <si>
    <t>50.009</t>
  </si>
  <si>
    <t>104727.914</t>
  </si>
  <si>
    <t>-5897.061</t>
  </si>
  <si>
    <t>409.074</t>
  </si>
  <si>
    <t>6306.135</t>
  </si>
  <si>
    <t>103857.704</t>
  </si>
  <si>
    <t>115110.648</t>
  </si>
  <si>
    <t>2005-05</t>
  </si>
  <si>
    <t>6243.739</t>
  </si>
  <si>
    <t>6174.726</t>
  </si>
  <si>
    <t>69.012</t>
  </si>
  <si>
    <t>106413.066</t>
  </si>
  <si>
    <t>-6699.206</t>
  </si>
  <si>
    <t>201.036</t>
  </si>
  <si>
    <t>6900.242</t>
  </si>
  <si>
    <t>105957.599</t>
  </si>
  <si>
    <t>113517.221</t>
  </si>
  <si>
    <t>1.13</t>
  </si>
  <si>
    <t>2005-04</t>
  </si>
  <si>
    <t>6063.512</t>
  </si>
  <si>
    <t>5995.499</t>
  </si>
  <si>
    <t>68.012</t>
  </si>
  <si>
    <t>106067.549</t>
  </si>
  <si>
    <t>-4489.808</t>
  </si>
  <si>
    <t>530.095</t>
  </si>
  <si>
    <t>5019.903</t>
  </si>
  <si>
    <t>107641.253</t>
  </si>
  <si>
    <t>111297.236</t>
  </si>
  <si>
    <t>125.2</t>
  </si>
  <si>
    <t>1.067</t>
  </si>
  <si>
    <t>2005-03</t>
  </si>
  <si>
    <t>5073.231</t>
  </si>
  <si>
    <t>5007.219</t>
  </si>
  <si>
    <t>66.012</t>
  </si>
  <si>
    <t>117011.94</t>
  </si>
  <si>
    <t>-3806.685</t>
  </si>
  <si>
    <t>1068.192</t>
  </si>
  <si>
    <t>4874.877</t>
  </si>
  <si>
    <t>118278.486</t>
  </si>
  <si>
    <t>112342.122</t>
  </si>
  <si>
    <t>226</t>
  </si>
  <si>
    <t>1.127</t>
  </si>
  <si>
    <t>2005-02</t>
  </si>
  <si>
    <t>5376.795</t>
  </si>
  <si>
    <t>5293.78</t>
  </si>
  <si>
    <t>83.015</t>
  </si>
  <si>
    <t>115560.164</t>
  </si>
  <si>
    <t>-2884.519</t>
  </si>
  <si>
    <t>1202.216</t>
  </si>
  <si>
    <t>4086.735</t>
  </si>
  <si>
    <t>118052.44</t>
  </si>
  <si>
    <t>112167.381</t>
  </si>
  <si>
    <t>334.4</t>
  </si>
  <si>
    <t>1.297</t>
  </si>
  <si>
    <t>2005-01</t>
  </si>
  <si>
    <t>5076.835</t>
  </si>
  <si>
    <t>4974.817</t>
  </si>
  <si>
    <t>102.018</t>
  </si>
  <si>
    <t>134618.135</t>
  </si>
  <si>
    <t>-4865.876</t>
  </si>
  <si>
    <t>730.131</t>
  </si>
  <si>
    <t>5596.007</t>
  </si>
  <si>
    <t>134829.094</t>
  </si>
  <si>
    <t>114738.062</t>
  </si>
  <si>
    <t>310</t>
  </si>
  <si>
    <t>2004-12</t>
  </si>
  <si>
    <t>4864.445</t>
  </si>
  <si>
    <t>137985.407</t>
  </si>
  <si>
    <t>-5525.994</t>
  </si>
  <si>
    <t>449.081</t>
  </si>
  <si>
    <t>5975.075</t>
  </si>
  <si>
    <t>137323.857</t>
  </si>
  <si>
    <t>117352.96</t>
  </si>
  <si>
    <t>328.9</t>
  </si>
  <si>
    <t>1.145</t>
  </si>
  <si>
    <t>2004-11</t>
  </si>
  <si>
    <t>4424.984</t>
  </si>
  <si>
    <t>124658.769</t>
  </si>
  <si>
    <t>-5636.014</t>
  </si>
  <si>
    <t>513.092</t>
  </si>
  <si>
    <t>6149.107</t>
  </si>
  <si>
    <t>123447.739</t>
  </si>
  <si>
    <t>116617.579</t>
  </si>
  <si>
    <t>222.3</t>
  </si>
  <si>
    <t>2004-10</t>
  </si>
  <si>
    <t>4319.676</t>
  </si>
  <si>
    <t>119436.618</t>
  </si>
  <si>
    <t>-6200.116</t>
  </si>
  <si>
    <t>323.058</t>
  </si>
  <si>
    <t>6523.174</t>
  </si>
  <si>
    <t>117556.178</t>
  </si>
  <si>
    <t>117558.974</t>
  </si>
  <si>
    <t>67.8</t>
  </si>
  <si>
    <t>0.914</t>
  </si>
  <si>
    <t>2004-09</t>
  </si>
  <si>
    <t>3962.234</t>
  </si>
  <si>
    <t>105521.996</t>
  </si>
  <si>
    <t>-5167.93</t>
  </si>
  <si>
    <t>395.071</t>
  </si>
  <si>
    <t>5563.001</t>
  </si>
  <si>
    <t>104316.301</t>
  </si>
  <si>
    <t>113740.473</t>
  </si>
  <si>
    <t>2004-08</t>
  </si>
  <si>
    <t>4329.802</t>
  </si>
  <si>
    <t>97484.188</t>
  </si>
  <si>
    <t>-5283.951</t>
  </si>
  <si>
    <t>445.08</t>
  </si>
  <si>
    <t>5729.031</t>
  </si>
  <si>
    <t>96530.039</t>
  </si>
  <si>
    <t>109219.563</t>
  </si>
  <si>
    <t>2004-07</t>
  </si>
  <si>
    <t>4896.848</t>
  </si>
  <si>
    <t>103503.452</t>
  </si>
  <si>
    <t>-4576.824</t>
  </si>
  <si>
    <t>713.128</t>
  </si>
  <si>
    <t>5289.952</t>
  </si>
  <si>
    <t>103823.476</t>
  </si>
  <si>
    <t>112558.332</t>
  </si>
  <si>
    <t>2004-06</t>
  </si>
  <si>
    <t>6120.047</t>
  </si>
  <si>
    <t>97478.126</t>
  </si>
  <si>
    <t>-5079.914</t>
  </si>
  <si>
    <t>477.086</t>
  </si>
  <si>
    <t>5557</t>
  </si>
  <si>
    <t>98518.259</t>
  </si>
  <si>
    <t>109652.893</t>
  </si>
  <si>
    <t>2004-05</t>
  </si>
  <si>
    <t>6442.048</t>
  </si>
  <si>
    <t>102321.421</t>
  </si>
  <si>
    <t>-5370.967</t>
  </si>
  <si>
    <t>253.046</t>
  </si>
  <si>
    <t>5624.012</t>
  </si>
  <si>
    <t>103392.503</t>
  </si>
  <si>
    <t>111265.37</t>
  </si>
  <si>
    <t>69</t>
  </si>
  <si>
    <t>1.474</t>
  </si>
  <si>
    <t>2004-04</t>
  </si>
  <si>
    <t>5420.353</t>
  </si>
  <si>
    <t>107931.52</t>
  </si>
  <si>
    <t>-4616.831</t>
  </si>
  <si>
    <t>423.076</t>
  </si>
  <si>
    <t>5039.907</t>
  </si>
  <si>
    <t>108735.042</t>
  </si>
  <si>
    <t>111539.661</t>
  </si>
  <si>
    <t>131.6</t>
  </si>
  <si>
    <t>2004-03</t>
  </si>
  <si>
    <t>6525.08</t>
  </si>
  <si>
    <t>114838.822</t>
  </si>
  <si>
    <t>-4112.74</t>
  </si>
  <si>
    <t>724.13</t>
  </si>
  <si>
    <t>4836.87</t>
  </si>
  <si>
    <t>117251.162</t>
  </si>
  <si>
    <t>109708.615</t>
  </si>
  <si>
    <t>244</t>
  </si>
  <si>
    <t>1.217</t>
  </si>
  <si>
    <t>2004-02</t>
  </si>
  <si>
    <t>6226.368</t>
  </si>
  <si>
    <t>114899.439</t>
  </si>
  <si>
    <t>-4322.778</t>
  </si>
  <si>
    <t>522.094</t>
  </si>
  <si>
    <t>4844.872</t>
  </si>
  <si>
    <t>116803.03</t>
  </si>
  <si>
    <t>110698.044</t>
  </si>
  <si>
    <t>275.5</t>
  </si>
  <si>
    <t>1.069</t>
  </si>
  <si>
    <t>2004-01</t>
  </si>
  <si>
    <t>7025.296</t>
  </si>
  <si>
    <t>132457.141</t>
  </si>
  <si>
    <t>-6045.088</t>
  </si>
  <si>
    <t>6491.168</t>
  </si>
  <si>
    <t>133437.348</t>
  </si>
  <si>
    <t>113826.507</t>
  </si>
  <si>
    <t>309.4</t>
  </si>
  <si>
    <t>0.992</t>
  </si>
  <si>
    <t>2003-12</t>
  </si>
  <si>
    <t>5589.454</t>
  </si>
  <si>
    <t>132154.056</t>
  </si>
  <si>
    <t>-6362.145</t>
  </si>
  <si>
    <t>362.065</t>
  </si>
  <si>
    <t>6724.21</t>
  </si>
  <si>
    <t>131381.365</t>
  </si>
  <si>
    <t>113929.534</t>
  </si>
  <si>
    <t>293.4</t>
  </si>
  <si>
    <t>2003-11</t>
  </si>
  <si>
    <t>4470.551</t>
  </si>
  <si>
    <t>119685.148</t>
  </si>
  <si>
    <t>-6292.132</t>
  </si>
  <si>
    <t>330.059</t>
  </si>
  <si>
    <t>6622.192</t>
  </si>
  <si>
    <t>117863.566</t>
  </si>
  <si>
    <t>112829.351</t>
  </si>
  <si>
    <t>174.5</t>
  </si>
  <si>
    <t>0.891</t>
  </si>
  <si>
    <t>2003-10</t>
  </si>
  <si>
    <t>4742.935</t>
  </si>
  <si>
    <t>112756.63</t>
  </si>
  <si>
    <t>-3893.701</t>
  </si>
  <si>
    <t>695.125</t>
  </si>
  <si>
    <t>4588.826</t>
  </si>
  <si>
    <t>113605.864</t>
  </si>
  <si>
    <t>110616.626</t>
  </si>
  <si>
    <t>150.8</t>
  </si>
  <si>
    <t>2.033</t>
  </si>
  <si>
    <t>2003-09</t>
  </si>
  <si>
    <t>3429.616</t>
  </si>
  <si>
    <t>100184.673</t>
  </si>
  <si>
    <t>-4404.793</t>
  </si>
  <si>
    <t>828.149</t>
  </si>
  <si>
    <t>5232.942</t>
  </si>
  <si>
    <t>99209.497</t>
  </si>
  <si>
    <t>108719.805</t>
  </si>
  <si>
    <t>2003-08</t>
  </si>
  <si>
    <t>3702.001</t>
  </si>
  <si>
    <t>96138.492</t>
  </si>
  <si>
    <t>-4484.807</t>
  </si>
  <si>
    <t>4961.893</t>
  </si>
  <si>
    <t>95355.685</t>
  </si>
  <si>
    <t>109091.981</t>
  </si>
  <si>
    <t>2003-07</t>
  </si>
  <si>
    <t>3913.63</t>
  </si>
  <si>
    <t>105673.539</t>
  </si>
  <si>
    <t>-4971.895</t>
  </si>
  <si>
    <t>635.114</t>
  </si>
  <si>
    <t>5607.009</t>
  </si>
  <si>
    <t>104615.274</t>
  </si>
  <si>
    <t>112339.501</t>
  </si>
  <si>
    <t>2003-06</t>
  </si>
  <si>
    <t>5284.667</t>
  </si>
  <si>
    <t>99120.846</t>
  </si>
  <si>
    <t>-5075.914</t>
  </si>
  <si>
    <t>5954.072</t>
  </si>
  <si>
    <t>99329.599</t>
  </si>
  <si>
    <t>111511.82</t>
  </si>
  <si>
    <t>2003-05</t>
  </si>
  <si>
    <t>5650.209</t>
  </si>
  <si>
    <t>103430.711</t>
  </si>
  <si>
    <t>-6068.092</t>
  </si>
  <si>
    <t>327.059</t>
  </si>
  <si>
    <t>6395.151</t>
  </si>
  <si>
    <t>103012.828</t>
  </si>
  <si>
    <t>110781.769</t>
  </si>
  <si>
    <t>42.9</t>
  </si>
  <si>
    <t>0.916</t>
  </si>
  <si>
    <t>2003-04</t>
  </si>
  <si>
    <t>4855.332</t>
  </si>
  <si>
    <t>109683.35</t>
  </si>
  <si>
    <t>-5528.995</t>
  </si>
  <si>
    <t>424.076</t>
  </si>
  <si>
    <t>5953.071</t>
  </si>
  <si>
    <t>109009.687</t>
  </si>
  <si>
    <t>111709.33</t>
  </si>
  <si>
    <t>117.4</t>
  </si>
  <si>
    <t>2003-03</t>
  </si>
  <si>
    <t>6199.028</t>
  </si>
  <si>
    <t>114132.635</t>
  </si>
  <si>
    <t>-6946.25</t>
  </si>
  <si>
    <t>348.063</t>
  </si>
  <si>
    <t>7294.313</t>
  </si>
  <si>
    <t>113385.413</t>
  </si>
  <si>
    <t>111974.228</t>
  </si>
  <si>
    <t>158.9</t>
  </si>
  <si>
    <t>0.792</t>
  </si>
  <si>
    <t>2003-02</t>
  </si>
  <si>
    <t>7113.39</t>
  </si>
  <si>
    <t>115641.997</t>
  </si>
  <si>
    <t>-5692.024</t>
  </si>
  <si>
    <t>531.096</t>
  </si>
  <si>
    <t>6223.12</t>
  </si>
  <si>
    <t>117063.363</t>
  </si>
  <si>
    <t>112935.604</t>
  </si>
  <si>
    <t>312</t>
  </si>
  <si>
    <t>1.21</t>
  </si>
  <si>
    <t>2003-01</t>
  </si>
  <si>
    <t>8109.771</t>
  </si>
  <si>
    <t>128010.887</t>
  </si>
  <si>
    <t>-6290.132</t>
  </si>
  <si>
    <t>341.061</t>
  </si>
  <si>
    <t>6631.193</t>
  </si>
  <si>
    <t>129830.526</t>
  </si>
  <si>
    <t>108667.429</t>
  </si>
  <si>
    <t>363.3</t>
  </si>
  <si>
    <t>1.165</t>
  </si>
  <si>
    <t>2002-12</t>
  </si>
  <si>
    <t>7517.41</t>
  </si>
  <si>
    <t>123946.52</t>
  </si>
  <si>
    <t>-7556.36</t>
  </si>
  <si>
    <t>210.038</t>
  </si>
  <si>
    <t>7766.398</t>
  </si>
  <si>
    <t>123907.571</t>
  </si>
  <si>
    <t>109890.054</t>
  </si>
  <si>
    <t>244.9</t>
  </si>
  <si>
    <t>0.852</t>
  </si>
  <si>
    <t>2002-11</t>
  </si>
  <si>
    <t>6648.615</t>
  </si>
  <si>
    <t>115475.3</t>
  </si>
  <si>
    <t>-7488.348</t>
  </si>
  <si>
    <t>58.01</t>
  </si>
  <si>
    <t>7546.358</t>
  </si>
  <si>
    <t>114635.568</t>
  </si>
  <si>
    <t>110558.931</t>
  </si>
  <si>
    <t>159.7</t>
  </si>
  <si>
    <t>0.816</t>
  </si>
  <si>
    <t>2002-10</t>
  </si>
  <si>
    <t>5563.127</t>
  </si>
  <si>
    <t>111659.463</t>
  </si>
  <si>
    <t>-6160.109</t>
  </si>
  <si>
    <t>157.028</t>
  </si>
  <si>
    <t>6317.137</t>
  </si>
  <si>
    <t>111062.481</t>
  </si>
  <si>
    <t>109260.999</t>
  </si>
  <si>
    <t>1.068</t>
  </si>
  <si>
    <t>2002-09</t>
  </si>
  <si>
    <t>4712.558</t>
  </si>
  <si>
    <t>102357.791</t>
  </si>
  <si>
    <t>-6273.129</t>
  </si>
  <si>
    <t>279.05</t>
  </si>
  <si>
    <t>6552.179</t>
  </si>
  <si>
    <t>100797.22</t>
  </si>
  <si>
    <t>110552.868</t>
  </si>
  <si>
    <t>2002-08</t>
  </si>
  <si>
    <t>4850.269</t>
  </si>
  <si>
    <t>97387.201</t>
  </si>
  <si>
    <t>231.042</t>
  </si>
  <si>
    <t>5889.06</t>
  </si>
  <si>
    <t>96579.451</t>
  </si>
  <si>
    <t>109531.81</t>
  </si>
  <si>
    <t>2002-07</t>
  </si>
  <si>
    <t>5039.622</t>
  </si>
  <si>
    <t>105179.511</t>
  </si>
  <si>
    <t>-5596.007</t>
  </si>
  <si>
    <t>573.103</t>
  </si>
  <si>
    <t>6169.11</t>
  </si>
  <si>
    <t>104623.125</t>
  </si>
  <si>
    <t>111316.562</t>
  </si>
  <si>
    <t>2002-06</t>
  </si>
  <si>
    <t>6444.073</t>
  </si>
  <si>
    <t>99351.19</t>
  </si>
  <si>
    <t>-6178.112</t>
  </si>
  <si>
    <t>120.022</t>
  </si>
  <si>
    <t>6298.133</t>
  </si>
  <si>
    <t>99617.152</t>
  </si>
  <si>
    <t>111898.98</t>
  </si>
  <si>
    <t>2002-05</t>
  </si>
  <si>
    <t>6343.828</t>
  </si>
  <si>
    <t>107173.808</t>
  </si>
  <si>
    <t>-7242.303</t>
  </si>
  <si>
    <t>97.017</t>
  </si>
  <si>
    <t>7339.321</t>
  </si>
  <si>
    <t>106275.333</t>
  </si>
  <si>
    <t>114119.658</t>
  </si>
  <si>
    <t>61.7</t>
  </si>
  <si>
    <t>1.318</t>
  </si>
  <si>
    <t>2002-04</t>
  </si>
  <si>
    <t>4630.539</t>
  </si>
  <si>
    <t>113374.923</t>
  </si>
  <si>
    <t>-7028.265</t>
  </si>
  <si>
    <t>163.029</t>
  </si>
  <si>
    <t>7191.294</t>
  </si>
  <si>
    <t>110977.197</t>
  </si>
  <si>
    <t>112619.711</t>
  </si>
  <si>
    <t>123</t>
  </si>
  <si>
    <t>1.048</t>
  </si>
  <si>
    <t>2002-03</t>
  </si>
  <si>
    <t>5898.292</t>
  </si>
  <si>
    <t>113368.861</t>
  </si>
  <si>
    <t>-6962.253</t>
  </si>
  <si>
    <t>168.03</t>
  </si>
  <si>
    <t>7130.283</t>
  </si>
  <si>
    <t>112304.9</t>
  </si>
  <si>
    <t>108798.308</t>
  </si>
  <si>
    <t>178.2</t>
  </si>
  <si>
    <t>0.889</t>
  </si>
  <si>
    <t>2002-02</t>
  </si>
  <si>
    <t>4309.55</t>
  </si>
  <si>
    <t>109565.147</t>
  </si>
  <si>
    <t>5892.06</t>
  </si>
  <si>
    <t>108345.702</t>
  </si>
  <si>
    <t>108188.409</t>
  </si>
  <si>
    <t>197.1</t>
  </si>
  <si>
    <t>0.764</t>
  </si>
  <si>
    <t>2002-01</t>
  </si>
  <si>
    <t>4544.469</t>
  </si>
  <si>
    <t>127689.617</t>
  </si>
  <si>
    <t>-5244.944</t>
  </si>
  <si>
    <t>590.106</t>
  </si>
  <si>
    <t>5835.05</t>
  </si>
  <si>
    <t>126989.142</t>
  </si>
  <si>
    <t>108321.725</t>
  </si>
  <si>
    <t>297.5</t>
  </si>
  <si>
    <t>0.954</t>
  </si>
  <si>
    <t>2001-12</t>
  </si>
  <si>
    <t>5132.779</t>
  </si>
  <si>
    <t>122212.478</t>
  </si>
  <si>
    <t>-4529.815</t>
  </si>
  <si>
    <t>832.15</t>
  </si>
  <si>
    <t>5361.965</t>
  </si>
  <si>
    <t>122815.442</t>
  </si>
  <si>
    <t>106917.885</t>
  </si>
  <si>
    <t>370.6</t>
  </si>
  <si>
    <t>1.29</t>
  </si>
  <si>
    <t>2001-11</t>
  </si>
  <si>
    <t>4884.697</t>
  </si>
  <si>
    <t>117870.528</t>
  </si>
  <si>
    <t>-6203.116</t>
  </si>
  <si>
    <t>270.049</t>
  </si>
  <si>
    <t>6473.165</t>
  </si>
  <si>
    <t>116552.108</t>
  </si>
  <si>
    <t>108724.319</t>
  </si>
  <si>
    <t>251.9</t>
  </si>
  <si>
    <t>1.286</t>
  </si>
  <si>
    <t>2001-10</t>
  </si>
  <si>
    <t>5189.484</t>
  </si>
  <si>
    <t>113646.587</t>
  </si>
  <si>
    <t>-7294.313</t>
  </si>
  <si>
    <t>150.027</t>
  </si>
  <si>
    <t>7444.34</t>
  </si>
  <si>
    <t>111541.758</t>
  </si>
  <si>
    <t>111012.029</t>
  </si>
  <si>
    <t>21.2</t>
  </si>
  <si>
    <t>0.286</t>
  </si>
  <si>
    <t>2001-09</t>
  </si>
  <si>
    <t>4875.583</t>
  </si>
  <si>
    <t>104746.336</t>
  </si>
  <si>
    <t>-5704.027</t>
  </si>
  <si>
    <t>219.039</t>
  </si>
  <si>
    <t>5923.066</t>
  </si>
  <si>
    <t>103917.893</t>
  </si>
  <si>
    <t>113776.358</t>
  </si>
  <si>
    <t>2001-08</t>
  </si>
  <si>
    <t>5118.603</t>
  </si>
  <si>
    <t>98215.841</t>
  </si>
  <si>
    <t>-5874.057</t>
  </si>
  <si>
    <t>318.057</t>
  </si>
  <si>
    <t>6192.114</t>
  </si>
  <si>
    <t>97460.387</t>
  </si>
  <si>
    <t>109538.536</t>
  </si>
  <si>
    <t>2001-07</t>
  </si>
  <si>
    <t>6678.992</t>
  </si>
  <si>
    <t>99523.33</t>
  </si>
  <si>
    <t>-6426.156</t>
  </si>
  <si>
    <t>99776.166</t>
  </si>
  <si>
    <t>106631.58</t>
  </si>
  <si>
    <t>2001-06</t>
  </si>
  <si>
    <t>7375.649</t>
  </si>
  <si>
    <t>91084.504</t>
  </si>
  <si>
    <t>-5473.985</t>
  </si>
  <si>
    <t>189.034</t>
  </si>
  <si>
    <t>5663.019</t>
  </si>
  <si>
    <t>92986.168</t>
  </si>
  <si>
    <t>105336.868</t>
  </si>
  <si>
    <t>2001-05</t>
  </si>
  <si>
    <t>8936.038</t>
  </si>
  <si>
    <t>92157.67</t>
  </si>
  <si>
    <t>-5332.96</t>
  </si>
  <si>
    <t>5562.001</t>
  </si>
  <si>
    <t>95760.748</t>
  </si>
  <si>
    <t>102989.662</t>
  </si>
  <si>
    <t>2001-04</t>
  </si>
  <si>
    <t>8695.044</t>
  </si>
  <si>
    <t>100418.973</t>
  </si>
  <si>
    <t>-5582.005</t>
  </si>
  <si>
    <t>238.043</t>
  </si>
  <si>
    <t>5820.047</t>
  </si>
  <si>
    <t>103532.012</t>
  </si>
  <si>
    <t>103702.392</t>
  </si>
  <si>
    <t>162.4</t>
  </si>
  <si>
    <t>1.384</t>
  </si>
  <si>
    <t>2001-03</t>
  </si>
  <si>
    <t>8552.27</t>
  </si>
  <si>
    <t>107391.599</t>
  </si>
  <si>
    <t>-6251.125</t>
  </si>
  <si>
    <t>313.056</t>
  </si>
  <si>
    <t>6564.181</t>
  </si>
  <si>
    <t>109692.744</t>
  </si>
  <si>
    <t>105707.176</t>
  </si>
  <si>
    <t>166.5</t>
  </si>
  <si>
    <t>0.83</t>
  </si>
  <si>
    <t>2001-02</t>
  </si>
  <si>
    <t>6715.445</t>
  </si>
  <si>
    <t>105651.55</t>
  </si>
  <si>
    <t>-4734.852</t>
  </si>
  <si>
    <t>406.073</t>
  </si>
  <si>
    <t>5140.925</t>
  </si>
  <si>
    <t>107632.143</t>
  </si>
  <si>
    <t>105391.561</t>
  </si>
  <si>
    <t>249.8</t>
  </si>
  <si>
    <t>2001-01</t>
  </si>
  <si>
    <t>7941.682</t>
  </si>
  <si>
    <t>123284.401</t>
  </si>
  <si>
    <t>-5800.044</t>
  </si>
  <si>
    <t>345.062</t>
  </si>
  <si>
    <t>6145.106</t>
  </si>
  <si>
    <t>125426.04</t>
  </si>
  <si>
    <t>107607.322</t>
  </si>
  <si>
    <t>291.2</t>
  </si>
  <si>
    <t>0.934</t>
  </si>
  <si>
    <t>2000-12</t>
  </si>
  <si>
    <t>6912.899</t>
  </si>
  <si>
    <t>116016.877</t>
  </si>
  <si>
    <t>-6403.152</t>
  </si>
  <si>
    <t>6641.195</t>
  </si>
  <si>
    <t>116526.623</t>
  </si>
  <si>
    <t>106606.683</t>
  </si>
  <si>
    <t>226.9</t>
  </si>
  <si>
    <t>0.79</t>
  </si>
  <si>
    <t>2000-11</t>
  </si>
  <si>
    <t>7444.505</t>
  </si>
  <si>
    <t>110024.606</t>
  </si>
  <si>
    <t>-6145.106</t>
  </si>
  <si>
    <t>288.052</t>
  </si>
  <si>
    <t>6433.158</t>
  </si>
  <si>
    <t>111324.004</t>
  </si>
  <si>
    <t>106453.687</t>
  </si>
  <si>
    <t>188.8</t>
  </si>
  <si>
    <t>2000-10</t>
  </si>
  <si>
    <t>5663.372</t>
  </si>
  <si>
    <t>106299.706</t>
  </si>
  <si>
    <t>-5639.015</t>
  </si>
  <si>
    <t>397.071</t>
  </si>
  <si>
    <t>6036.086</t>
  </si>
  <si>
    <t>106324.063</t>
  </si>
  <si>
    <t>104703.68</t>
  </si>
  <si>
    <t>82.9</t>
  </si>
  <si>
    <t>2000-09</t>
  </si>
  <si>
    <t>4641.677</t>
  </si>
  <si>
    <t>98847.976</t>
  </si>
  <si>
    <t>-5870.056</t>
  </si>
  <si>
    <t>6286.131</t>
  </si>
  <si>
    <t>97619.596</t>
  </si>
  <si>
    <t>106695.013</t>
  </si>
  <si>
    <t>2000-08</t>
  </si>
  <si>
    <t>4761.162</t>
  </si>
  <si>
    <t>96773.133</t>
  </si>
  <si>
    <t>-6104.099</t>
  </si>
  <si>
    <t>273.049</t>
  </si>
  <si>
    <t>6377.148</t>
  </si>
  <si>
    <t>95430.196</t>
  </si>
  <si>
    <t>106912.17</t>
  </si>
  <si>
    <t>2000-07</t>
  </si>
  <si>
    <t>5135.817</t>
  </si>
  <si>
    <t>99254.888</t>
  </si>
  <si>
    <t>-6008.081</t>
  </si>
  <si>
    <t>205.037</t>
  </si>
  <si>
    <t>6213.118</t>
  </si>
  <si>
    <t>98382.624</t>
  </si>
  <si>
    <t>106153.86</t>
  </si>
  <si>
    <t>2000-06</t>
  </si>
  <si>
    <t>6330.664</t>
  </si>
  <si>
    <t>94101.395</t>
  </si>
  <si>
    <t>-6029.085</t>
  </si>
  <si>
    <t>180.032</t>
  </si>
  <si>
    <t>6209.117</t>
  </si>
  <si>
    <t>94402.974</t>
  </si>
  <si>
    <t>106784.799</t>
  </si>
  <si>
    <t>2000-05</t>
  </si>
  <si>
    <t>7670.31</t>
  </si>
  <si>
    <t>97992.916</t>
  </si>
  <si>
    <t>-6244.124</t>
  </si>
  <si>
    <t>204.037</t>
  </si>
  <si>
    <t>6448.16</t>
  </si>
  <si>
    <t>99419.102</t>
  </si>
  <si>
    <t>106052.766</t>
  </si>
  <si>
    <t>30.4</t>
  </si>
  <si>
    <t>0.649</t>
  </si>
  <si>
    <t>2000-04</t>
  </si>
  <si>
    <t>6279.022</t>
  </si>
  <si>
    <t>102640.982</t>
  </si>
  <si>
    <t>-5564.001</t>
  </si>
  <si>
    <t>232.042</t>
  </si>
  <si>
    <t>5796.043</t>
  </si>
  <si>
    <t>103356.003</t>
  </si>
  <si>
    <t>104983.169</t>
  </si>
  <si>
    <t>132.2</t>
  </si>
  <si>
    <t>2000-03</t>
  </si>
  <si>
    <t>6163.588</t>
  </si>
  <si>
    <t>113913.301</t>
  </si>
  <si>
    <t>-6258.126</t>
  </si>
  <si>
    <t>267.048</t>
  </si>
  <si>
    <t>6525.174</t>
  </si>
  <si>
    <t>113818.763</t>
  </si>
  <si>
    <t>105949.846</t>
  </si>
  <si>
    <t>2000-02</t>
  </si>
  <si>
    <t>5680.586</t>
  </si>
  <si>
    <t>107100.277</t>
  </si>
  <si>
    <t>-5188.934</t>
  </si>
  <si>
    <t>300.054</t>
  </si>
  <si>
    <t>5488.988</t>
  </si>
  <si>
    <t>107591.929</t>
  </si>
  <si>
    <t>102717.892</t>
  </si>
  <si>
    <t>225.5</t>
  </si>
  <si>
    <t>2000-01</t>
  </si>
  <si>
    <t>5810.197</t>
  </si>
  <si>
    <t>115325.719</t>
  </si>
  <si>
    <t>-4037.727</t>
  </si>
  <si>
    <t>4732.852</t>
  </si>
  <si>
    <t>117098.189</t>
  </si>
  <si>
    <t>98562.318</t>
  </si>
  <si>
    <t>336.5</t>
  </si>
  <si>
    <t>1.079</t>
  </si>
  <si>
    <t>1999-12</t>
  </si>
  <si>
    <t>7468.807</t>
  </si>
  <si>
    <t>110654.779</t>
  </si>
  <si>
    <t>-5314.957</t>
  </si>
  <si>
    <t>429.077</t>
  </si>
  <si>
    <t>5744.034</t>
  </si>
  <si>
    <t>112808.629</t>
  </si>
  <si>
    <t>100168.231</t>
  </si>
  <si>
    <t>286.1</t>
  </si>
  <si>
    <t>1999-11</t>
  </si>
  <si>
    <t>6803.54</t>
  </si>
  <si>
    <t>104518.792</t>
  </si>
  <si>
    <t>-5137.925</t>
  </si>
  <si>
    <t>410.074</t>
  </si>
  <si>
    <t>5547.998</t>
  </si>
  <si>
    <t>106184.407</t>
  </si>
  <si>
    <t>99621.093</t>
  </si>
  <si>
    <t>255.9</t>
  </si>
  <si>
    <t>1.307</t>
  </si>
  <si>
    <t>1999-10</t>
  </si>
  <si>
    <t>6386.356</t>
  </si>
  <si>
    <t>102147.202</t>
  </si>
  <si>
    <t>-5712.028</t>
  </si>
  <si>
    <t>353.064</t>
  </si>
  <si>
    <t>6065.092</t>
  </si>
  <si>
    <t>102821.53</t>
  </si>
  <si>
    <t>101641.808</t>
  </si>
  <si>
    <t>81.9</t>
  </si>
  <si>
    <t>1.104</t>
  </si>
  <si>
    <t>1999-09</t>
  </si>
  <si>
    <t>5047.722</t>
  </si>
  <si>
    <t>94789.479</t>
  </si>
  <si>
    <t>-5440.979</t>
  </si>
  <si>
    <t>5980.076</t>
  </si>
  <si>
    <t>94396.223</t>
  </si>
  <si>
    <t>102833.473</t>
  </si>
  <si>
    <t>1999-08</t>
  </si>
  <si>
    <t>5028.483</t>
  </si>
  <si>
    <t>91656.219</t>
  </si>
  <si>
    <t>-5480.986</t>
  </si>
  <si>
    <t>442.08</t>
  </si>
  <si>
    <t>91203.716</t>
  </si>
  <si>
    <t>102249.721</t>
  </si>
  <si>
    <t>1999-07</t>
  </si>
  <si>
    <t>5834.499</t>
  </si>
  <si>
    <t>95600.155</t>
  </si>
  <si>
    <t>-5082.915</t>
  </si>
  <si>
    <t>360.065</t>
  </si>
  <si>
    <t>5442.98</t>
  </si>
  <si>
    <t>96351.739</t>
  </si>
  <si>
    <t>103943.546</t>
  </si>
  <si>
    <t>1999-06</t>
  </si>
  <si>
    <t>7192.372</t>
  </si>
  <si>
    <t>86657.794</t>
  </si>
  <si>
    <t>-4486.807</t>
  </si>
  <si>
    <t>392.071</t>
  </si>
  <si>
    <t>4878.878</t>
  </si>
  <si>
    <t>89363.358</t>
  </si>
  <si>
    <t>101053.421</t>
  </si>
  <si>
    <t>1999-05</t>
  </si>
  <si>
    <t>8576.572</t>
  </si>
  <si>
    <t>85760.232</t>
  </si>
  <si>
    <t>-5025.904</t>
  </si>
  <si>
    <t>244.044</t>
  </si>
  <si>
    <t>5269.948</t>
  </si>
  <si>
    <t>89310.899</t>
  </si>
  <si>
    <t>96622.319</t>
  </si>
  <si>
    <t>20.5</t>
  </si>
  <si>
    <t>0.438</t>
  </si>
  <si>
    <t>1999-04</t>
  </si>
  <si>
    <t>6671.904</t>
  </si>
  <si>
    <t>101433.786</t>
  </si>
  <si>
    <t>-5676.022</t>
  </si>
  <si>
    <t>248.045</t>
  </si>
  <si>
    <t>5924.066</t>
  </si>
  <si>
    <t>102429.669</t>
  </si>
  <si>
    <t>103341.992</t>
  </si>
  <si>
    <t>122.2</t>
  </si>
  <si>
    <t>1.041</t>
  </si>
  <si>
    <t>1999-03</t>
  </si>
  <si>
    <t>6980.742</t>
  </si>
  <si>
    <t>104602.734</t>
  </si>
  <si>
    <t>-5765.038</t>
  </si>
  <si>
    <t>421.076</t>
  </si>
  <si>
    <t>6186.113</t>
  </si>
  <si>
    <t>105818.439</t>
  </si>
  <si>
    <t>98709.277</t>
  </si>
  <si>
    <t>194.5</t>
  </si>
  <si>
    <t>0.97</t>
  </si>
  <si>
    <t>1999-02</t>
  </si>
  <si>
    <t>6360.029</t>
  </si>
  <si>
    <t>101860.259</t>
  </si>
  <si>
    <t>-5028.905</t>
  </si>
  <si>
    <t>518.093</t>
  </si>
  <si>
    <t>5546.998</t>
  </si>
  <si>
    <t>103191.383</t>
  </si>
  <si>
    <t>99181.507</t>
  </si>
  <si>
    <t>289.2</t>
  </si>
  <si>
    <t>1.122</t>
  </si>
  <si>
    <t>1999-01</t>
  </si>
  <si>
    <t>5307.956</t>
  </si>
  <si>
    <t>115210.698</t>
  </si>
  <si>
    <t>-5001.9</t>
  </si>
  <si>
    <t>609.11</t>
  </si>
  <si>
    <t>5611.01</t>
  </si>
  <si>
    <t>115516.754</t>
  </si>
  <si>
    <t>99211.121</t>
  </si>
  <si>
    <t>275.6</t>
  </si>
  <si>
    <t>1998-12</t>
  </si>
  <si>
    <t>5616.794</t>
  </si>
  <si>
    <t>109110.602</t>
  </si>
  <si>
    <t>-4238.763</t>
  </si>
  <si>
    <t>4979.896</t>
  </si>
  <si>
    <t>110488.633</t>
  </si>
  <si>
    <t>98277.617</t>
  </si>
  <si>
    <t>305.1</t>
  </si>
  <si>
    <t>1.062</t>
  </si>
  <si>
    <t>1998-11</t>
  </si>
  <si>
    <t>6445.086</t>
  </si>
  <si>
    <t>103917.592</t>
  </si>
  <si>
    <t>-4705.847</t>
  </si>
  <si>
    <t>5128.923</t>
  </si>
  <si>
    <t>105656.831</t>
  </si>
  <si>
    <t>97935.747</t>
  </si>
  <si>
    <t>287.6</t>
  </si>
  <si>
    <t>1.469</t>
  </si>
  <si>
    <t>1998-10</t>
  </si>
  <si>
    <t>6161.563</t>
  </si>
  <si>
    <t>100579.911</t>
  </si>
  <si>
    <t>-4911.884</t>
  </si>
  <si>
    <t>5229.941</t>
  </si>
  <si>
    <t>101829.59</t>
  </si>
  <si>
    <t>100167.517</t>
  </si>
  <si>
    <t>95.8</t>
  </si>
  <si>
    <t>1.291</t>
  </si>
  <si>
    <t>1998-09</t>
  </si>
  <si>
    <t>4074.631</t>
  </si>
  <si>
    <t>87506.531</t>
  </si>
  <si>
    <t>-3171.571</t>
  </si>
  <si>
    <t>556.1</t>
  </si>
  <si>
    <t>3727.671</t>
  </si>
  <si>
    <t>88409.591</t>
  </si>
  <si>
    <t>96863.421</t>
  </si>
  <si>
    <t>1998-08</t>
  </si>
  <si>
    <t>3446.83</t>
  </si>
  <si>
    <t>78006.732</t>
  </si>
  <si>
    <t>-1483.267</t>
  </si>
  <si>
    <t>2281.411</t>
  </si>
  <si>
    <t>79970.295</t>
  </si>
  <si>
    <t>91172.293</t>
  </si>
  <si>
    <t>1998-07</t>
  </si>
  <si>
    <t>4387.519</t>
  </si>
  <si>
    <t>88631.842</t>
  </si>
  <si>
    <t>-3414.615</t>
  </si>
  <si>
    <t>396.071</t>
  </si>
  <si>
    <t>3810.686</t>
  </si>
  <si>
    <t>89604.747</t>
  </si>
  <si>
    <t>97033.075</t>
  </si>
  <si>
    <t>1998-06</t>
  </si>
  <si>
    <t>6337.752</t>
  </si>
  <si>
    <t>86754.198</t>
  </si>
  <si>
    <t>-5118.921</t>
  </si>
  <si>
    <t>178.032</t>
  </si>
  <si>
    <t>5296.953</t>
  </si>
  <si>
    <t>87973.029</t>
  </si>
  <si>
    <t>100446.178</t>
  </si>
  <si>
    <t>1998-05</t>
  </si>
  <si>
    <t>6505.841</t>
  </si>
  <si>
    <t>90436.166</t>
  </si>
  <si>
    <t>-5741.033</t>
  </si>
  <si>
    <t>226.041</t>
  </si>
  <si>
    <t>5967.074</t>
  </si>
  <si>
    <t>91200.974</t>
  </si>
  <si>
    <t>98923.142</t>
  </si>
  <si>
    <t>38</t>
  </si>
  <si>
    <t>0.812</t>
  </si>
  <si>
    <t>1998-04</t>
  </si>
  <si>
    <t>6282.06</t>
  </si>
  <si>
    <t>95584.547</t>
  </si>
  <si>
    <t>-5547.998</t>
  </si>
  <si>
    <t>262.047</t>
  </si>
  <si>
    <t>5810.046</t>
  </si>
  <si>
    <t>96318.609</t>
  </si>
  <si>
    <t>96101.329</t>
  </si>
  <si>
    <t>155.2</t>
  </si>
  <si>
    <t>1.322</t>
  </si>
  <si>
    <t>1998-03</t>
  </si>
  <si>
    <t>5216.824</t>
  </si>
  <si>
    <t>109391.133</t>
  </si>
  <si>
    <t>-6752.215</t>
  </si>
  <si>
    <t>202.036</t>
  </si>
  <si>
    <t>6954.252</t>
  </si>
  <si>
    <t>107855.742</t>
  </si>
  <si>
    <t>100925.25</t>
  </si>
  <si>
    <t>197.4</t>
  </si>
  <si>
    <t>0.984</t>
  </si>
  <si>
    <t>1998-02</t>
  </si>
  <si>
    <t>5197.585</t>
  </si>
  <si>
    <t>107000.244</t>
  </si>
  <si>
    <t>-5956.072</t>
  </si>
  <si>
    <t>6204.117</t>
  </si>
  <si>
    <t>106241.757</t>
  </si>
  <si>
    <t>103461.585</t>
  </si>
  <si>
    <t>234.6</t>
  </si>
  <si>
    <t>0.91</t>
  </si>
  <si>
    <t>1998-01</t>
  </si>
  <si>
    <t>6950.364</t>
  </si>
  <si>
    <t>117803.874</t>
  </si>
  <si>
    <t>-6530.175</t>
  </si>
  <si>
    <t>6772.219</t>
  </si>
  <si>
    <t>118224.063</t>
  </si>
  <si>
    <t>100727.433</t>
  </si>
  <si>
    <t>294.7</t>
  </si>
  <si>
    <t>1997-12</t>
  </si>
  <si>
    <t>6593.935</t>
  </si>
  <si>
    <t>110562.862</t>
  </si>
  <si>
    <t>-5672.021</t>
  </si>
  <si>
    <t>6203.116</t>
  </si>
  <si>
    <t>111484.777</t>
  </si>
  <si>
    <t>99957.118</t>
  </si>
  <si>
    <t>275.3</t>
  </si>
  <si>
    <t>0.958</t>
  </si>
  <si>
    <t>1997-11</t>
  </si>
  <si>
    <t>4980.892</t>
  </si>
  <si>
    <t>106044.821</t>
  </si>
  <si>
    <t>-5937.068</t>
  </si>
  <si>
    <t>309.056</t>
  </si>
  <si>
    <t>6246.124</t>
  </si>
  <si>
    <t>105088.645</t>
  </si>
  <si>
    <t>101397.944</t>
  </si>
  <si>
    <t>180.9</t>
  </si>
  <si>
    <t>0.924</t>
  </si>
  <si>
    <t>1997-10</t>
  </si>
  <si>
    <t>4536.368</t>
  </si>
  <si>
    <t>104083.922</t>
  </si>
  <si>
    <t>-5964.073</t>
  </si>
  <si>
    <t>230.041</t>
  </si>
  <si>
    <t>6194.115</t>
  </si>
  <si>
    <t>102656.217</t>
  </si>
  <si>
    <t>100914.784</t>
  </si>
  <si>
    <t>106.2</t>
  </si>
  <si>
    <t>1.431</t>
  </si>
  <si>
    <t>1997-09</t>
  </si>
  <si>
    <t>4621.425</t>
  </si>
  <si>
    <t>92171.854</t>
  </si>
  <si>
    <t>-5359.965</t>
  </si>
  <si>
    <t>258.046</t>
  </si>
  <si>
    <t>5618.011</t>
  </si>
  <si>
    <t>91433.315</t>
  </si>
  <si>
    <t>99865.344</t>
  </si>
  <si>
    <t>1997-08</t>
  </si>
  <si>
    <t>5108.477</t>
  </si>
  <si>
    <t>89257.606</t>
  </si>
  <si>
    <t>-5159.929</t>
  </si>
  <si>
    <t>328.059</t>
  </si>
  <si>
    <t>5487.988</t>
  </si>
  <si>
    <t>89206.155</t>
  </si>
  <si>
    <t>100740.714</t>
  </si>
  <si>
    <t>1997-07</t>
  </si>
  <si>
    <t>6709.37</t>
  </si>
  <si>
    <t>91476.771</t>
  </si>
  <si>
    <t>-5033.906</t>
  </si>
  <si>
    <t>307.055</t>
  </si>
  <si>
    <t>5340.961</t>
  </si>
  <si>
    <t>93152.235</t>
  </si>
  <si>
    <t>100979.613</t>
  </si>
  <si>
    <t>1997-06</t>
  </si>
  <si>
    <t>6020.814</t>
  </si>
  <si>
    <t>88409.477</t>
  </si>
  <si>
    <t>-5094.917</t>
  </si>
  <si>
    <t>89335.374</t>
  </si>
  <si>
    <t>102122.54</t>
  </si>
  <si>
    <t>1997-05</t>
  </si>
  <si>
    <t>5822.348</t>
  </si>
  <si>
    <t>94767.256</t>
  </si>
  <si>
    <t>-5348.963</t>
  </si>
  <si>
    <t>274.049</t>
  </si>
  <si>
    <t>5623.012</t>
  </si>
  <si>
    <t>95240.642</t>
  </si>
  <si>
    <t>102484.714</t>
  </si>
  <si>
    <t>47.3</t>
  </si>
  <si>
    <t>1997-04</t>
  </si>
  <si>
    <t>4517.129</t>
  </si>
  <si>
    <t>105872.645</t>
  </si>
  <si>
    <t>-5797.043</t>
  </si>
  <si>
    <t>221.04</t>
  </si>
  <si>
    <t>6018.083</t>
  </si>
  <si>
    <t>104592.731</t>
  </si>
  <si>
    <t>104455.844</t>
  </si>
  <si>
    <t>141.4</t>
  </si>
  <si>
    <t>1.205</t>
  </si>
  <si>
    <t>1997-03</t>
  </si>
  <si>
    <t>5386.937</t>
  </si>
  <si>
    <t>104134.937</t>
  </si>
  <si>
    <t>-5920.065</t>
  </si>
  <si>
    <t>272.049</t>
  </si>
  <si>
    <t>103601.809</t>
  </si>
  <si>
    <t>100437.616</t>
  </si>
  <si>
    <t>155.9</t>
  </si>
  <si>
    <t>0.777</t>
  </si>
  <si>
    <t>1997-02</t>
  </si>
  <si>
    <t>6057.267</t>
  </si>
  <si>
    <t>99275.732</t>
  </si>
  <si>
    <t>-5263.947</t>
  </si>
  <si>
    <t>440.079</t>
  </si>
  <si>
    <t>5704.027</t>
  </si>
  <si>
    <t>100069.051</t>
  </si>
  <si>
    <t>98054.446</t>
  </si>
  <si>
    <t>207.6</t>
  </si>
  <si>
    <t>1997-01</t>
  </si>
  <si>
    <t>7717.902</t>
  </si>
  <si>
    <t>112593.908</t>
  </si>
  <si>
    <t>-4855.874</t>
  </si>
  <si>
    <t>801.144</t>
  </si>
  <si>
    <t>5657.018</t>
  </si>
  <si>
    <t>115455.936</t>
  </si>
  <si>
    <t>94304.655</t>
  </si>
  <si>
    <t>392.9</t>
  </si>
  <si>
    <t>1.26</t>
  </si>
  <si>
    <t>1996-12</t>
  </si>
  <si>
    <t>8480.376</t>
  </si>
  <si>
    <t>110183.143</t>
  </si>
  <si>
    <t>-5813.046</t>
  </si>
  <si>
    <t>315.057</t>
  </si>
  <si>
    <t>6128.103</t>
  </si>
  <si>
    <t>112850.473</t>
  </si>
  <si>
    <t>98774.635</t>
  </si>
  <si>
    <t>349.4</t>
  </si>
  <si>
    <t>1.216</t>
  </si>
  <si>
    <t>1996-11</t>
  </si>
  <si>
    <t>6092.707</t>
  </si>
  <si>
    <t>105766.902</t>
  </si>
  <si>
    <t>-6067.092</t>
  </si>
  <si>
    <t>214.039</t>
  </si>
  <si>
    <t>6281.13</t>
  </si>
  <si>
    <t>105792.518</t>
  </si>
  <si>
    <t>100095.217</t>
  </si>
  <si>
    <t>230.7</t>
  </si>
  <si>
    <t>1996-10</t>
  </si>
  <si>
    <t>4591.048</t>
  </si>
  <si>
    <t>103146.451</t>
  </si>
  <si>
    <t>-6267.128</t>
  </si>
  <si>
    <t>6447.16</t>
  </si>
  <si>
    <t>101470.371</t>
  </si>
  <si>
    <t>100534.616</t>
  </si>
  <si>
    <t>88.5</t>
  </si>
  <si>
    <t>1.193</t>
  </si>
  <si>
    <t>1996-09</t>
  </si>
  <si>
    <t>4212.342</t>
  </si>
  <si>
    <t>93260.057</t>
  </si>
  <si>
    <t>-5619.011</t>
  </si>
  <si>
    <t>199.036</t>
  </si>
  <si>
    <t>5818.047</t>
  </si>
  <si>
    <t>91853.388</t>
  </si>
  <si>
    <t>100533.634</t>
  </si>
  <si>
    <t>1996-08</t>
  </si>
  <si>
    <t>4453.337</t>
  </si>
  <si>
    <t>90079.217</t>
  </si>
  <si>
    <t>-5646.016</t>
  </si>
  <si>
    <t>197.035</t>
  </si>
  <si>
    <t>5843.052</t>
  </si>
  <si>
    <t>88886.538</t>
  </si>
  <si>
    <t>99927.899</t>
  </si>
  <si>
    <t>1996-07</t>
  </si>
  <si>
    <t>5491.233</t>
  </si>
  <si>
    <t>90922.984</t>
  </si>
  <si>
    <t>-5422.976</t>
  </si>
  <si>
    <t>287.052</t>
  </si>
  <si>
    <t>5710.028</t>
  </si>
  <si>
    <t>90991.241</t>
  </si>
  <si>
    <t>98634.163</t>
  </si>
  <si>
    <t>1996-06</t>
  </si>
  <si>
    <t>6250.67</t>
  </si>
  <si>
    <t>83485.104</t>
  </si>
  <si>
    <t>-5385.969</t>
  </si>
  <si>
    <t>276.05</t>
  </si>
  <si>
    <t>5662.019</t>
  </si>
  <si>
    <t>84349.805</t>
  </si>
  <si>
    <t>97868.518</t>
  </si>
  <si>
    <t>1996-05</t>
  </si>
  <si>
    <t>6562.545</t>
  </si>
  <si>
    <t>91731.726</t>
  </si>
  <si>
    <t>-5458.982</t>
  </si>
  <si>
    <t>5701.026</t>
  </si>
  <si>
    <t>92835.289</t>
  </si>
  <si>
    <t>100459.386</t>
  </si>
  <si>
    <t>89.2</t>
  </si>
  <si>
    <t>1.905</t>
  </si>
  <si>
    <t>1996-04</t>
  </si>
  <si>
    <t>4910.011</t>
  </si>
  <si>
    <t>100911.266</t>
  </si>
  <si>
    <t>-5747.034</t>
  </si>
  <si>
    <t>249.045</t>
  </si>
  <si>
    <t>5996.079</t>
  </si>
  <si>
    <t>100074.243</t>
  </si>
  <si>
    <t>100749.498</t>
  </si>
  <si>
    <t>135.7</t>
  </si>
  <si>
    <t>1.156</t>
  </si>
  <si>
    <t>1996-03</t>
  </si>
  <si>
    <t>5860.826</t>
  </si>
  <si>
    <t>109342.561</t>
  </si>
  <si>
    <t>-5847.052</t>
  </si>
  <si>
    <t>483.087</t>
  </si>
  <si>
    <t>6330.139</t>
  </si>
  <si>
    <t>109356.335</t>
  </si>
  <si>
    <t>99162.129</t>
  </si>
  <si>
    <t>259.6</t>
  </si>
  <si>
    <t>1.294</t>
  </si>
  <si>
    <t>1996-02</t>
  </si>
  <si>
    <t>6735.697</t>
  </si>
  <si>
    <t>108333.226</t>
  </si>
  <si>
    <t>-5356.964</t>
  </si>
  <si>
    <t>570.103</t>
  </si>
  <si>
    <t>5927.067</t>
  </si>
  <si>
    <t>109711.959</t>
  </si>
  <si>
    <t>99826.542</t>
  </si>
  <si>
    <t>338.2</t>
  </si>
  <si>
    <t>1.312</t>
  </si>
  <si>
    <t>1996-01</t>
  </si>
  <si>
    <t>7172.12</t>
  </si>
  <si>
    <t>117114.763</t>
  </si>
  <si>
    <t>-6192.114</t>
  </si>
  <si>
    <t>6597.187</t>
  </si>
  <si>
    <t>118094.769</t>
  </si>
  <si>
    <t>99723.796</t>
  </si>
  <si>
    <t>294.5</t>
  </si>
  <si>
    <t>0.944</t>
  </si>
  <si>
    <t>1995-12</t>
  </si>
  <si>
    <t>5762.605</t>
  </si>
  <si>
    <t>110040.776</t>
  </si>
  <si>
    <t>-3990.718</t>
  </si>
  <si>
    <t>686.123</t>
  </si>
  <si>
    <t>4676.842</t>
  </si>
  <si>
    <t>111812.663</t>
  </si>
  <si>
    <t>98074.369</t>
  </si>
  <si>
    <t>331.8</t>
  </si>
  <si>
    <t>1.155</t>
  </si>
  <si>
    <t>1995-11</t>
  </si>
  <si>
    <t>4539.406</t>
  </si>
  <si>
    <t>104572.357</t>
  </si>
  <si>
    <t>-5940.069</t>
  </si>
  <si>
    <t>6210.118</t>
  </si>
  <si>
    <t>103171.694</t>
  </si>
  <si>
    <t>96809.324</t>
  </si>
  <si>
    <t>212.8</t>
  </si>
  <si>
    <t>1995-10</t>
  </si>
  <si>
    <t>4749.011</t>
  </si>
  <si>
    <t>94269.678</t>
  </si>
  <si>
    <t>-6164.109</t>
  </si>
  <si>
    <t>208.037</t>
  </si>
  <si>
    <t>6372.147</t>
  </si>
  <si>
    <t>92854.579</t>
  </si>
  <si>
    <t>94382.63</t>
  </si>
  <si>
    <t>31.4</t>
  </si>
  <si>
    <t>0.423</t>
  </si>
  <si>
    <t>1995-09</t>
  </si>
  <si>
    <t>5390.988</t>
  </si>
  <si>
    <t>84473.687</t>
  </si>
  <si>
    <t>-6078.094</t>
  </si>
  <si>
    <t>118.021</t>
  </si>
  <si>
    <t>6196.115</t>
  </si>
  <si>
    <t>83786.581</t>
  </si>
  <si>
    <t>92110.811</t>
  </si>
  <si>
    <t>1995-08</t>
  </si>
  <si>
    <t>4595.098</t>
  </si>
  <si>
    <t>87590.304</t>
  </si>
  <si>
    <t>-5991.078</t>
  </si>
  <si>
    <t>149.027</t>
  </si>
  <si>
    <t>6140.105</t>
  </si>
  <si>
    <t>86194.324</t>
  </si>
  <si>
    <t>96870.725</t>
  </si>
  <si>
    <t>1995-07</t>
  </si>
  <si>
    <t>6405.595</t>
  </si>
  <si>
    <t>85037.737</t>
  </si>
  <si>
    <t>-5690.024</t>
  </si>
  <si>
    <t>179.032</t>
  </si>
  <si>
    <t>5869.056</t>
  </si>
  <si>
    <t>85753.309</t>
  </si>
  <si>
    <t>95125.783</t>
  </si>
  <si>
    <t>1995-06</t>
  </si>
  <si>
    <t>7190.346</t>
  </si>
  <si>
    <t>81245.536</t>
  </si>
  <si>
    <t>182.033</t>
  </si>
  <si>
    <t>5445.98</t>
  </si>
  <si>
    <t>83171.935</t>
  </si>
  <si>
    <t>96492.762</t>
  </si>
  <si>
    <t>1995-05</t>
  </si>
  <si>
    <t>7719.927</t>
  </si>
  <si>
    <t>85241.688</t>
  </si>
  <si>
    <t>-5784.041</t>
  </si>
  <si>
    <t>167.03</t>
  </si>
  <si>
    <t>5951.071</t>
  </si>
  <si>
    <t>87177.574</t>
  </si>
  <si>
    <t>94635.485</t>
  </si>
  <si>
    <t>59.2</t>
  </si>
  <si>
    <t>1.264</t>
  </si>
  <si>
    <t>1995-04</t>
  </si>
  <si>
    <t>6646.59</t>
  </si>
  <si>
    <t>92813.345</t>
  </si>
  <si>
    <t>93646.888</t>
  </si>
  <si>
    <t>95023.243</t>
  </si>
  <si>
    <t>141.2</t>
  </si>
  <si>
    <t>1995-03</t>
  </si>
  <si>
    <t>8434.81</t>
  </si>
  <si>
    <t>104323.793</t>
  </si>
  <si>
    <t>-6658.198</t>
  </si>
  <si>
    <t>184.033</t>
  </si>
  <si>
    <t>6842.231</t>
  </si>
  <si>
    <t>106100.405</t>
  </si>
  <si>
    <t>95705.774</t>
  </si>
  <si>
    <t>246.5</t>
  </si>
  <si>
    <t>1.229</t>
  </si>
  <si>
    <t>1995-02</t>
  </si>
  <si>
    <t>7496.146</t>
  </si>
  <si>
    <t>96102.044</t>
  </si>
  <si>
    <t>-5895.061</t>
  </si>
  <si>
    <t>6096.097</t>
  </si>
  <si>
    <t>97703.129</t>
  </si>
  <si>
    <t>95939.078</t>
  </si>
  <si>
    <t>191.9</t>
  </si>
  <si>
    <t>0.744</t>
  </si>
  <si>
    <t>1995-01</t>
  </si>
  <si>
    <t>7813.085</t>
  </si>
  <si>
    <t>117618.806</t>
  </si>
  <si>
    <t>-6585.185</t>
  </si>
  <si>
    <t>268.048</t>
  </si>
  <si>
    <t>6853.233</t>
  </si>
  <si>
    <t>118846.706</t>
  </si>
  <si>
    <t>100337.991</t>
  </si>
  <si>
    <t>309.7</t>
  </si>
  <si>
    <t>0.993</t>
  </si>
  <si>
    <t>1994-12</t>
  </si>
  <si>
    <t>6049.166</t>
  </si>
  <si>
    <t>113072.698</t>
  </si>
  <si>
    <t>-6189.114</t>
  </si>
  <si>
    <t>326.059</t>
  </si>
  <si>
    <t>6515.173</t>
  </si>
  <si>
    <t>112932.75</t>
  </si>
  <si>
    <t>100253.852</t>
  </si>
  <si>
    <t>248.5</t>
  </si>
  <si>
    <t>0.865</t>
  </si>
  <si>
    <t>1994-11</t>
  </si>
  <si>
    <t>7241.988</t>
  </si>
  <si>
    <t>96187.166</t>
  </si>
  <si>
    <t>-5983.077</t>
  </si>
  <si>
    <t>275.05</t>
  </si>
  <si>
    <t>6258.126</t>
  </si>
  <si>
    <t>97446.078</t>
  </si>
  <si>
    <t>94434.864</t>
  </si>
  <si>
    <t>121.2</t>
  </si>
  <si>
    <t>0.619</t>
  </si>
  <si>
    <t>1994-10</t>
  </si>
  <si>
    <t>6376.23</t>
  </si>
  <si>
    <t>93731.147</t>
  </si>
  <si>
    <t>-5788.042</t>
  </si>
  <si>
    <t>254.046</t>
  </si>
  <si>
    <t>6042.087</t>
  </si>
  <si>
    <t>94319.336</t>
  </si>
  <si>
    <t>95269.597</t>
  </si>
  <si>
    <t>89.3</t>
  </si>
  <si>
    <t>1.204</t>
  </si>
  <si>
    <t>1994-09</t>
  </si>
  <si>
    <t>5745.392</t>
  </si>
  <si>
    <t>87078.497</t>
  </si>
  <si>
    <t>-4960.893</t>
  </si>
  <si>
    <t>5320.958</t>
  </si>
  <si>
    <t>87862.996</t>
  </si>
  <si>
    <t>95386.069</t>
  </si>
  <si>
    <t>1994-08</t>
  </si>
  <si>
    <t>4522.192</t>
  </si>
  <si>
    <t>84724.679</t>
  </si>
  <si>
    <t>-5250.945</t>
  </si>
  <si>
    <t>5579.004</t>
  </si>
  <si>
    <t>83995.926</t>
  </si>
  <si>
    <t>94847.439</t>
  </si>
  <si>
    <t>1994-07</t>
  </si>
  <si>
    <t>6014.738</t>
  </si>
  <si>
    <t>84517.083</t>
  </si>
  <si>
    <t>-5068.912</t>
  </si>
  <si>
    <t>5392.971</t>
  </si>
  <si>
    <t>85462.909</t>
  </si>
  <si>
    <t>95153.498</t>
  </si>
  <si>
    <t>1994-06</t>
  </si>
  <si>
    <t>7045.547</t>
  </si>
  <si>
    <t>76765.771</t>
  </si>
  <si>
    <t>-4228.761</t>
  </si>
  <si>
    <t>247.044</t>
  </si>
  <si>
    <t>4475.806</t>
  </si>
  <si>
    <t>79582.557</t>
  </si>
  <si>
    <t>92367.855</t>
  </si>
  <si>
    <t>1994-05</t>
  </si>
  <si>
    <t>7811.059</t>
  </si>
  <si>
    <t>75967.325</t>
  </si>
  <si>
    <t>-4735.852</t>
  </si>
  <si>
    <t>4939.889</t>
  </si>
  <si>
    <t>79042.532</t>
  </si>
  <si>
    <t>86756.468</t>
  </si>
  <si>
    <t>41</t>
  </si>
  <si>
    <t>0.876</t>
  </si>
  <si>
    <t>1994-04</t>
  </si>
  <si>
    <t>7996.362</t>
  </si>
  <si>
    <t>86794.25</t>
  </si>
  <si>
    <t>-4980.896</t>
  </si>
  <si>
    <t>5304.955</t>
  </si>
  <si>
    <t>89809.716</t>
  </si>
  <si>
    <t>89630.039</t>
  </si>
  <si>
    <t>175.5</t>
  </si>
  <si>
    <t>1.495</t>
  </si>
  <si>
    <t>1994-03</t>
  </si>
  <si>
    <t>7453.618</t>
  </si>
  <si>
    <t>92642.067</t>
  </si>
  <si>
    <t>-5590.006</t>
  </si>
  <si>
    <t>261.047</t>
  </si>
  <si>
    <t>5851.053</t>
  </si>
  <si>
    <t>94505.679</t>
  </si>
  <si>
    <t>89725.585</t>
  </si>
  <si>
    <t>155.5</t>
  </si>
  <si>
    <t>0.775</t>
  </si>
  <si>
    <t>1994-02</t>
  </si>
  <si>
    <t>6949.352</t>
  </si>
  <si>
    <t>94155.92</t>
  </si>
  <si>
    <t>-5055.91</t>
  </si>
  <si>
    <t>358.064</t>
  </si>
  <si>
    <t>96049.362</t>
  </si>
  <si>
    <t>91696.078</t>
  </si>
  <si>
    <t>261.5</t>
  </si>
  <si>
    <t>1.014</t>
  </si>
  <si>
    <t>1994-01</t>
  </si>
  <si>
    <t>8414.558</t>
  </si>
  <si>
    <t>105410.812</t>
  </si>
  <si>
    <t>457.082</t>
  </si>
  <si>
    <t>5804.045</t>
  </si>
  <si>
    <t>108478.408</t>
  </si>
  <si>
    <t>91148.725</t>
  </si>
  <si>
    <t>284</t>
  </si>
  <si>
    <t>1993-12</t>
  </si>
  <si>
    <t>6640.514</t>
  </si>
  <si>
    <t>111889.88</t>
  </si>
  <si>
    <t>-5618.011</t>
  </si>
  <si>
    <t>391.07</t>
  </si>
  <si>
    <t>6009.081</t>
  </si>
  <si>
    <t>112912.384</t>
  </si>
  <si>
    <t>99412.54</t>
  </si>
  <si>
    <t>253.6</t>
  </si>
  <si>
    <t>0.883</t>
  </si>
  <si>
    <t>1993-11</t>
  </si>
  <si>
    <t>5940.82</t>
  </si>
  <si>
    <t>103323.919</t>
  </si>
  <si>
    <t>-5205.937</t>
  </si>
  <si>
    <t>329.059</t>
  </si>
  <si>
    <t>5534.996</t>
  </si>
  <si>
    <t>104058.802</t>
  </si>
  <si>
    <t>94741.946</t>
  </si>
  <si>
    <t>299.7</t>
  </si>
  <si>
    <t>1.53</t>
  </si>
  <si>
    <t>1993-10</t>
  </si>
  <si>
    <t>7930.544</t>
  </si>
  <si>
    <t>88015.491</t>
  </si>
  <si>
    <t>-4663.839</t>
  </si>
  <si>
    <t>4895.881</t>
  </si>
  <si>
    <t>91282.196</t>
  </si>
  <si>
    <t>91176.269</t>
  </si>
  <si>
    <t>137.8</t>
  </si>
  <si>
    <t>1.857</t>
  </si>
  <si>
    <t>1993-09</t>
  </si>
  <si>
    <t>4931.275</t>
  </si>
  <si>
    <t>87843.343</t>
  </si>
  <si>
    <t>-5186.933</t>
  </si>
  <si>
    <t>5527.995</t>
  </si>
  <si>
    <t>87587.685</t>
  </si>
  <si>
    <t>94986.035</t>
  </si>
  <si>
    <t>1993-08</t>
  </si>
  <si>
    <t>4464.475</t>
  </si>
  <si>
    <t>80090.303</t>
  </si>
  <si>
    <t>-5043.908</t>
  </si>
  <si>
    <t>296.053</t>
  </si>
  <si>
    <t>5339.961</t>
  </si>
  <si>
    <t>79510.871</t>
  </si>
  <si>
    <t>90548.716</t>
  </si>
  <si>
    <t>1993-07</t>
  </si>
  <si>
    <t>6335.727</t>
  </si>
  <si>
    <t>82098.698</t>
  </si>
  <si>
    <t>263.047</t>
  </si>
  <si>
    <t>5223.94</t>
  </si>
  <si>
    <t>83473.532</t>
  </si>
  <si>
    <t>92940.407</t>
  </si>
  <si>
    <t>1993-06</t>
  </si>
  <si>
    <t>7016.182</t>
  </si>
  <si>
    <t>76634.59</t>
  </si>
  <si>
    <t>-4498.81</t>
  </si>
  <si>
    <t>220.04</t>
  </si>
  <si>
    <t>4718.849</t>
  </si>
  <si>
    <t>79151.962</t>
  </si>
  <si>
    <t>91555.972</t>
  </si>
  <si>
    <t>1993-05</t>
  </si>
  <si>
    <t>6488.627</t>
  </si>
  <si>
    <t>81078.561</t>
  </si>
  <si>
    <t>-5070.913</t>
  </si>
  <si>
    <t>156.028</t>
  </si>
  <si>
    <t>5226.941</t>
  </si>
  <si>
    <t>82496.275</t>
  </si>
  <si>
    <t>90835.376</t>
  </si>
  <si>
    <t>40.3</t>
  </si>
  <si>
    <t>0.861</t>
  </si>
  <si>
    <t>1993-04</t>
  </si>
  <si>
    <t>4906.973</t>
  </si>
  <si>
    <t>92794.194</t>
  </si>
  <si>
    <t>-5375.968</t>
  </si>
  <si>
    <t>240.043</t>
  </si>
  <si>
    <t>5616.011</t>
  </si>
  <si>
    <t>92325.2</t>
  </si>
  <si>
    <t>94034.112</t>
  </si>
  <si>
    <t>0.978</t>
  </si>
  <si>
    <t>1993-03</t>
  </si>
  <si>
    <t>4229.556</t>
  </si>
  <si>
    <t>104248.418</t>
  </si>
  <si>
    <t>-5617.011</t>
  </si>
  <si>
    <t>342.062</t>
  </si>
  <si>
    <t>5959.072</t>
  </si>
  <si>
    <t>102860.963</t>
  </si>
  <si>
    <t>92992.329</t>
  </si>
  <si>
    <t>230.8</t>
  </si>
  <si>
    <t>1.151</t>
  </si>
  <si>
    <t>1993-02</t>
  </si>
  <si>
    <t>4336.89</t>
  </si>
  <si>
    <t>99683.306</t>
  </si>
  <si>
    <t>-4922.886</t>
  </si>
  <si>
    <t>388.07</t>
  </si>
  <si>
    <t>5310.956</t>
  </si>
  <si>
    <t>99097.31</t>
  </si>
  <si>
    <t>92418.383</t>
  </si>
  <si>
    <t>315.3</t>
  </si>
  <si>
    <t>1.223</t>
  </si>
  <si>
    <t>1993-01</t>
  </si>
  <si>
    <t>5250.239</t>
  </si>
  <si>
    <t>108220.576</t>
  </si>
  <si>
    <t>465.084</t>
  </si>
  <si>
    <t>5741.033</t>
  </si>
  <si>
    <t>108194.865</t>
  </si>
  <si>
    <t>92234.822</t>
  </si>
  <si>
    <t>262.7</t>
  </si>
  <si>
    <t>1992-12</t>
  </si>
  <si>
    <t>8554.295</t>
  </si>
  <si>
    <t>100750.905</t>
  </si>
  <si>
    <t>-4882.879</t>
  </si>
  <si>
    <t>459.083</t>
  </si>
  <si>
    <t>5341.961</t>
  </si>
  <si>
    <t>104422.321</t>
  </si>
  <si>
    <t>90244.482</t>
  </si>
  <si>
    <t>1992-11</t>
  </si>
  <si>
    <t>8263.684</t>
  </si>
  <si>
    <t>89408.658</t>
  </si>
  <si>
    <t>-4969.894</t>
  </si>
  <si>
    <t>5241.943</t>
  </si>
  <si>
    <t>92702.447</t>
  </si>
  <si>
    <t>88085.22</t>
  </si>
  <si>
    <t>161</t>
  </si>
  <si>
    <t>0.822</t>
  </si>
  <si>
    <t>1992-10</t>
  </si>
  <si>
    <t>6662.791</t>
  </si>
  <si>
    <t>88407.768</t>
  </si>
  <si>
    <t>-4613.83</t>
  </si>
  <si>
    <t>450.081</t>
  </si>
  <si>
    <t>5063.911</t>
  </si>
  <si>
    <t>90456.729</t>
  </si>
  <si>
    <t>89382.05</t>
  </si>
  <si>
    <t>154.6</t>
  </si>
  <si>
    <t>2.084</t>
  </si>
  <si>
    <t>1992-09</t>
  </si>
  <si>
    <t>4526.243</t>
  </si>
  <si>
    <t>79167.85</t>
  </si>
  <si>
    <t>-4443.8</t>
  </si>
  <si>
    <t>293.053</t>
  </si>
  <si>
    <t>4736.852</t>
  </si>
  <si>
    <t>79250.292</t>
  </si>
  <si>
    <t>86616.114</t>
  </si>
  <si>
    <t>1992-08</t>
  </si>
  <si>
    <t>4523.205</t>
  </si>
  <si>
    <t>75613.544</t>
  </si>
  <si>
    <t>-4557.82</t>
  </si>
  <si>
    <t>4829.869</t>
  </si>
  <si>
    <t>75578.929</t>
  </si>
  <si>
    <t>87339.475</t>
  </si>
  <si>
    <t>1992-07</t>
  </si>
  <si>
    <t>7087.063</t>
  </si>
  <si>
    <t>74334.122</t>
  </si>
  <si>
    <t>-4381.789</t>
  </si>
  <si>
    <t>4657.838</t>
  </si>
  <si>
    <t>77039.396</t>
  </si>
  <si>
    <t>86327.84</t>
  </si>
  <si>
    <t>1992-06</t>
  </si>
  <si>
    <t>7984.211</t>
  </si>
  <si>
    <t>68737.845</t>
  </si>
  <si>
    <t>-3930.707</t>
  </si>
  <si>
    <t>4364.786</t>
  </si>
  <si>
    <t>72791.349</t>
  </si>
  <si>
    <t>85076.661</t>
  </si>
  <si>
    <t>1992-05</t>
  </si>
  <si>
    <t>6029.927</t>
  </si>
  <si>
    <t>77342.838</t>
  </si>
  <si>
    <t>-4408.793</t>
  </si>
  <si>
    <t>394.071</t>
  </si>
  <si>
    <t>4802.864</t>
  </si>
  <si>
    <t>78963.972</t>
  </si>
  <si>
    <t>87886.567</t>
  </si>
  <si>
    <t>39.2</t>
  </si>
  <si>
    <t>0.837</t>
  </si>
  <si>
    <t>1992-04</t>
  </si>
  <si>
    <t>5749.442</t>
  </si>
  <si>
    <t>85022.563</t>
  </si>
  <si>
    <t>-4653.838</t>
  </si>
  <si>
    <t>4994.899</t>
  </si>
  <si>
    <t>86118.167</t>
  </si>
  <si>
    <t>86521.424</t>
  </si>
  <si>
    <t>149.7</t>
  </si>
  <si>
    <t>1.276</t>
  </si>
  <si>
    <t>1992-03</t>
  </si>
  <si>
    <t>4442.198</t>
  </si>
  <si>
    <t>94504.965</t>
  </si>
  <si>
    <t>-4394.791</t>
  </si>
  <si>
    <t>492.089</t>
  </si>
  <si>
    <t>4886.879</t>
  </si>
  <si>
    <t>94552.373</t>
  </si>
  <si>
    <t>86289.535</t>
  </si>
  <si>
    <t>206.9</t>
  </si>
  <si>
    <t>1992-02</t>
  </si>
  <si>
    <t>4380.431</t>
  </si>
  <si>
    <t>91110.189</t>
  </si>
  <si>
    <t>-3957.712</t>
  </si>
  <si>
    <t>4470.805</t>
  </si>
  <si>
    <t>91532.907</t>
  </si>
  <si>
    <t>83372.444</t>
  </si>
  <si>
    <t>277.5</t>
  </si>
  <si>
    <t>1992-01</t>
  </si>
  <si>
    <t>4923.175</t>
  </si>
  <si>
    <t>102098.545</t>
  </si>
  <si>
    <t>-4609.83</t>
  </si>
  <si>
    <t>5150.927</t>
  </si>
  <si>
    <t>102411.89</t>
  </si>
  <si>
    <t>82545.415</t>
  </si>
  <si>
    <t>370.5</t>
  </si>
  <si>
    <t>1.188</t>
  </si>
  <si>
    <t>1991-12</t>
  </si>
  <si>
    <t>5290.742</t>
  </si>
  <si>
    <t>99737.516</t>
  </si>
  <si>
    <t>-4618.831</t>
  </si>
  <si>
    <t>500.09</t>
  </si>
  <si>
    <t>5118.921</t>
  </si>
  <si>
    <t>100409.427</t>
  </si>
  <si>
    <t>85360.599</t>
  </si>
  <si>
    <t>345.1</t>
  </si>
  <si>
    <t>1.201</t>
  </si>
  <si>
    <t>1991-11</t>
  </si>
  <si>
    <t>5734.253</t>
  </si>
  <si>
    <t>90765.606</t>
  </si>
  <si>
    <t>-4568.822</t>
  </si>
  <si>
    <t>344.062</t>
  </si>
  <si>
    <t>4912.884</t>
  </si>
  <si>
    <t>91931.037</t>
  </si>
  <si>
    <t>85538.955</t>
  </si>
  <si>
    <t>229.3</t>
  </si>
  <si>
    <t>1991-10</t>
  </si>
  <si>
    <t>5252.264</t>
  </si>
  <si>
    <t>86110.551</t>
  </si>
  <si>
    <t>-4516.813</t>
  </si>
  <si>
    <t>462.083</t>
  </si>
  <si>
    <t>4978.896</t>
  </si>
  <si>
    <t>86846.002</t>
  </si>
  <si>
    <t>85774.311</t>
  </si>
  <si>
    <t>120</t>
  </si>
  <si>
    <t>1.617</t>
  </si>
  <si>
    <t>1991-09</t>
  </si>
  <si>
    <t>3333.421</t>
  </si>
  <si>
    <t>77872.474</t>
  </si>
  <si>
    <t>-4647.836</t>
  </si>
  <si>
    <t>4900.882</t>
  </si>
  <si>
    <t>76558.059</t>
  </si>
  <si>
    <t>84486.8</t>
  </si>
  <si>
    <t>1991-08</t>
  </si>
  <si>
    <t>3697.95</t>
  </si>
  <si>
    <t>73906.584</t>
  </si>
  <si>
    <t>-4387.79</t>
  </si>
  <si>
    <t>311.056</t>
  </si>
  <si>
    <t>4698.846</t>
  </si>
  <si>
    <t>73216.745</t>
  </si>
  <si>
    <t>85073.481</t>
  </si>
  <si>
    <t>1991-07</t>
  </si>
  <si>
    <t>5218.849</t>
  </si>
  <si>
    <t>71969.902</t>
  </si>
  <si>
    <t>-3890.7</t>
  </si>
  <si>
    <t>476.086</t>
  </si>
  <si>
    <t>4366.786</t>
  </si>
  <si>
    <t>73298.051</t>
  </si>
  <si>
    <t>82299.679</t>
  </si>
  <si>
    <t>1991-06</t>
  </si>
  <si>
    <t>5849.688</t>
  </si>
  <si>
    <t>71207.354</t>
  </si>
  <si>
    <t>387.07</t>
  </si>
  <si>
    <t>4317.777</t>
  </si>
  <si>
    <t>73126.334</t>
  </si>
  <si>
    <t>85440.08</t>
  </si>
  <si>
    <t>1991-05</t>
  </si>
  <si>
    <t>4886.722</t>
  </si>
  <si>
    <t>76660.054</t>
  </si>
  <si>
    <t>-4324.778</t>
  </si>
  <si>
    <t>4914.885</t>
  </si>
  <si>
    <t>77221.998</t>
  </si>
  <si>
    <t>85667.578</t>
  </si>
  <si>
    <t>104.7</t>
  </si>
  <si>
    <t>2.236</t>
  </si>
  <si>
    <t>1991-04</t>
  </si>
  <si>
    <t>5379.849</t>
  </si>
  <si>
    <t>76959.969</t>
  </si>
  <si>
    <t>-4400.792</t>
  </si>
  <si>
    <t>555.1</t>
  </si>
  <si>
    <t>4955.892</t>
  </si>
  <si>
    <t>77939.026</t>
  </si>
  <si>
    <t>77781.011</t>
  </si>
  <si>
    <t>165.5</t>
  </si>
  <si>
    <t>1.41</t>
  </si>
  <si>
    <t>1991-03</t>
  </si>
  <si>
    <t>5980.311</t>
  </si>
  <si>
    <t>86199.887</t>
  </si>
  <si>
    <t>-4818.867</t>
  </si>
  <si>
    <t>5370.967</t>
  </si>
  <si>
    <t>87361.33</t>
  </si>
  <si>
    <t>82294.245</t>
  </si>
  <si>
    <t>157.5</t>
  </si>
  <si>
    <t>0.785</t>
  </si>
  <si>
    <t>1991-02</t>
  </si>
  <si>
    <t>5269.478</t>
  </si>
  <si>
    <t>91563.251</t>
  </si>
  <si>
    <t>-4259.767</t>
  </si>
  <si>
    <t>507.091</t>
  </si>
  <si>
    <t>4766.858</t>
  </si>
  <si>
    <t>92572.962</t>
  </si>
  <si>
    <t>84505.143</t>
  </si>
  <si>
    <t>353.5</t>
  </si>
  <si>
    <t>1.371</t>
  </si>
  <si>
    <t>1991-01</t>
  </si>
  <si>
    <t>6179.789</t>
  </si>
  <si>
    <t>102009.208</t>
  </si>
  <si>
    <t>-4873.877</t>
  </si>
  <si>
    <t>579.104</t>
  </si>
  <si>
    <t>5452.981</t>
  </si>
  <si>
    <t>103315.121</t>
  </si>
  <si>
    <t>84949.881</t>
  </si>
  <si>
    <t>328.4</t>
  </si>
  <si>
    <t>1.053</t>
  </si>
  <si>
    <t>1990-12</t>
  </si>
  <si>
    <t>6784.301</t>
  </si>
  <si>
    <t>92255.607</t>
  </si>
  <si>
    <t>-4595.827</t>
  </si>
  <si>
    <t>800.144</t>
  </si>
  <si>
    <t>5395.971</t>
  </si>
  <si>
    <t>94444.081</t>
  </si>
  <si>
    <t>79751.45</t>
  </si>
  <si>
    <t>355</t>
  </si>
  <si>
    <t>1.236</t>
  </si>
  <si>
    <t>1990-11</t>
  </si>
  <si>
    <t>6521.03</t>
  </si>
  <si>
    <t>80539.799</t>
  </si>
  <si>
    <t>-4543.818</t>
  </si>
  <si>
    <t>738.133</t>
  </si>
  <si>
    <t>5281.951</t>
  </si>
  <si>
    <t>82517.011</t>
  </si>
  <si>
    <t>75669.655</t>
  </si>
  <si>
    <t>214.8</t>
  </si>
  <si>
    <t>1.097</t>
  </si>
  <si>
    <t>1990-10</t>
  </si>
  <si>
    <t>3902.492</t>
  </si>
  <si>
    <t>84119.629</t>
  </si>
  <si>
    <t>-4776.86</t>
  </si>
  <si>
    <t>547.098</t>
  </si>
  <si>
    <t>5323.958</t>
  </si>
  <si>
    <t>83245.261</t>
  </si>
  <si>
    <t>83449.046</t>
  </si>
  <si>
    <t>58.2</t>
  </si>
  <si>
    <t>0.784</t>
  </si>
  <si>
    <t>1990-09</t>
  </si>
  <si>
    <t>2974.967</t>
  </si>
  <si>
    <t>81873.461</t>
  </si>
  <si>
    <t>-4773.859</t>
  </si>
  <si>
    <t>5165.93</t>
  </si>
  <si>
    <t>80074.569</t>
  </si>
  <si>
    <t>88627.195</t>
  </si>
  <si>
    <t>1990-08</t>
  </si>
  <si>
    <t>3549.101</t>
  </si>
  <si>
    <t>74244.785</t>
  </si>
  <si>
    <t>-4263.767</t>
  </si>
  <si>
    <t>367.066</t>
  </si>
  <si>
    <t>4630.833</t>
  </si>
  <si>
    <t>73530.119</t>
  </si>
  <si>
    <t>84859.409</t>
  </si>
  <si>
    <t>1990-07</t>
  </si>
  <si>
    <t>5109.49</t>
  </si>
  <si>
    <t>75061.574</t>
  </si>
  <si>
    <t>-3857.694</t>
  </si>
  <si>
    <t>4334.78</t>
  </si>
  <si>
    <t>76313.369</t>
  </si>
  <si>
    <t>86002.883</t>
  </si>
  <si>
    <t>1990-06</t>
  </si>
  <si>
    <t>5619.831</t>
  </si>
  <si>
    <t>72687.783</t>
  </si>
  <si>
    <t>-3683.663</t>
  </si>
  <si>
    <t>3990.718</t>
  </si>
  <si>
    <t>74623.951</t>
  </si>
  <si>
    <t>86694.669</t>
  </si>
  <si>
    <t>1990-05</t>
  </si>
  <si>
    <t>5539.837</t>
  </si>
  <si>
    <t>72228.339</t>
  </si>
  <si>
    <t>-3905.703</t>
  </si>
  <si>
    <t>4177.752</t>
  </si>
  <si>
    <t>73862.474</t>
  </si>
  <si>
    <t>81745.168</t>
  </si>
  <si>
    <t>19</t>
  </si>
  <si>
    <t>0.406</t>
  </si>
  <si>
    <t>1990-04</t>
  </si>
  <si>
    <t>4509.029</t>
  </si>
  <si>
    <t>80945.002</t>
  </si>
  <si>
    <t>-4031.726</t>
  </si>
  <si>
    <t>511.092</t>
  </si>
  <si>
    <t>4542.818</t>
  </si>
  <si>
    <t>81422.306</t>
  </si>
  <si>
    <t>81850.015</t>
  </si>
  <si>
    <t>160.2</t>
  </si>
  <si>
    <t>1.365</t>
  </si>
  <si>
    <t>1990-03</t>
  </si>
  <si>
    <t>5564.139</t>
  </si>
  <si>
    <t>78233.01</t>
  </si>
  <si>
    <t>-2755.496</t>
  </si>
  <si>
    <t>615.111</t>
  </si>
  <si>
    <t>3370.607</t>
  </si>
  <si>
    <t>81041.653</t>
  </si>
  <si>
    <t>73918.372</t>
  </si>
  <si>
    <t>174.4</t>
  </si>
  <si>
    <t>0.87</t>
  </si>
  <si>
    <t>1990-02</t>
  </si>
  <si>
    <t>4677.117</t>
  </si>
  <si>
    <t>71258.403</t>
  </si>
  <si>
    <t>-2553.46</t>
  </si>
  <si>
    <t>603.109</t>
  </si>
  <si>
    <t>3156.568</t>
  </si>
  <si>
    <t>73382.061</t>
  </si>
  <si>
    <t>72365.581</t>
  </si>
  <si>
    <t>150.5</t>
  </si>
  <si>
    <t>0.584</t>
  </si>
  <si>
    <t>1990-01</t>
  </si>
  <si>
    <t>3180.521</t>
  </si>
  <si>
    <t>87182.585</t>
  </si>
  <si>
    <t>-2019.363</t>
  </si>
  <si>
    <t>1045.188</t>
  </si>
  <si>
    <t>3064.552</t>
  </si>
  <si>
    <t>88343.743</t>
  </si>
  <si>
    <t>70937.044</t>
  </si>
  <si>
    <t>296.8</t>
  </si>
  <si>
    <t>0.951</t>
  </si>
  <si>
    <t>1989-12</t>
  </si>
  <si>
    <t>3524.799</t>
  </si>
  <si>
    <t>84327.017</t>
  </si>
  <si>
    <t>-1466.264</t>
  </si>
  <si>
    <t>1853.334</t>
  </si>
  <si>
    <t>3319.597</t>
  </si>
  <si>
    <t>86385.552</t>
  </si>
  <si>
    <t>339.945</t>
  </si>
  <si>
    <t>0.963</t>
  </si>
  <si>
    <t>1989-11</t>
  </si>
  <si>
    <t>4312.588</t>
  </si>
  <si>
    <t>75262.58</t>
  </si>
  <si>
    <t>-3461.623</t>
  </si>
  <si>
    <t>4332.78</t>
  </si>
  <si>
    <t>76113.545</t>
  </si>
  <si>
    <t>288.146</t>
  </si>
  <si>
    <t>1.134</t>
  </si>
  <si>
    <t>1989-10</t>
  </si>
  <si>
    <t>2770.425</t>
  </si>
  <si>
    <t>74541.509</t>
  </si>
  <si>
    <t>-3868.696</t>
  </si>
  <si>
    <t>721.13</t>
  </si>
  <si>
    <t>4589.826</t>
  </si>
  <si>
    <t>73443.238</t>
  </si>
  <si>
    <t>96.957</t>
  </si>
  <si>
    <t>1989-09</t>
  </si>
  <si>
    <t>2887.885</t>
  </si>
  <si>
    <t>68536.839</t>
  </si>
  <si>
    <t>-3339.601</t>
  </si>
  <si>
    <t>4025.724</t>
  </si>
  <si>
    <t>68085.122</t>
  </si>
  <si>
    <t>1989-08</t>
  </si>
  <si>
    <t>3623.019</t>
  </si>
  <si>
    <t>64835.766</t>
  </si>
  <si>
    <t>-3014.543</t>
  </si>
  <si>
    <t>3628.653</t>
  </si>
  <si>
    <t>65444.243</t>
  </si>
  <si>
    <t>1989-07</t>
  </si>
  <si>
    <t>4519.155</t>
  </si>
  <si>
    <t>71513.649</t>
  </si>
  <si>
    <t>-3698.666</t>
  </si>
  <si>
    <t>524.094</t>
  </si>
  <si>
    <t>4222.76</t>
  </si>
  <si>
    <t>72334.138</t>
  </si>
  <si>
    <t>1989-06</t>
  </si>
  <si>
    <t>4606.237</t>
  </si>
  <si>
    <t>74346.884</t>
  </si>
  <si>
    <t>-3993.719</t>
  </si>
  <si>
    <t>74959.402</t>
  </si>
  <si>
    <t>1989-05</t>
  </si>
  <si>
    <t>6771.137</t>
  </si>
  <si>
    <t>68122.063</t>
  </si>
  <si>
    <t>-4114.741</t>
  </si>
  <si>
    <t>420.076</t>
  </si>
  <si>
    <t>4534.816</t>
  </si>
  <si>
    <t>70778.46</t>
  </si>
  <si>
    <t>48.047</t>
  </si>
  <si>
    <t>0.612</t>
  </si>
  <si>
    <t>1989-04</t>
  </si>
  <si>
    <t>6138.273</t>
  </si>
  <si>
    <t>80048.45</t>
  </si>
  <si>
    <t>-3861.695</t>
  </si>
  <si>
    <t>448.081</t>
  </si>
  <si>
    <t>4309.776</t>
  </si>
  <si>
    <t>82325.028</t>
  </si>
  <si>
    <t>234.175</t>
  </si>
  <si>
    <t>1989-03</t>
  </si>
  <si>
    <t>5095.314</t>
  </si>
  <si>
    <t>84579.072</t>
  </si>
  <si>
    <t>-4082.735</t>
  </si>
  <si>
    <t>380.068</t>
  </si>
  <si>
    <t>4462.803</t>
  </si>
  <si>
    <t>85591.652</t>
  </si>
  <si>
    <t>209.531</t>
  </si>
  <si>
    <t>1989-02</t>
  </si>
  <si>
    <t>2946.614</t>
  </si>
  <si>
    <t>82285.046</t>
  </si>
  <si>
    <t>-3395.611</t>
  </si>
  <si>
    <t>529.095</t>
  </si>
  <si>
    <t>3924.706</t>
  </si>
  <si>
    <t>81836.049</t>
  </si>
  <si>
    <t>303.151</t>
  </si>
  <si>
    <t>0.948</t>
  </si>
  <si>
    <t>1989-01</t>
  </si>
  <si>
    <t>3620.994</t>
  </si>
  <si>
    <t>92769.29</t>
  </si>
  <si>
    <t>-3865.696</t>
  </si>
  <si>
    <t>712.128</t>
  </si>
  <si>
    <t>4577.824</t>
  </si>
  <si>
    <t>92524.588</t>
  </si>
  <si>
    <t>384.477</t>
  </si>
  <si>
    <t>1.036</t>
  </si>
  <si>
    <t>1988-12</t>
  </si>
  <si>
    <t>6453.187</t>
  </si>
  <si>
    <t>80594.128</t>
  </si>
  <si>
    <t>-3670.661</t>
  </si>
  <si>
    <t>783.141</t>
  </si>
  <si>
    <t>4453.802</t>
  </si>
  <si>
    <t>83376.654</t>
  </si>
  <si>
    <t>325.026</t>
  </si>
  <si>
    <t>0.921</t>
  </si>
  <si>
    <t>1988-11</t>
  </si>
  <si>
    <t>5600.592</t>
  </si>
  <si>
    <t>70780.13</t>
  </si>
  <si>
    <t>-2416.435</t>
  </si>
  <si>
    <t>846.152</t>
  </si>
  <si>
    <t>3262.587</t>
  </si>
  <si>
    <t>73964.287</t>
  </si>
  <si>
    <t>310.682</t>
  </si>
  <si>
    <t>1.222</t>
  </si>
  <si>
    <t>1988-10</t>
  </si>
  <si>
    <t>5303.906</t>
  </si>
  <si>
    <t>72740.363</t>
  </si>
  <si>
    <t>-3243.584</t>
  </si>
  <si>
    <t>755.136</t>
  </si>
  <si>
    <t>3998.72</t>
  </si>
  <si>
    <t>74800.685</t>
  </si>
  <si>
    <t>113.799</t>
  </si>
  <si>
    <t>1988-09</t>
  </si>
  <si>
    <t>71165.118</t>
  </si>
  <si>
    <t>-3456.622</t>
  </si>
  <si>
    <t>3986.717</t>
  </si>
  <si>
    <t>72045.386</t>
  </si>
  <si>
    <t>1988-08</t>
  </si>
  <si>
    <t>4659.903</t>
  </si>
  <si>
    <t>62810.869</t>
  </si>
  <si>
    <t>-3295.593</t>
  </si>
  <si>
    <t>581.105</t>
  </si>
  <si>
    <t>3876.698</t>
  </si>
  <si>
    <t>64175.179</t>
  </si>
  <si>
    <t>1988-07</t>
  </si>
  <si>
    <t>62092.224</t>
  </si>
  <si>
    <t>-3384.609</t>
  </si>
  <si>
    <t>550.099</t>
  </si>
  <si>
    <t>3934.708</t>
  </si>
  <si>
    <t>65443.311</t>
  </si>
  <si>
    <t>1988-06</t>
  </si>
  <si>
    <t>7217.686</t>
  </si>
  <si>
    <t>60908.384</t>
  </si>
  <si>
    <t>-3343.602</t>
  </si>
  <si>
    <t>3777.68</t>
  </si>
  <si>
    <t>64782.468</t>
  </si>
  <si>
    <t>1988-05</t>
  </si>
  <si>
    <t>8352.791</t>
  </si>
  <si>
    <t>56917.337</t>
  </si>
  <si>
    <t>-3150.567</t>
  </si>
  <si>
    <t>661.119</t>
  </si>
  <si>
    <t>3811.686</t>
  </si>
  <si>
    <t>62119.561</t>
  </si>
  <si>
    <t>72.67</t>
  </si>
  <si>
    <t>0.926</t>
  </si>
  <si>
    <t>1988-04</t>
  </si>
  <si>
    <t>7940.67</t>
  </si>
  <si>
    <t>63619.344</t>
  </si>
  <si>
    <t>-2913.524</t>
  </si>
  <si>
    <t>554.1</t>
  </si>
  <si>
    <t>3467.624</t>
  </si>
  <si>
    <t>68646.49</t>
  </si>
  <si>
    <t>176.234</t>
  </si>
  <si>
    <t>1988-03</t>
  </si>
  <si>
    <t>7414.127</t>
  </si>
  <si>
    <t>79076.631</t>
  </si>
  <si>
    <t>-2420.436</t>
  </si>
  <si>
    <t>704.127</t>
  </si>
  <si>
    <t>3124.562</t>
  </si>
  <si>
    <t>84070.323</t>
  </si>
  <si>
    <t>298.589</t>
  </si>
  <si>
    <t>1988-02</t>
  </si>
  <si>
    <t>7977.123</t>
  </si>
  <si>
    <t>74309.191</t>
  </si>
  <si>
    <t>-2752.495</t>
  </si>
  <si>
    <t>625.113</t>
  </si>
  <si>
    <t>3377.608</t>
  </si>
  <si>
    <t>79533.818</t>
  </si>
  <si>
    <t>334.762</t>
  </si>
  <si>
    <t>1.047</t>
  </si>
  <si>
    <t>1988-01</t>
  </si>
  <si>
    <t>6832.905</t>
  </si>
  <si>
    <t>80048.727</t>
  </si>
  <si>
    <t>-2934.528</t>
  </si>
  <si>
    <t>3627.653</t>
  </si>
  <si>
    <t>83947.104</t>
  </si>
  <si>
    <t>298.087</t>
  </si>
  <si>
    <t>0.804</t>
  </si>
  <si>
    <t>1987-12</t>
  </si>
  <si>
    <t>6038.028</t>
  </si>
  <si>
    <t>81911.701</t>
  </si>
  <si>
    <t>-2627.473</t>
  </si>
  <si>
    <t>844.152</t>
  </si>
  <si>
    <t>3471.625</t>
  </si>
  <si>
    <t>85322.256</t>
  </si>
  <si>
    <t>362.009</t>
  </si>
  <si>
    <t>1.026</t>
  </si>
  <si>
    <t>1987-11</t>
  </si>
  <si>
    <t>5878.04</t>
  </si>
  <si>
    <t>74322.366</t>
  </si>
  <si>
    <t>-2595.467</t>
  </si>
  <si>
    <t>813.146</t>
  </si>
  <si>
    <t>3408.613</t>
  </si>
  <si>
    <t>77604.939</t>
  </si>
  <si>
    <t>286.771</t>
  </si>
  <si>
    <t>1.128</t>
  </si>
  <si>
    <t>1987-10</t>
  </si>
  <si>
    <t>6517.992</t>
  </si>
  <si>
    <t>62407.239</t>
  </si>
  <si>
    <t>-2447.44</t>
  </si>
  <si>
    <t>3144.566</t>
  </si>
  <si>
    <t>66477.79</t>
  </si>
  <si>
    <t>123.469</t>
  </si>
  <si>
    <t>0.991</t>
  </si>
  <si>
    <t>1987-09</t>
  </si>
  <si>
    <t>4626.488</t>
  </si>
  <si>
    <t>60724.275</t>
  </si>
  <si>
    <t>-2125.383</t>
  </si>
  <si>
    <t>806.145</t>
  </si>
  <si>
    <t>2931.528</t>
  </si>
  <si>
    <t>63225.381</t>
  </si>
  <si>
    <t>1987-08</t>
  </si>
  <si>
    <t>5248.214</t>
  </si>
  <si>
    <t>48453.998</t>
  </si>
  <si>
    <t>-1690.304</t>
  </si>
  <si>
    <t>680.122</t>
  </si>
  <si>
    <t>2370.427</t>
  </si>
  <si>
    <t>52011.907</t>
  </si>
  <si>
    <t>1987-07</t>
  </si>
  <si>
    <t>6971.629</t>
  </si>
  <si>
    <t>55173.054</t>
  </si>
  <si>
    <t>-2509.452</t>
  </si>
  <si>
    <t>761.137</t>
  </si>
  <si>
    <t>3270.589</t>
  </si>
  <si>
    <t>59635.232</t>
  </si>
  <si>
    <t>1987-06</t>
  </si>
  <si>
    <t>6515.967</t>
  </si>
  <si>
    <t>59626.829</t>
  </si>
  <si>
    <t>-3072.553</t>
  </si>
  <si>
    <t>3553.64</t>
  </si>
  <si>
    <t>63070.243</t>
  </si>
  <si>
    <t>1987-05</t>
  </si>
  <si>
    <t>6619.25</t>
  </si>
  <si>
    <t>61098.623</t>
  </si>
  <si>
    <t>-2873.517</t>
  </si>
  <si>
    <t>652.117</t>
  </si>
  <si>
    <t>3525.634</t>
  </si>
  <si>
    <t>64844.356</t>
  </si>
  <si>
    <t>150.16</t>
  </si>
  <si>
    <t>1.914</t>
  </si>
  <si>
    <t>1987-04</t>
  </si>
  <si>
    <t>6845.056</t>
  </si>
  <si>
    <t>62352.847</t>
  </si>
  <si>
    <t>-2822.508</t>
  </si>
  <si>
    <t>3454.622</t>
  </si>
  <si>
    <t>66375.394</t>
  </si>
  <si>
    <t>149.017</t>
  </si>
  <si>
    <t>0.897</t>
  </si>
  <si>
    <t>1987-03</t>
  </si>
  <si>
    <t>6340.79</t>
  </si>
  <si>
    <t>78632.161</t>
  </si>
  <si>
    <t>-2534.456</t>
  </si>
  <si>
    <t>759.137</t>
  </si>
  <si>
    <t>3293.593</t>
  </si>
  <si>
    <t>82438.495</t>
  </si>
  <si>
    <t>354.937</t>
  </si>
  <si>
    <t>1.388</t>
  </si>
  <si>
    <t>1987-02</t>
  </si>
  <si>
    <t>5076.075</t>
  </si>
  <si>
    <t>76830.814</t>
  </si>
  <si>
    <t>-2401.432</t>
  </si>
  <si>
    <t>767.138</t>
  </si>
  <si>
    <t>3168.57</t>
  </si>
  <si>
    <t>79505.457</t>
  </si>
  <si>
    <t>358.649</t>
  </si>
  <si>
    <t>1987-01</t>
  </si>
  <si>
    <t>6290.161</t>
  </si>
  <si>
    <t>83217.118</t>
  </si>
  <si>
    <t>-1995.359</t>
  </si>
  <si>
    <t>960.173</t>
  </si>
  <si>
    <t>2955.532</t>
  </si>
  <si>
    <t>87511.919</t>
  </si>
  <si>
    <t>563.627</t>
  </si>
  <si>
    <t>1.519</t>
  </si>
  <si>
    <t>1986-12</t>
  </si>
  <si>
    <t>4892.797</t>
  </si>
  <si>
    <t>83288.838</t>
  </si>
  <si>
    <t>-3097.557</t>
  </si>
  <si>
    <t>3801.684</t>
  </si>
  <si>
    <t>85084.078</t>
  </si>
  <si>
    <t>351.302</t>
  </si>
  <si>
    <t>1986-11</t>
  </si>
  <si>
    <t>4086.782</t>
  </si>
  <si>
    <t>73216.714</t>
  </si>
  <si>
    <t>-2866.516</t>
  </si>
  <si>
    <t>3498.63</t>
  </si>
  <si>
    <t>74436.98</t>
  </si>
  <si>
    <t>251.901</t>
  </si>
  <si>
    <t>1986-10</t>
  </si>
  <si>
    <t>3625.044</t>
  </si>
  <si>
    <t>68045.06</t>
  </si>
  <si>
    <t>-2688.484</t>
  </si>
  <si>
    <t>509.092</t>
  </si>
  <si>
    <t>3197.575</t>
  </si>
  <si>
    <t>68981.621</t>
  </si>
  <si>
    <t>104.443</t>
  </si>
  <si>
    <t>0.839</t>
  </si>
  <si>
    <t>1986-09</t>
  </si>
  <si>
    <t>3874.14</t>
  </si>
  <si>
    <t>56607.441</t>
  </si>
  <si>
    <t>-1980.356</t>
  </si>
  <si>
    <t>389.07</t>
  </si>
  <si>
    <t>2369.426</t>
  </si>
  <si>
    <t>58501.224</t>
  </si>
  <si>
    <t>1986-08</t>
  </si>
  <si>
    <t>4256.896</t>
  </si>
  <si>
    <t>50070.291</t>
  </si>
  <si>
    <t>-1296.233</t>
  </si>
  <si>
    <t>505.091</t>
  </si>
  <si>
    <t>1801.324</t>
  </si>
  <si>
    <t>53030.954</t>
  </si>
  <si>
    <t>1986-07</t>
  </si>
  <si>
    <t>5481.108</t>
  </si>
  <si>
    <t>56671.249</t>
  </si>
  <si>
    <t>-1639.295</t>
  </si>
  <si>
    <t>2288.412</t>
  </si>
  <si>
    <t>60513.062</t>
  </si>
  <si>
    <t>1986-06</t>
  </si>
  <si>
    <t>7473.869</t>
  </si>
  <si>
    <t>50338.286</t>
  </si>
  <si>
    <t>-1692.305</t>
  </si>
  <si>
    <t>533.096</t>
  </si>
  <si>
    <t>2225.401</t>
  </si>
  <si>
    <t>56119.851</t>
  </si>
  <si>
    <t>1986-05</t>
  </si>
  <si>
    <t>8862.12</t>
  </si>
  <si>
    <t>48589.941</t>
  </si>
  <si>
    <t>-2011.362</t>
  </si>
  <si>
    <t>751.135</t>
  </si>
  <si>
    <t>2762.497</t>
  </si>
  <si>
    <t>55440.699</t>
  </si>
  <si>
    <t>85.399</t>
  </si>
  <si>
    <t>1.089</t>
  </si>
  <si>
    <t>1986-04</t>
  </si>
  <si>
    <t>7138.705</t>
  </si>
  <si>
    <t>63903.908</t>
  </si>
  <si>
    <t>-2336.42</t>
  </si>
  <si>
    <t>2978.536</t>
  </si>
  <si>
    <t>68706.192</t>
  </si>
  <si>
    <t>273.481</t>
  </si>
  <si>
    <t>1.647</t>
  </si>
  <si>
    <t>1986-03</t>
  </si>
  <si>
    <t>5241.126</t>
  </si>
  <si>
    <t>71972.455</t>
  </si>
  <si>
    <t>-1986.357</t>
  </si>
  <si>
    <t>784.141</t>
  </si>
  <si>
    <t>2770.499</t>
  </si>
  <si>
    <t>75227.223</t>
  </si>
  <si>
    <t>319.462</t>
  </si>
  <si>
    <t>1.249</t>
  </si>
  <si>
    <t>1986-02</t>
  </si>
  <si>
    <t>5188.471</t>
  </si>
  <si>
    <t>69560.505</t>
  </si>
  <si>
    <t>-1382.249</t>
  </si>
  <si>
    <t>931.168</t>
  </si>
  <si>
    <t>2313.416</t>
  </si>
  <si>
    <t>73366.727</t>
  </si>
  <si>
    <t>492.724</t>
  </si>
  <si>
    <t>1.541</t>
  </si>
  <si>
    <t>1986-01</t>
  </si>
  <si>
    <t>5112.528</t>
  </si>
  <si>
    <t>78040.614</t>
  </si>
  <si>
    <t>-2487.448</t>
  </si>
  <si>
    <t>3365.606</t>
  </si>
  <si>
    <t>80665.694</t>
  </si>
  <si>
    <t>386.648</t>
  </si>
  <si>
    <t>1.042</t>
  </si>
  <si>
    <t>1985-12</t>
  </si>
  <si>
    <t>3304.056</t>
  </si>
  <si>
    <t>74115.543</t>
  </si>
  <si>
    <t>-2467.444</t>
  </si>
  <si>
    <t>3090.556</t>
  </si>
  <si>
    <t>74952.154</t>
  </si>
  <si>
    <t>341.453</t>
  </si>
  <si>
    <t>1985-11</t>
  </si>
  <si>
    <t>4030.077</t>
  </si>
  <si>
    <t>67138.125</t>
  </si>
  <si>
    <t>-1978.356</t>
  </si>
  <si>
    <t>2639.475</t>
  </si>
  <si>
    <t>69189.846</t>
  </si>
  <si>
    <t>370.703</t>
  </si>
  <si>
    <t>1.458</t>
  </si>
  <si>
    <t>1985-10</t>
  </si>
  <si>
    <t>60622.893</t>
  </si>
  <si>
    <t>-2596.467</t>
  </si>
  <si>
    <t>2963.533</t>
  </si>
  <si>
    <t>61359.846</t>
  </si>
  <si>
    <t>151.161</t>
  </si>
  <si>
    <t>1.214</t>
  </si>
  <si>
    <t>1985-09</t>
  </si>
  <si>
    <t>3691.875</t>
  </si>
  <si>
    <t>52125.042</t>
  </si>
  <si>
    <t>2744.494</t>
  </si>
  <si>
    <t>53349.472</t>
  </si>
  <si>
    <t>1985-08</t>
  </si>
  <si>
    <t>4452.324</t>
  </si>
  <si>
    <t>46336.558</t>
  </si>
  <si>
    <t>-1672.301</t>
  </si>
  <si>
    <t>1930.347</t>
  </si>
  <si>
    <t>49116.581</t>
  </si>
  <si>
    <t>1985-07</t>
  </si>
  <si>
    <t>5807.159</t>
  </si>
  <si>
    <t>48570.989</t>
  </si>
  <si>
    <t>-1917.345</t>
  </si>
  <si>
    <t>2270.409</t>
  </si>
  <si>
    <t>52460.803</t>
  </si>
  <si>
    <t>1985-06</t>
  </si>
  <si>
    <t>7278.441</t>
  </si>
  <si>
    <t>40949.698</t>
  </si>
  <si>
    <t>-1351.243</t>
  </si>
  <si>
    <t>365.066</t>
  </si>
  <si>
    <t>1716.309</t>
  </si>
  <si>
    <t>46876.896</t>
  </si>
  <si>
    <t>1985-05</t>
  </si>
  <si>
    <t>7381.724</t>
  </si>
  <si>
    <t>48099.24</t>
  </si>
  <si>
    <t>-1724.31</t>
  </si>
  <si>
    <t>453.082</t>
  </si>
  <si>
    <t>2177.392</t>
  </si>
  <si>
    <t>53756.655</t>
  </si>
  <si>
    <t>113.163</t>
  </si>
  <si>
    <t>1.443</t>
  </si>
  <si>
    <t>1985-04</t>
  </si>
  <si>
    <t>6647.602</t>
  </si>
  <si>
    <t>53604.038</t>
  </si>
  <si>
    <t>-2183.393</t>
  </si>
  <si>
    <t>321.058</t>
  </si>
  <si>
    <t>2504.451</t>
  </si>
  <si>
    <t>58068.247</t>
  </si>
  <si>
    <t>181.957</t>
  </si>
  <si>
    <t>1.095</t>
  </si>
  <si>
    <t>1985-03</t>
  </si>
  <si>
    <t>6245.607</t>
  </si>
  <si>
    <t>62796.762</t>
  </si>
  <si>
    <t>-2072.373</t>
  </si>
  <si>
    <t>2548.459</t>
  </si>
  <si>
    <t>66969.996</t>
  </si>
  <si>
    <t>341.435</t>
  </si>
  <si>
    <t>1.335</t>
  </si>
  <si>
    <t>1985-02</t>
  </si>
  <si>
    <t>5755.517</t>
  </si>
  <si>
    <t>58311.962</t>
  </si>
  <si>
    <t>-1638.295</t>
  </si>
  <si>
    <t>486.087</t>
  </si>
  <si>
    <t>2124.382</t>
  </si>
  <si>
    <t>62429.184</t>
  </si>
  <si>
    <t>358.708</t>
  </si>
  <si>
    <t>1985-01</t>
  </si>
  <si>
    <t>6284.085</t>
  </si>
  <si>
    <t>66542.064</t>
  </si>
  <si>
    <t>-1293.233</t>
  </si>
  <si>
    <t>880.158</t>
  </si>
  <si>
    <t>71532.916</t>
  </si>
  <si>
    <t>558.146</t>
  </si>
  <si>
    <t>1.505</t>
  </si>
  <si>
    <t>1984-12</t>
  </si>
  <si>
    <t>5789.945</t>
  </si>
  <si>
    <t>63560.282</t>
  </si>
  <si>
    <t>-1836.33</t>
  </si>
  <si>
    <t>748.135</t>
  </si>
  <si>
    <t>2584.465</t>
  </si>
  <si>
    <t>67513.897</t>
  </si>
  <si>
    <t>375.087</t>
  </si>
  <si>
    <t>1984-11</t>
  </si>
  <si>
    <t>5398.076</t>
  </si>
  <si>
    <t>53740.809</t>
  </si>
  <si>
    <t>-1804.325</t>
  </si>
  <si>
    <t>2427.437</t>
  </si>
  <si>
    <t>57334.56</t>
  </si>
  <si>
    <t>204.416</t>
  </si>
  <si>
    <t>1984-10</t>
  </si>
  <si>
    <t>6154.475</t>
  </si>
  <si>
    <t>48567.965</t>
  </si>
  <si>
    <t>-2004.361</t>
  </si>
  <si>
    <t>426.077</t>
  </si>
  <si>
    <t>2430.437</t>
  </si>
  <si>
    <t>52718.079</t>
  </si>
  <si>
    <t>136.61</t>
  </si>
  <si>
    <t>1984-09</t>
  </si>
  <si>
    <t>44275.334</t>
  </si>
  <si>
    <t>-2093.377</t>
  </si>
  <si>
    <t>390.07</t>
  </si>
  <si>
    <t>2483.447</t>
  </si>
  <si>
    <t>46718.325</t>
  </si>
  <si>
    <t>1984-08</t>
  </si>
  <si>
    <t>3838.699</t>
  </si>
  <si>
    <t>39682.92</t>
  </si>
  <si>
    <t>-1768.318</t>
  </si>
  <si>
    <t>411.074</t>
  </si>
  <si>
    <t>2179.392</t>
  </si>
  <si>
    <t>41753.301</t>
  </si>
  <si>
    <t>1984-07</t>
  </si>
  <si>
    <t>5764.631</t>
  </si>
  <si>
    <t>39596.812</t>
  </si>
  <si>
    <t>-1940.349</t>
  </si>
  <si>
    <t>346.062</t>
  </si>
  <si>
    <t>2286.411</t>
  </si>
  <si>
    <t>43421.094</t>
  </si>
  <si>
    <t>1984-06</t>
  </si>
  <si>
    <t>7476.907</t>
  </si>
  <si>
    <t>39475.623</t>
  </si>
  <si>
    <t>-2352.423</t>
  </si>
  <si>
    <t>2700.486</t>
  </si>
  <si>
    <t>44600.107</t>
  </si>
  <si>
    <t>1984-05</t>
  </si>
  <si>
    <t>6216.242</t>
  </si>
  <si>
    <t>42990.096</t>
  </si>
  <si>
    <t>-2335.42</t>
  </si>
  <si>
    <t>2642.476</t>
  </si>
  <si>
    <t>46870.918</t>
  </si>
  <si>
    <t>172.552</t>
  </si>
  <si>
    <t>2.2</t>
  </si>
  <si>
    <t>1984-04</t>
  </si>
  <si>
    <t>5382.887</t>
  </si>
  <si>
    <t>46542.838</t>
  </si>
  <si>
    <t>-2254.406</t>
  </si>
  <si>
    <t>352.063</t>
  </si>
  <si>
    <t>49671.319</t>
  </si>
  <si>
    <t>205.174</t>
  </si>
  <si>
    <t>1984-03</t>
  </si>
  <si>
    <t>4990.005</t>
  </si>
  <si>
    <t>54142.645</t>
  </si>
  <si>
    <t>-2144.386</t>
  </si>
  <si>
    <t>2578.464</t>
  </si>
  <si>
    <t>56988.264</t>
  </si>
  <si>
    <t>339.404</t>
  </si>
  <si>
    <t>1.327</t>
  </si>
  <si>
    <t>1984-02</t>
  </si>
  <si>
    <t>6776.2</t>
  </si>
  <si>
    <t>52251.463</t>
  </si>
  <si>
    <t>-2343.422</t>
  </si>
  <si>
    <t>2763.497</t>
  </si>
  <si>
    <t>56684.242</t>
  </si>
  <si>
    <t>373.695</t>
  </si>
  <si>
    <t>1984-01</t>
  </si>
  <si>
    <t>5952.971</t>
  </si>
  <si>
    <t>54774.102</t>
  </si>
  <si>
    <t>-1895.341</t>
  </si>
  <si>
    <t>618.111</t>
  </si>
  <si>
    <t>2513.452</t>
  </si>
  <si>
    <t>58831.732</t>
  </si>
  <si>
    <t>372.969</t>
  </si>
  <si>
    <t>1.005</t>
  </si>
  <si>
    <t>1983-12</t>
  </si>
  <si>
    <t>5180.371</t>
  </si>
  <si>
    <t>51106.32</t>
  </si>
  <si>
    <t>-1703.307</t>
  </si>
  <si>
    <t>2389.43</t>
  </si>
  <si>
    <t>54583.384</t>
  </si>
  <si>
    <t>378.676</t>
  </si>
  <si>
    <t>1.073</t>
  </si>
  <si>
    <t>1983-11</t>
  </si>
  <si>
    <t>4417.896</t>
  </si>
  <si>
    <t>40708.784</t>
  </si>
  <si>
    <t>-1048.189</t>
  </si>
  <si>
    <t>852.153</t>
  </si>
  <si>
    <t>1900.342</t>
  </si>
  <si>
    <t>44078.491</t>
  </si>
  <si>
    <t>271.731</t>
  </si>
  <si>
    <t>1983-10</t>
  </si>
  <si>
    <t>4282.21</t>
  </si>
  <si>
    <t>39639.012</t>
  </si>
  <si>
    <t>-1567.282</t>
  </si>
  <si>
    <t>2016.363</t>
  </si>
  <si>
    <t>42353.941</t>
  </si>
  <si>
    <t>156.911</t>
  </si>
  <si>
    <t>1983-09</t>
  </si>
  <si>
    <t>4683.193</t>
  </si>
  <si>
    <t>37681.491</t>
  </si>
  <si>
    <t>-1476.266</t>
  </si>
  <si>
    <t>1841.331</t>
  </si>
  <si>
    <t>40888.418</t>
  </si>
  <si>
    <t>1983-08</t>
  </si>
  <si>
    <t>4369.292</t>
  </si>
  <si>
    <t>36662.813</t>
  </si>
  <si>
    <t>-1650.297</t>
  </si>
  <si>
    <t>271.049</t>
  </si>
  <si>
    <t>1921.346</t>
  </si>
  <si>
    <t>39381.809</t>
  </si>
  <si>
    <t>1983-07</t>
  </si>
  <si>
    <t>6456.224</t>
  </si>
  <si>
    <t>33201.225</t>
  </si>
  <si>
    <t>-1414.255</t>
  </si>
  <si>
    <t>335.06</t>
  </si>
  <si>
    <t>1749.315</t>
  </si>
  <si>
    <t>38243.195</t>
  </si>
  <si>
    <t>1983-06</t>
  </si>
  <si>
    <t>7346.284</t>
  </si>
  <si>
    <t>27916.237</t>
  </si>
  <si>
    <t>-1191.214</t>
  </si>
  <si>
    <t>517.093</t>
  </si>
  <si>
    <t>1708.307</t>
  </si>
  <si>
    <t>34071.306</t>
  </si>
  <si>
    <t>1983-05</t>
  </si>
  <si>
    <t>8146.224</t>
  </si>
  <si>
    <t>28957.268</t>
  </si>
  <si>
    <t>-1220.22</t>
  </si>
  <si>
    <t>750.135</t>
  </si>
  <si>
    <t>1970.355</t>
  </si>
  <si>
    <t>35883.272</t>
  </si>
  <si>
    <t>141.422</t>
  </si>
  <si>
    <t>1.803</t>
  </si>
  <si>
    <t>1983-04</t>
  </si>
  <si>
    <t>6555.457</t>
  </si>
  <si>
    <t>31946.24</t>
  </si>
  <si>
    <t>-898.162</t>
  </si>
  <si>
    <t>607.109</t>
  </si>
  <si>
    <t>1505.271</t>
  </si>
  <si>
    <t>37603.536</t>
  </si>
  <si>
    <t>211.73</t>
  </si>
  <si>
    <t>1.275</t>
  </si>
  <si>
    <t>1983-03</t>
  </si>
  <si>
    <t>6531.155</t>
  </si>
  <si>
    <t>34414.697</t>
  </si>
  <si>
    <t>-588.106</t>
  </si>
  <si>
    <t>1256.226</t>
  </si>
  <si>
    <t>40357.747</t>
  </si>
  <si>
    <t>289.94</t>
  </si>
  <si>
    <t>1983-02</t>
  </si>
  <si>
    <t>6753.923</t>
  </si>
  <si>
    <t>33146.939</t>
  </si>
  <si>
    <t>-14.003</t>
  </si>
  <si>
    <t>1075.194</t>
  </si>
  <si>
    <t>1089.196</t>
  </si>
  <si>
    <t>39886.86</t>
  </si>
  <si>
    <t>394.079</t>
  </si>
  <si>
    <t>1.233</t>
  </si>
  <si>
    <t>1983-01</t>
  </si>
  <si>
    <t>6905.811</t>
  </si>
  <si>
    <t>41852.002</t>
  </si>
  <si>
    <t>-645.116</t>
  </si>
  <si>
    <t>752.135</t>
  </si>
  <si>
    <t>1397.251</t>
  </si>
  <si>
    <t>48112.696</t>
  </si>
  <si>
    <t>340.665</t>
  </si>
  <si>
    <t>0.918</t>
  </si>
  <si>
    <t>1982-12</t>
  </si>
  <si>
    <t>7595.379</t>
  </si>
  <si>
    <t>39475.779</t>
  </si>
  <si>
    <t>-708.127</t>
  </si>
  <si>
    <t>691.124</t>
  </si>
  <si>
    <t>1399.252</t>
  </si>
  <si>
    <t>46363.031</t>
  </si>
  <si>
    <t>358.792</t>
  </si>
  <si>
    <t>1.017</t>
  </si>
  <si>
    <t>1982-11</t>
  </si>
  <si>
    <t>6319.526</t>
  </si>
  <si>
    <t>24876.947</t>
  </si>
  <si>
    <t>175.032</t>
  </si>
  <si>
    <t>882.159</t>
  </si>
  <si>
    <t>31371.504</t>
  </si>
  <si>
    <t>237.709</t>
  </si>
  <si>
    <t>0.935</t>
  </si>
  <si>
    <t>1982-10</t>
  </si>
  <si>
    <t>6320.538</t>
  </si>
  <si>
    <t>19883.621</t>
  </si>
  <si>
    <t>437.079</t>
  </si>
  <si>
    <t>1319.237</t>
  </si>
  <si>
    <t>26641.238</t>
  </si>
  <si>
    <t>154.881</t>
  </si>
  <si>
    <t>1.244</t>
  </si>
  <si>
    <t>1982-09</t>
  </si>
  <si>
    <t>4359.167</t>
  </si>
  <si>
    <t>21725.291</t>
  </si>
  <si>
    <t>419.075</t>
  </si>
  <si>
    <t>988.178</t>
  </si>
  <si>
    <t>569.102</t>
  </si>
  <si>
    <t>26503.533</t>
  </si>
  <si>
    <t>1982-08</t>
  </si>
  <si>
    <t>5011.269</t>
  </si>
  <si>
    <t>20918.159</t>
  </si>
  <si>
    <t>-321.058</t>
  </si>
  <si>
    <t>717.129</t>
  </si>
  <si>
    <t>1038.187</t>
  </si>
  <si>
    <t>25608.371</t>
  </si>
  <si>
    <t>1982-07</t>
  </si>
  <si>
    <t>5356.56</t>
  </si>
  <si>
    <t>25197.237</t>
  </si>
  <si>
    <t>-559.101</t>
  </si>
  <si>
    <t>562.101</t>
  </si>
  <si>
    <t>1121.202</t>
  </si>
  <si>
    <t>29994.697</t>
  </si>
  <si>
    <t>1982-06</t>
  </si>
  <si>
    <t>6142.324</t>
  </si>
  <si>
    <t>23435.641</t>
  </si>
  <si>
    <t>-318.057</t>
  </si>
  <si>
    <t>679.122</t>
  </si>
  <si>
    <t>997.179</t>
  </si>
  <si>
    <t>29259.907</t>
  </si>
  <si>
    <t>1982-05</t>
  </si>
  <si>
    <t>27717.922</t>
  </si>
  <si>
    <t>-822.148</t>
  </si>
  <si>
    <t>444.08</t>
  </si>
  <si>
    <t>32278.661</t>
  </si>
  <si>
    <t>98.191</t>
  </si>
  <si>
    <t>1.252</t>
  </si>
  <si>
    <t>1982-04</t>
  </si>
  <si>
    <t>5139.867</t>
  </si>
  <si>
    <t>30603.738</t>
  </si>
  <si>
    <t>-665.12</t>
  </si>
  <si>
    <t>1203.217</t>
  </si>
  <si>
    <t>35078.485</t>
  </si>
  <si>
    <t>211.882</t>
  </si>
  <si>
    <t>1982-03</t>
  </si>
  <si>
    <t>6070.43</t>
  </si>
  <si>
    <t>32314.088</t>
  </si>
  <si>
    <t>-867.156</t>
  </si>
  <si>
    <t>757.136</t>
  </si>
  <si>
    <t>1624.292</t>
  </si>
  <si>
    <t>37517.362</t>
  </si>
  <si>
    <t>304.089</t>
  </si>
  <si>
    <t>1.189</t>
  </si>
  <si>
    <t>1982-02</t>
  </si>
  <si>
    <t>6281.048</t>
  </si>
  <si>
    <t>30366.723</t>
  </si>
  <si>
    <t>-343.062</t>
  </si>
  <si>
    <t>745.134</t>
  </si>
  <si>
    <t>1088.196</t>
  </si>
  <si>
    <t>36304.709</t>
  </si>
  <si>
    <t>312.655</t>
  </si>
  <si>
    <t>1982-01</t>
  </si>
  <si>
    <t>7959.909</t>
  </si>
  <si>
    <t>33601.655</t>
  </si>
  <si>
    <t>-264.048</t>
  </si>
  <si>
    <t>955.172</t>
  </si>
  <si>
    <t>1219.219</t>
  </si>
  <si>
    <t>41297.516</t>
  </si>
  <si>
    <t>367.239</t>
  </si>
  <si>
    <t>0.99</t>
  </si>
  <si>
    <t>1981-12</t>
  </si>
  <si>
    <t>7002.006</t>
  </si>
  <si>
    <t>33431.317</t>
  </si>
  <si>
    <t>-382.069</t>
  </si>
  <si>
    <t>1082.195</t>
  </si>
  <si>
    <t>1464.264</t>
  </si>
  <si>
    <t>40051.255</t>
  </si>
  <si>
    <t>379.855</t>
  </si>
  <si>
    <t>1.077</t>
  </si>
  <si>
    <t>1981-11</t>
  </si>
  <si>
    <t>5140.88</t>
  </si>
  <si>
    <t>28185.744</t>
  </si>
  <si>
    <t>-138.025</t>
  </si>
  <si>
    <t>1131.204</t>
  </si>
  <si>
    <t>1269.228</t>
  </si>
  <si>
    <t>33188.599</t>
  </si>
  <si>
    <t>280.073</t>
  </si>
  <si>
    <t>1981-10</t>
  </si>
  <si>
    <t>6578.747</t>
  </si>
  <si>
    <t>24526.34</t>
  </si>
  <si>
    <t>-129.023</t>
  </si>
  <si>
    <t>1040.187</t>
  </si>
  <si>
    <t>1169.21</t>
  </si>
  <si>
    <t>30976.063</t>
  </si>
  <si>
    <t>161.739</t>
  </si>
  <si>
    <t>1.299</t>
  </si>
  <si>
    <t>1981-09</t>
  </si>
  <si>
    <t>4646.74</t>
  </si>
  <si>
    <t>25554.946</t>
  </si>
  <si>
    <t>-118.021</t>
  </si>
  <si>
    <t>996.179</t>
  </si>
  <si>
    <t>1114.201</t>
  </si>
  <si>
    <t>30083.665</t>
  </si>
  <si>
    <t>1981-08</t>
  </si>
  <si>
    <t>4854.319</t>
  </si>
  <si>
    <t>23132.434</t>
  </si>
  <si>
    <t>-187.034</t>
  </si>
  <si>
    <t>816.147</t>
  </si>
  <si>
    <t>1003.181</t>
  </si>
  <si>
    <t>27799.719</t>
  </si>
  <si>
    <t>1981-07</t>
  </si>
  <si>
    <t>6462.3</t>
  </si>
  <si>
    <t>25593.399</t>
  </si>
  <si>
    <t>-364.066</t>
  </si>
  <si>
    <t>1031.186</t>
  </si>
  <si>
    <t>31691.633</t>
  </si>
  <si>
    <t>1981-06</t>
  </si>
  <si>
    <t>6899.735</t>
  </si>
  <si>
    <t>25080.698</t>
  </si>
  <si>
    <t>-670.121</t>
  </si>
  <si>
    <t>655.118</t>
  </si>
  <si>
    <t>1325.239</t>
  </si>
  <si>
    <t>31310.313</t>
  </si>
  <si>
    <t>1981-05</t>
  </si>
  <si>
    <t>6645.577</t>
  </si>
  <si>
    <t>27182.773</t>
  </si>
  <si>
    <t>-840.151</t>
  </si>
  <si>
    <t>638.115</t>
  </si>
  <si>
    <t>1478.266</t>
  </si>
  <si>
    <t>32988.198</t>
  </si>
  <si>
    <t>113.134</t>
  </si>
  <si>
    <t>1.442</t>
  </si>
  <si>
    <t>1981-04</t>
  </si>
  <si>
    <t>6917.962</t>
  </si>
  <si>
    <t>25183.238</t>
  </si>
  <si>
    <t>-375.068</t>
  </si>
  <si>
    <t>1188.214</t>
  </si>
  <si>
    <t>31726.132</t>
  </si>
  <si>
    <t>183.518</t>
  </si>
  <si>
    <t>1.105</t>
  </si>
  <si>
    <t>1981-03</t>
  </si>
  <si>
    <t>6883.534</t>
  </si>
  <si>
    <t>26679.685</t>
  </si>
  <si>
    <t>-827.149</t>
  </si>
  <si>
    <t>845.152</t>
  </si>
  <si>
    <t>1672.301</t>
  </si>
  <si>
    <t>32736.07</t>
  </si>
  <si>
    <t>205.789</t>
  </si>
  <si>
    <t>1981-02</t>
  </si>
  <si>
    <t>5236.063</t>
  </si>
  <si>
    <t>26240.684</t>
  </si>
  <si>
    <t>-405.073</t>
  </si>
  <si>
    <t>1445.26</t>
  </si>
  <si>
    <t>31071.674</t>
  </si>
  <si>
    <t>386.52</t>
  </si>
  <si>
    <t>1.209</t>
  </si>
  <si>
    <t>1981-01</t>
  </si>
  <si>
    <t>6329.652</t>
  </si>
  <si>
    <t>28435.686</t>
  </si>
  <si>
    <t>1216.219</t>
  </si>
  <si>
    <t>1598.288</t>
  </si>
  <si>
    <t>34383.269</t>
  </si>
  <si>
    <t>407.494</t>
  </si>
  <si>
    <t>1.098</t>
  </si>
  <si>
    <t>1980-12</t>
  </si>
  <si>
    <t>423.706</t>
  </si>
  <si>
    <t>1980-11</t>
  </si>
  <si>
    <t>328.812</t>
  </si>
  <si>
    <t>1980-10</t>
  </si>
  <si>
    <t>179.046</t>
  </si>
  <si>
    <t>1.438</t>
  </si>
  <si>
    <t>1980-09</t>
  </si>
  <si>
    <t>1980-08</t>
  </si>
  <si>
    <t>1980-07</t>
  </si>
  <si>
    <t>1980-06</t>
  </si>
  <si>
    <t>1980-05</t>
  </si>
  <si>
    <t>129.032</t>
  </si>
  <si>
    <t>1.645</t>
  </si>
  <si>
    <t>1980-04</t>
  </si>
  <si>
    <t>231.595</t>
  </si>
  <si>
    <t>1.394</t>
  </si>
  <si>
    <t>1980-03</t>
  </si>
  <si>
    <t>314.744</t>
  </si>
  <si>
    <t>1.231</t>
  </si>
  <si>
    <t>1980-02</t>
  </si>
  <si>
    <t>286.527</t>
  </si>
  <si>
    <t>1980-01</t>
  </si>
  <si>
    <t>449.268</t>
  </si>
  <si>
    <t>1.211</t>
  </si>
  <si>
    <t>Total_EnR</t>
  </si>
  <si>
    <t>Total_Production</t>
  </si>
  <si>
    <t>Part_Nucléaire en %</t>
  </si>
  <si>
    <t>Part_EnR en %</t>
  </si>
  <si>
    <t>Moyenne</t>
  </si>
  <si>
    <t>Médiane</t>
  </si>
  <si>
    <t>Écart-type</t>
  </si>
  <si>
    <t>Variance</t>
  </si>
  <si>
    <t>Min</t>
  </si>
  <si>
    <t>Max</t>
  </si>
  <si>
    <t>Étendue</t>
  </si>
  <si>
    <t>Q1</t>
  </si>
  <si>
    <t>Q3</t>
  </si>
  <si>
    <t>Écart interquartile</t>
  </si>
  <si>
    <t>Coef. de variation</t>
  </si>
  <si>
    <t>Étiquettes de lignes</t>
  </si>
  <si>
    <t>Total général</t>
  </si>
  <si>
    <t>Étiquettes de colonnes</t>
  </si>
  <si>
    <t>Moyenne de Hydraulique</t>
  </si>
  <si>
    <t>Moyenne de Éolien</t>
  </si>
  <si>
    <t>Moyenne de Nucléaire</t>
  </si>
  <si>
    <t>Moyenne de Solaire</t>
  </si>
  <si>
    <t>Somme de Hydraulique</t>
  </si>
  <si>
    <t>Somme de Éolien</t>
  </si>
  <si>
    <t>Somme de Solaire</t>
  </si>
  <si>
    <t>Source</t>
  </si>
  <si>
    <t>Moyenne (GWh)</t>
  </si>
  <si>
    <t>Nucléaire_Elec</t>
  </si>
  <si>
    <t>Somme de Nucléaire_Elec</t>
  </si>
  <si>
    <t>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</si>
</sst>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Protection="1">
      <protection locked="0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Monthly</a:t>
            </a:r>
            <a:r>
              <a:rPr lang="fr-FR" baseline="0"/>
              <a:t> electricity production in France Hydro, Wind and Solar (2006-2022)</a:t>
            </a:r>
            <a:endParaRPr lang="fr-FR"/>
          </a:p>
        </c:rich>
      </c:tx>
      <c:layout>
        <c:manualLayout>
          <c:xMode val="edge"/>
          <c:yMode val="edge"/>
          <c:x val="0.10429292516250176"/>
          <c:y val="4.1551246537396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Production!$B$1</c:f>
              <c:strCache>
                <c:ptCount val="1"/>
                <c:pt idx="0">
                  <c:v>Hydraulique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Production!$A:$A</c:f>
              <c:strCache>
                <c:ptCount val="205"/>
                <c:pt idx="0">
                  <c:v>Période</c:v>
                </c:pt>
                <c:pt idx="1">
                  <c:v>2022-12</c:v>
                </c:pt>
                <c:pt idx="2">
                  <c:v>2022-11</c:v>
                </c:pt>
                <c:pt idx="3">
                  <c:v>2022-10</c:v>
                </c:pt>
                <c:pt idx="4">
                  <c:v>2022-09</c:v>
                </c:pt>
                <c:pt idx="5">
                  <c:v>2022-08</c:v>
                </c:pt>
                <c:pt idx="6">
                  <c:v>2022-07</c:v>
                </c:pt>
                <c:pt idx="7">
                  <c:v>2022-06</c:v>
                </c:pt>
                <c:pt idx="8">
                  <c:v>2022-05</c:v>
                </c:pt>
                <c:pt idx="9">
                  <c:v>2022-04</c:v>
                </c:pt>
                <c:pt idx="10">
                  <c:v>2022-03</c:v>
                </c:pt>
                <c:pt idx="11">
                  <c:v>2022-02</c:v>
                </c:pt>
                <c:pt idx="12">
                  <c:v>2022-01</c:v>
                </c:pt>
                <c:pt idx="13">
                  <c:v>2021-12</c:v>
                </c:pt>
                <c:pt idx="14">
                  <c:v>2021-11</c:v>
                </c:pt>
                <c:pt idx="15">
                  <c:v>2021-10</c:v>
                </c:pt>
                <c:pt idx="16">
                  <c:v>2021-09</c:v>
                </c:pt>
                <c:pt idx="17">
                  <c:v>2021-08</c:v>
                </c:pt>
                <c:pt idx="18">
                  <c:v>2021-07</c:v>
                </c:pt>
                <c:pt idx="19">
                  <c:v>2021-06</c:v>
                </c:pt>
                <c:pt idx="20">
                  <c:v>2021-05</c:v>
                </c:pt>
                <c:pt idx="21">
                  <c:v>2021-04</c:v>
                </c:pt>
                <c:pt idx="22">
                  <c:v>2021-03</c:v>
                </c:pt>
                <c:pt idx="23">
                  <c:v>2021-02</c:v>
                </c:pt>
                <c:pt idx="24">
                  <c:v>2021-01</c:v>
                </c:pt>
                <c:pt idx="25">
                  <c:v>2020-12</c:v>
                </c:pt>
                <c:pt idx="26">
                  <c:v>2020-11</c:v>
                </c:pt>
                <c:pt idx="27">
                  <c:v>2020-10</c:v>
                </c:pt>
                <c:pt idx="28">
                  <c:v>2020-09</c:v>
                </c:pt>
                <c:pt idx="29">
                  <c:v>2020-08</c:v>
                </c:pt>
                <c:pt idx="30">
                  <c:v>2020-07</c:v>
                </c:pt>
                <c:pt idx="31">
                  <c:v>2020-06</c:v>
                </c:pt>
                <c:pt idx="32">
                  <c:v>2020-05</c:v>
                </c:pt>
                <c:pt idx="33">
                  <c:v>2020-04</c:v>
                </c:pt>
                <c:pt idx="34">
                  <c:v>2020-03</c:v>
                </c:pt>
                <c:pt idx="35">
                  <c:v>2020-02</c:v>
                </c:pt>
                <c:pt idx="36">
                  <c:v>2020-01</c:v>
                </c:pt>
                <c:pt idx="37">
                  <c:v>2019-12</c:v>
                </c:pt>
                <c:pt idx="38">
                  <c:v>2019-11</c:v>
                </c:pt>
                <c:pt idx="39">
                  <c:v>2019-10</c:v>
                </c:pt>
                <c:pt idx="40">
                  <c:v>2019-09</c:v>
                </c:pt>
                <c:pt idx="41">
                  <c:v>2019-08</c:v>
                </c:pt>
                <c:pt idx="42">
                  <c:v>2019-07</c:v>
                </c:pt>
                <c:pt idx="43">
                  <c:v>2019-06</c:v>
                </c:pt>
                <c:pt idx="44">
                  <c:v>2019-05</c:v>
                </c:pt>
                <c:pt idx="45">
                  <c:v>2019-04</c:v>
                </c:pt>
                <c:pt idx="46">
                  <c:v>2019-03</c:v>
                </c:pt>
                <c:pt idx="47">
                  <c:v>2019-02</c:v>
                </c:pt>
                <c:pt idx="48">
                  <c:v>2019-01</c:v>
                </c:pt>
                <c:pt idx="49">
                  <c:v>2018-12</c:v>
                </c:pt>
                <c:pt idx="50">
                  <c:v>2018-11</c:v>
                </c:pt>
                <c:pt idx="51">
                  <c:v>2018-10</c:v>
                </c:pt>
                <c:pt idx="52">
                  <c:v>2018-09</c:v>
                </c:pt>
                <c:pt idx="53">
                  <c:v>2018-08</c:v>
                </c:pt>
                <c:pt idx="54">
                  <c:v>2018-07</c:v>
                </c:pt>
                <c:pt idx="55">
                  <c:v>2018-06</c:v>
                </c:pt>
                <c:pt idx="56">
                  <c:v>2018-05</c:v>
                </c:pt>
                <c:pt idx="57">
                  <c:v>2018-04</c:v>
                </c:pt>
                <c:pt idx="58">
                  <c:v>2018-03</c:v>
                </c:pt>
                <c:pt idx="59">
                  <c:v>2018-02</c:v>
                </c:pt>
                <c:pt idx="60">
                  <c:v>2018-01</c:v>
                </c:pt>
                <c:pt idx="61">
                  <c:v>2017-12</c:v>
                </c:pt>
                <c:pt idx="62">
                  <c:v>2017-11</c:v>
                </c:pt>
                <c:pt idx="63">
                  <c:v>2017-10</c:v>
                </c:pt>
                <c:pt idx="64">
                  <c:v>2017-09</c:v>
                </c:pt>
                <c:pt idx="65">
                  <c:v>2017-08</c:v>
                </c:pt>
                <c:pt idx="66">
                  <c:v>2017-07</c:v>
                </c:pt>
                <c:pt idx="67">
                  <c:v>2017-06</c:v>
                </c:pt>
                <c:pt idx="68">
                  <c:v>2017-05</c:v>
                </c:pt>
                <c:pt idx="69">
                  <c:v>2017-04</c:v>
                </c:pt>
                <c:pt idx="70">
                  <c:v>2017-03</c:v>
                </c:pt>
                <c:pt idx="71">
                  <c:v>2017-02</c:v>
                </c:pt>
                <c:pt idx="72">
                  <c:v>2017-01</c:v>
                </c:pt>
                <c:pt idx="73">
                  <c:v>2016-12</c:v>
                </c:pt>
                <c:pt idx="74">
                  <c:v>2016-11</c:v>
                </c:pt>
                <c:pt idx="75">
                  <c:v>2016-10</c:v>
                </c:pt>
                <c:pt idx="76">
                  <c:v>2016-09</c:v>
                </c:pt>
                <c:pt idx="77">
                  <c:v>2016-08</c:v>
                </c:pt>
                <c:pt idx="78">
                  <c:v>2016-07</c:v>
                </c:pt>
                <c:pt idx="79">
                  <c:v>2016-06</c:v>
                </c:pt>
                <c:pt idx="80">
                  <c:v>2016-05</c:v>
                </c:pt>
                <c:pt idx="81">
                  <c:v>2016-04</c:v>
                </c:pt>
                <c:pt idx="82">
                  <c:v>2016-03</c:v>
                </c:pt>
                <c:pt idx="83">
                  <c:v>2016-02</c:v>
                </c:pt>
                <c:pt idx="84">
                  <c:v>2016-01</c:v>
                </c:pt>
                <c:pt idx="85">
                  <c:v>2015-12</c:v>
                </c:pt>
                <c:pt idx="86">
                  <c:v>2015-11</c:v>
                </c:pt>
                <c:pt idx="87">
                  <c:v>2015-10</c:v>
                </c:pt>
                <c:pt idx="88">
                  <c:v>2015-09</c:v>
                </c:pt>
                <c:pt idx="89">
                  <c:v>2015-08</c:v>
                </c:pt>
                <c:pt idx="90">
                  <c:v>2015-07</c:v>
                </c:pt>
                <c:pt idx="91">
                  <c:v>2015-06</c:v>
                </c:pt>
                <c:pt idx="92">
                  <c:v>2015-05</c:v>
                </c:pt>
                <c:pt idx="93">
                  <c:v>2015-04</c:v>
                </c:pt>
                <c:pt idx="94">
                  <c:v>2015-03</c:v>
                </c:pt>
                <c:pt idx="95">
                  <c:v>2015-02</c:v>
                </c:pt>
                <c:pt idx="96">
                  <c:v>2015-01</c:v>
                </c:pt>
                <c:pt idx="97">
                  <c:v>2014-12</c:v>
                </c:pt>
                <c:pt idx="98">
                  <c:v>2014-11</c:v>
                </c:pt>
                <c:pt idx="99">
                  <c:v>2014-10</c:v>
                </c:pt>
                <c:pt idx="100">
                  <c:v>2014-09</c:v>
                </c:pt>
                <c:pt idx="101">
                  <c:v>2014-08</c:v>
                </c:pt>
                <c:pt idx="102">
                  <c:v>2014-07</c:v>
                </c:pt>
                <c:pt idx="103">
                  <c:v>2014-06</c:v>
                </c:pt>
                <c:pt idx="104">
                  <c:v>2014-05</c:v>
                </c:pt>
                <c:pt idx="105">
                  <c:v>2014-04</c:v>
                </c:pt>
                <c:pt idx="106">
                  <c:v>2014-03</c:v>
                </c:pt>
                <c:pt idx="107">
                  <c:v>2014-02</c:v>
                </c:pt>
                <c:pt idx="108">
                  <c:v>2014-01</c:v>
                </c:pt>
                <c:pt idx="109">
                  <c:v>2013-12</c:v>
                </c:pt>
                <c:pt idx="110">
                  <c:v>2013-11</c:v>
                </c:pt>
                <c:pt idx="111">
                  <c:v>2013-10</c:v>
                </c:pt>
                <c:pt idx="112">
                  <c:v>2013-09</c:v>
                </c:pt>
                <c:pt idx="113">
                  <c:v>2013-08</c:v>
                </c:pt>
                <c:pt idx="114">
                  <c:v>2013-07</c:v>
                </c:pt>
                <c:pt idx="115">
                  <c:v>2013-06</c:v>
                </c:pt>
                <c:pt idx="116">
                  <c:v>2013-05</c:v>
                </c:pt>
                <c:pt idx="117">
                  <c:v>2013-04</c:v>
                </c:pt>
                <c:pt idx="118">
                  <c:v>2013-03</c:v>
                </c:pt>
                <c:pt idx="119">
                  <c:v>2013-02</c:v>
                </c:pt>
                <c:pt idx="120">
                  <c:v>2013-01</c:v>
                </c:pt>
                <c:pt idx="121">
                  <c:v>2012-12</c:v>
                </c:pt>
                <c:pt idx="122">
                  <c:v>2012-11</c:v>
                </c:pt>
                <c:pt idx="123">
                  <c:v>2012-10</c:v>
                </c:pt>
                <c:pt idx="124">
                  <c:v>2012-09</c:v>
                </c:pt>
                <c:pt idx="125">
                  <c:v>2012-08</c:v>
                </c:pt>
                <c:pt idx="126">
                  <c:v>2012-07</c:v>
                </c:pt>
                <c:pt idx="127">
                  <c:v>2012-06</c:v>
                </c:pt>
                <c:pt idx="128">
                  <c:v>2012-05</c:v>
                </c:pt>
                <c:pt idx="129">
                  <c:v>2012-04</c:v>
                </c:pt>
                <c:pt idx="130">
                  <c:v>2012-03</c:v>
                </c:pt>
                <c:pt idx="131">
                  <c:v>2012-02</c:v>
                </c:pt>
                <c:pt idx="132">
                  <c:v>2012-01</c:v>
                </c:pt>
                <c:pt idx="133">
                  <c:v>2011-12</c:v>
                </c:pt>
                <c:pt idx="134">
                  <c:v>2011-11</c:v>
                </c:pt>
                <c:pt idx="135">
                  <c:v>2011-10</c:v>
                </c:pt>
                <c:pt idx="136">
                  <c:v>2011-09</c:v>
                </c:pt>
                <c:pt idx="137">
                  <c:v>2011-08</c:v>
                </c:pt>
                <c:pt idx="138">
                  <c:v>2011-07</c:v>
                </c:pt>
                <c:pt idx="139">
                  <c:v>2011-06</c:v>
                </c:pt>
                <c:pt idx="140">
                  <c:v>2011-05</c:v>
                </c:pt>
                <c:pt idx="141">
                  <c:v>2011-04</c:v>
                </c:pt>
                <c:pt idx="142">
                  <c:v>2011-03</c:v>
                </c:pt>
                <c:pt idx="143">
                  <c:v>2011-02</c:v>
                </c:pt>
                <c:pt idx="144">
                  <c:v>2011-01</c:v>
                </c:pt>
                <c:pt idx="145">
                  <c:v>2010-12</c:v>
                </c:pt>
                <c:pt idx="146">
                  <c:v>2010-11</c:v>
                </c:pt>
                <c:pt idx="147">
                  <c:v>2010-10</c:v>
                </c:pt>
                <c:pt idx="148">
                  <c:v>2010-09</c:v>
                </c:pt>
                <c:pt idx="149">
                  <c:v>2010-08</c:v>
                </c:pt>
                <c:pt idx="150">
                  <c:v>2010-07</c:v>
                </c:pt>
                <c:pt idx="151">
                  <c:v>2010-06</c:v>
                </c:pt>
                <c:pt idx="152">
                  <c:v>2010-05</c:v>
                </c:pt>
                <c:pt idx="153">
                  <c:v>2010-04</c:v>
                </c:pt>
                <c:pt idx="154">
                  <c:v>2010-03</c:v>
                </c:pt>
                <c:pt idx="155">
                  <c:v>2010-02</c:v>
                </c:pt>
                <c:pt idx="156">
                  <c:v>2010-01</c:v>
                </c:pt>
                <c:pt idx="157">
                  <c:v>2009-12</c:v>
                </c:pt>
                <c:pt idx="158">
                  <c:v>2009-11</c:v>
                </c:pt>
                <c:pt idx="159">
                  <c:v>2009-10</c:v>
                </c:pt>
                <c:pt idx="160">
                  <c:v>2009-09</c:v>
                </c:pt>
                <c:pt idx="161">
                  <c:v>2009-08</c:v>
                </c:pt>
                <c:pt idx="162">
                  <c:v>2009-07</c:v>
                </c:pt>
                <c:pt idx="163">
                  <c:v>2009-06</c:v>
                </c:pt>
                <c:pt idx="164">
                  <c:v>2009-05</c:v>
                </c:pt>
                <c:pt idx="165">
                  <c:v>2009-04</c:v>
                </c:pt>
                <c:pt idx="166">
                  <c:v>2009-03</c:v>
                </c:pt>
                <c:pt idx="167">
                  <c:v>2009-02</c:v>
                </c:pt>
                <c:pt idx="168">
                  <c:v>2009-01</c:v>
                </c:pt>
                <c:pt idx="169">
                  <c:v>2008-12</c:v>
                </c:pt>
                <c:pt idx="170">
                  <c:v>2008-11</c:v>
                </c:pt>
                <c:pt idx="171">
                  <c:v>2008-10</c:v>
                </c:pt>
                <c:pt idx="172">
                  <c:v>2008-09</c:v>
                </c:pt>
                <c:pt idx="173">
                  <c:v>2008-08</c:v>
                </c:pt>
                <c:pt idx="174">
                  <c:v>2008-07</c:v>
                </c:pt>
                <c:pt idx="175">
                  <c:v>2008-06</c:v>
                </c:pt>
                <c:pt idx="176">
                  <c:v>2008-05</c:v>
                </c:pt>
                <c:pt idx="177">
                  <c:v>2008-04</c:v>
                </c:pt>
                <c:pt idx="178">
                  <c:v>2008-03</c:v>
                </c:pt>
                <c:pt idx="179">
                  <c:v>2008-02</c:v>
                </c:pt>
                <c:pt idx="180">
                  <c:v>2008-01</c:v>
                </c:pt>
                <c:pt idx="181">
                  <c:v>2007-12</c:v>
                </c:pt>
                <c:pt idx="182">
                  <c:v>2007-11</c:v>
                </c:pt>
                <c:pt idx="183">
                  <c:v>2007-10</c:v>
                </c:pt>
                <c:pt idx="184">
                  <c:v>2007-09</c:v>
                </c:pt>
                <c:pt idx="185">
                  <c:v>2007-08</c:v>
                </c:pt>
                <c:pt idx="186">
                  <c:v>2007-07</c:v>
                </c:pt>
                <c:pt idx="187">
                  <c:v>2007-06</c:v>
                </c:pt>
                <c:pt idx="188">
                  <c:v>2007-05</c:v>
                </c:pt>
                <c:pt idx="189">
                  <c:v>2007-04</c:v>
                </c:pt>
                <c:pt idx="190">
                  <c:v>2007-03</c:v>
                </c:pt>
                <c:pt idx="191">
                  <c:v>2007-02</c:v>
                </c:pt>
                <c:pt idx="192">
                  <c:v>2007-01</c:v>
                </c:pt>
                <c:pt idx="193">
                  <c:v>2006-12</c:v>
                </c:pt>
                <c:pt idx="194">
                  <c:v>2006-11</c:v>
                </c:pt>
                <c:pt idx="195">
                  <c:v>2006-10</c:v>
                </c:pt>
                <c:pt idx="196">
                  <c:v>2006-09</c:v>
                </c:pt>
                <c:pt idx="197">
                  <c:v>2006-08</c:v>
                </c:pt>
                <c:pt idx="198">
                  <c:v>2006-07</c:v>
                </c:pt>
                <c:pt idx="199">
                  <c:v>2006-06</c:v>
                </c:pt>
                <c:pt idx="200">
                  <c:v>2006-05</c:v>
                </c:pt>
                <c:pt idx="201">
                  <c:v>2006-04</c:v>
                </c:pt>
                <c:pt idx="202">
                  <c:v>2006-03</c:v>
                </c:pt>
                <c:pt idx="203">
                  <c:v>2006-02</c:v>
                </c:pt>
                <c:pt idx="204">
                  <c:v>2006-01</c:v>
                </c:pt>
              </c:strCache>
            </c:strRef>
          </c:cat>
          <c:val>
            <c:numRef>
              <c:f>Production!$B$2:$B$204</c:f>
              <c:numCache>
                <c:formatCode>General</c:formatCode>
                <c:ptCount val="203"/>
                <c:pt idx="0">
                  <c:v>5234.5219999999999</c:v>
                </c:pt>
                <c:pt idx="1">
                  <c:v>3949.0450000000001</c:v>
                </c:pt>
                <c:pt idx="2">
                  <c:v>3152.902</c:v>
                </c:pt>
                <c:pt idx="3">
                  <c:v>2541.154</c:v>
                </c:pt>
                <c:pt idx="4">
                  <c:v>2778.7089999999998</c:v>
                </c:pt>
                <c:pt idx="5">
                  <c:v>3588.9290000000001</c:v>
                </c:pt>
                <c:pt idx="6">
                  <c:v>4157.1779999999999</c:v>
                </c:pt>
                <c:pt idx="7">
                  <c:v>5157.2550000000001</c:v>
                </c:pt>
                <c:pt idx="8">
                  <c:v>5231.0889999999999</c:v>
                </c:pt>
                <c:pt idx="9">
                  <c:v>4712.4319999999998</c:v>
                </c:pt>
                <c:pt idx="10">
                  <c:v>4511.357</c:v>
                </c:pt>
                <c:pt idx="11">
                  <c:v>6075.32</c:v>
                </c:pt>
                <c:pt idx="12">
                  <c:v>5461.2179999999998</c:v>
                </c:pt>
                <c:pt idx="13">
                  <c:v>4141.7160000000003</c:v>
                </c:pt>
                <c:pt idx="14">
                  <c:v>3162.1219999999998</c:v>
                </c:pt>
                <c:pt idx="15">
                  <c:v>3538.607</c:v>
                </c:pt>
                <c:pt idx="16">
                  <c:v>4522.3289999999997</c:v>
                </c:pt>
                <c:pt idx="17">
                  <c:v>5773.3670000000002</c:v>
                </c:pt>
                <c:pt idx="18">
                  <c:v>6375.2939999999999</c:v>
                </c:pt>
                <c:pt idx="19">
                  <c:v>6436.8209999999999</c:v>
                </c:pt>
                <c:pt idx="20">
                  <c:v>4170.2759999999998</c:v>
                </c:pt>
                <c:pt idx="21">
                  <c:v>6089.1260000000002</c:v>
                </c:pt>
                <c:pt idx="22">
                  <c:v>7057.5519999999997</c:v>
                </c:pt>
                <c:pt idx="23">
                  <c:v>7493.7039999999997</c:v>
                </c:pt>
                <c:pt idx="24">
                  <c:v>5860.8119999999999</c:v>
                </c:pt>
                <c:pt idx="25">
                  <c:v>4622.3190000000004</c:v>
                </c:pt>
                <c:pt idx="26">
                  <c:v>5275.9639999999999</c:v>
                </c:pt>
                <c:pt idx="27">
                  <c:v>3466.232</c:v>
                </c:pt>
                <c:pt idx="28">
                  <c:v>3795.92</c:v>
                </c:pt>
                <c:pt idx="29">
                  <c:v>4741.8670000000002</c:v>
                </c:pt>
                <c:pt idx="30">
                  <c:v>6527.5039999999999</c:v>
                </c:pt>
                <c:pt idx="31">
                  <c:v>6858.0069999999996</c:v>
                </c:pt>
                <c:pt idx="32">
                  <c:v>5225.5060000000003</c:v>
                </c:pt>
                <c:pt idx="33">
                  <c:v>7508.6210000000001</c:v>
                </c:pt>
                <c:pt idx="34">
                  <c:v>6432.0010000000002</c:v>
                </c:pt>
                <c:pt idx="35">
                  <c:v>6472.11</c:v>
                </c:pt>
                <c:pt idx="36">
                  <c:v>8052.2190000000001</c:v>
                </c:pt>
                <c:pt idx="37">
                  <c:v>6644.6210000000001</c:v>
                </c:pt>
                <c:pt idx="38">
                  <c:v>3922.9119999999998</c:v>
                </c:pt>
                <c:pt idx="39">
                  <c:v>2693.82</c:v>
                </c:pt>
                <c:pt idx="40">
                  <c:v>3881.36</c:v>
                </c:pt>
                <c:pt idx="41">
                  <c:v>4553.2640000000001</c:v>
                </c:pt>
                <c:pt idx="42">
                  <c:v>5919.2640000000001</c:v>
                </c:pt>
                <c:pt idx="43">
                  <c:v>5696.6049999999996</c:v>
                </c:pt>
                <c:pt idx="44">
                  <c:v>4622.4970000000003</c:v>
                </c:pt>
                <c:pt idx="45">
                  <c:v>5309.3620000000001</c:v>
                </c:pt>
                <c:pt idx="46">
                  <c:v>5202.4660000000003</c:v>
                </c:pt>
                <c:pt idx="47">
                  <c:v>5146.7420000000002</c:v>
                </c:pt>
                <c:pt idx="48">
                  <c:v>5311.143</c:v>
                </c:pt>
                <c:pt idx="49">
                  <c:v>4123.8059999999996</c:v>
                </c:pt>
                <c:pt idx="50">
                  <c:v>3074.4259999999999</c:v>
                </c:pt>
                <c:pt idx="51">
                  <c:v>3175.1019999999999</c:v>
                </c:pt>
                <c:pt idx="52">
                  <c:v>4064.8449999999998</c:v>
                </c:pt>
                <c:pt idx="53">
                  <c:v>5465.7420000000002</c:v>
                </c:pt>
                <c:pt idx="54">
                  <c:v>7803.665</c:v>
                </c:pt>
                <c:pt idx="55">
                  <c:v>7938.8519999999999</c:v>
                </c:pt>
                <c:pt idx="56">
                  <c:v>7162.3819999999996</c:v>
                </c:pt>
                <c:pt idx="57">
                  <c:v>7323.9870000000001</c:v>
                </c:pt>
                <c:pt idx="58">
                  <c:v>7367.1890000000003</c:v>
                </c:pt>
                <c:pt idx="59">
                  <c:v>7523.848</c:v>
                </c:pt>
                <c:pt idx="60">
                  <c:v>5344.4610000000002</c:v>
                </c:pt>
                <c:pt idx="61">
                  <c:v>3930.395</c:v>
                </c:pt>
                <c:pt idx="62">
                  <c:v>2732.8150000000001</c:v>
                </c:pt>
                <c:pt idx="63">
                  <c:v>3098.5259999999998</c:v>
                </c:pt>
                <c:pt idx="64">
                  <c:v>3531.8139999999999</c:v>
                </c:pt>
                <c:pt idx="65">
                  <c:v>3939.3409999999999</c:v>
                </c:pt>
                <c:pt idx="66">
                  <c:v>5157.8940000000002</c:v>
                </c:pt>
                <c:pt idx="67">
                  <c:v>5757.9650000000001</c:v>
                </c:pt>
                <c:pt idx="68">
                  <c:v>4239.9049999999997</c:v>
                </c:pt>
                <c:pt idx="69">
                  <c:v>6308.38</c:v>
                </c:pt>
                <c:pt idx="70">
                  <c:v>4583.5389999999998</c:v>
                </c:pt>
                <c:pt idx="71">
                  <c:v>5286.67</c:v>
                </c:pt>
                <c:pt idx="72">
                  <c:v>4597.3379999999997</c:v>
                </c:pt>
                <c:pt idx="73">
                  <c:v>4228.7659999999996</c:v>
                </c:pt>
                <c:pt idx="74">
                  <c:v>3081.4839999999999</c:v>
                </c:pt>
                <c:pt idx="75">
                  <c:v>3403.33</c:v>
                </c:pt>
                <c:pt idx="76">
                  <c:v>3918.2109999999998</c:v>
                </c:pt>
                <c:pt idx="77">
                  <c:v>5356.7070000000003</c:v>
                </c:pt>
                <c:pt idx="78">
                  <c:v>7231.335</c:v>
                </c:pt>
                <c:pt idx="79">
                  <c:v>6570.1490000000003</c:v>
                </c:pt>
                <c:pt idx="80">
                  <c:v>6538.2520000000004</c:v>
                </c:pt>
                <c:pt idx="81">
                  <c:v>6684.6540000000005</c:v>
                </c:pt>
                <c:pt idx="82">
                  <c:v>7016.7479999999996</c:v>
                </c:pt>
                <c:pt idx="83">
                  <c:v>5731.9610000000002</c:v>
                </c:pt>
                <c:pt idx="84">
                  <c:v>3688.393</c:v>
                </c:pt>
                <c:pt idx="85">
                  <c:v>3557.6280000000002</c:v>
                </c:pt>
                <c:pt idx="86">
                  <c:v>3893.2840000000001</c:v>
                </c:pt>
                <c:pt idx="87">
                  <c:v>3442.721</c:v>
                </c:pt>
                <c:pt idx="88">
                  <c:v>3458.6060000000002</c:v>
                </c:pt>
                <c:pt idx="89">
                  <c:v>4092.741</c:v>
                </c:pt>
                <c:pt idx="90">
                  <c:v>5693.893</c:v>
                </c:pt>
                <c:pt idx="91">
                  <c:v>6515.7860000000001</c:v>
                </c:pt>
                <c:pt idx="92">
                  <c:v>5809.6239999999998</c:v>
                </c:pt>
                <c:pt idx="93">
                  <c:v>6525.1080000000002</c:v>
                </c:pt>
                <c:pt idx="94">
                  <c:v>6423.1750000000002</c:v>
                </c:pt>
                <c:pt idx="95">
                  <c:v>6236.8440000000001</c:v>
                </c:pt>
                <c:pt idx="96">
                  <c:v>5745.2969999999996</c:v>
                </c:pt>
                <c:pt idx="97">
                  <c:v>4897.2709999999997</c:v>
                </c:pt>
                <c:pt idx="98">
                  <c:v>3783.4229999999998</c:v>
                </c:pt>
                <c:pt idx="99">
                  <c:v>3786.2370000000001</c:v>
                </c:pt>
                <c:pt idx="100">
                  <c:v>5334.1189999999997</c:v>
                </c:pt>
                <c:pt idx="101">
                  <c:v>6232.79</c:v>
                </c:pt>
                <c:pt idx="102">
                  <c:v>5111.2259999999997</c:v>
                </c:pt>
                <c:pt idx="103">
                  <c:v>6221.3680000000004</c:v>
                </c:pt>
                <c:pt idx="104">
                  <c:v>5905.107</c:v>
                </c:pt>
                <c:pt idx="105">
                  <c:v>7065.4380000000001</c:v>
                </c:pt>
                <c:pt idx="106">
                  <c:v>7112.3649999999998</c:v>
                </c:pt>
                <c:pt idx="107">
                  <c:v>7053.0829999999996</c:v>
                </c:pt>
                <c:pt idx="108">
                  <c:v>5711.1809999999996</c:v>
                </c:pt>
                <c:pt idx="109">
                  <c:v>6321.4960000000001</c:v>
                </c:pt>
                <c:pt idx="110">
                  <c:v>4825.201</c:v>
                </c:pt>
                <c:pt idx="111">
                  <c:v>4108.625</c:v>
                </c:pt>
                <c:pt idx="112">
                  <c:v>4547.1019999999999</c:v>
                </c:pt>
                <c:pt idx="113">
                  <c:v>6406.0119999999997</c:v>
                </c:pt>
                <c:pt idx="114">
                  <c:v>7377.3339999999998</c:v>
                </c:pt>
                <c:pt idx="115">
                  <c:v>8578.86</c:v>
                </c:pt>
                <c:pt idx="116">
                  <c:v>7247.3760000000002</c:v>
                </c:pt>
                <c:pt idx="117">
                  <c:v>6473.4430000000002</c:v>
                </c:pt>
                <c:pt idx="118">
                  <c:v>6870.56</c:v>
                </c:pt>
                <c:pt idx="119">
                  <c:v>6890.277</c:v>
                </c:pt>
                <c:pt idx="120">
                  <c:v>6482.4570000000003</c:v>
                </c:pt>
                <c:pt idx="121">
                  <c:v>4831.3239999999996</c:v>
                </c:pt>
                <c:pt idx="122">
                  <c:v>4484.3180000000002</c:v>
                </c:pt>
                <c:pt idx="123">
                  <c:v>3663.7939999999999</c:v>
                </c:pt>
                <c:pt idx="124">
                  <c:v>3616.866</c:v>
                </c:pt>
                <c:pt idx="125">
                  <c:v>5001.7089999999998</c:v>
                </c:pt>
                <c:pt idx="126">
                  <c:v>6966.5649999999996</c:v>
                </c:pt>
                <c:pt idx="127">
                  <c:v>7847.8389999999999</c:v>
                </c:pt>
                <c:pt idx="128">
                  <c:v>5470.6970000000001</c:v>
                </c:pt>
                <c:pt idx="129">
                  <c:v>4001.2820000000002</c:v>
                </c:pt>
                <c:pt idx="130">
                  <c:v>5250.7929999999997</c:v>
                </c:pt>
                <c:pt idx="131">
                  <c:v>6833.2470000000003</c:v>
                </c:pt>
                <c:pt idx="132">
                  <c:v>5747.0370000000003</c:v>
                </c:pt>
                <c:pt idx="133">
                  <c:v>3958.5320000000002</c:v>
                </c:pt>
                <c:pt idx="134">
                  <c:v>3280.9810000000002</c:v>
                </c:pt>
                <c:pt idx="135">
                  <c:v>3238.1390000000001</c:v>
                </c:pt>
                <c:pt idx="136">
                  <c:v>3911.1570000000002</c:v>
                </c:pt>
                <c:pt idx="137">
                  <c:v>4260.8220000000001</c:v>
                </c:pt>
                <c:pt idx="138">
                  <c:v>4381.6819999999998</c:v>
                </c:pt>
                <c:pt idx="139">
                  <c:v>3481.64</c:v>
                </c:pt>
                <c:pt idx="140">
                  <c:v>4130.2529999999997</c:v>
                </c:pt>
                <c:pt idx="141">
                  <c:v>4525.6390000000001</c:v>
                </c:pt>
                <c:pt idx="142">
                  <c:v>4119.8950000000004</c:v>
                </c:pt>
                <c:pt idx="143">
                  <c:v>6048.9170000000004</c:v>
                </c:pt>
                <c:pt idx="144">
                  <c:v>7063.89</c:v>
                </c:pt>
                <c:pt idx="145">
                  <c:v>5519.942</c:v>
                </c:pt>
                <c:pt idx="146">
                  <c:v>4048.88</c:v>
                </c:pt>
                <c:pt idx="147">
                  <c:v>3608.2190000000001</c:v>
                </c:pt>
                <c:pt idx="148">
                  <c:v>4402.6949999999997</c:v>
                </c:pt>
                <c:pt idx="149">
                  <c:v>5512.0140000000001</c:v>
                </c:pt>
                <c:pt idx="150">
                  <c:v>7408.098</c:v>
                </c:pt>
                <c:pt idx="151">
                  <c:v>6574.8609999999999</c:v>
                </c:pt>
                <c:pt idx="152">
                  <c:v>5834.1909999999998</c:v>
                </c:pt>
                <c:pt idx="153">
                  <c:v>6310.65</c:v>
                </c:pt>
                <c:pt idx="154">
                  <c:v>5903.5450000000001</c:v>
                </c:pt>
                <c:pt idx="155">
                  <c:v>6371.7070000000003</c:v>
                </c:pt>
                <c:pt idx="156">
                  <c:v>5323.0720000000001</c:v>
                </c:pt>
                <c:pt idx="157">
                  <c:v>3794.3229999999999</c:v>
                </c:pt>
                <c:pt idx="158">
                  <c:v>3081.9050000000002</c:v>
                </c:pt>
                <c:pt idx="159">
                  <c:v>2994.8670000000002</c:v>
                </c:pt>
                <c:pt idx="160">
                  <c:v>3912.0050000000001</c:v>
                </c:pt>
                <c:pt idx="161">
                  <c:v>4966.2039999999997</c:v>
                </c:pt>
                <c:pt idx="162">
                  <c:v>6444.1639999999998</c:v>
                </c:pt>
                <c:pt idx="163">
                  <c:v>7209.6679999999997</c:v>
                </c:pt>
                <c:pt idx="164">
                  <c:v>6743.0590000000002</c:v>
                </c:pt>
                <c:pt idx="165">
                  <c:v>6315.0720000000001</c:v>
                </c:pt>
                <c:pt idx="166">
                  <c:v>5808.3990000000003</c:v>
                </c:pt>
                <c:pt idx="167">
                  <c:v>6149.1930000000002</c:v>
                </c:pt>
                <c:pt idx="168">
                  <c:v>5663.6390000000001</c:v>
                </c:pt>
                <c:pt idx="169">
                  <c:v>5125.82</c:v>
                </c:pt>
                <c:pt idx="170">
                  <c:v>3806.3789999999999</c:v>
                </c:pt>
                <c:pt idx="171">
                  <c:v>4879.2929999999997</c:v>
                </c:pt>
                <c:pt idx="172">
                  <c:v>4329.0839999999998</c:v>
                </c:pt>
                <c:pt idx="173">
                  <c:v>6108.0659999999998</c:v>
                </c:pt>
                <c:pt idx="174">
                  <c:v>8493.0329999999994</c:v>
                </c:pt>
                <c:pt idx="175">
                  <c:v>7354.5550000000003</c:v>
                </c:pt>
                <c:pt idx="176">
                  <c:v>7152.1859999999997</c:v>
                </c:pt>
                <c:pt idx="177">
                  <c:v>5672.8850000000002</c:v>
                </c:pt>
                <c:pt idx="178">
                  <c:v>4503.8220000000001</c:v>
                </c:pt>
                <c:pt idx="179">
                  <c:v>6132.5609999999997</c:v>
                </c:pt>
                <c:pt idx="180">
                  <c:v>4679.2860000000001</c:v>
                </c:pt>
                <c:pt idx="181">
                  <c:v>3377.328</c:v>
                </c:pt>
                <c:pt idx="182">
                  <c:v>3951.9259999999999</c:v>
                </c:pt>
                <c:pt idx="183">
                  <c:v>4020.884</c:v>
                </c:pt>
                <c:pt idx="184">
                  <c:v>5118.4859999999999</c:v>
                </c:pt>
                <c:pt idx="185">
                  <c:v>6222.0050000000001</c:v>
                </c:pt>
                <c:pt idx="186">
                  <c:v>7360.8010000000004</c:v>
                </c:pt>
                <c:pt idx="187">
                  <c:v>6202.8680000000004</c:v>
                </c:pt>
                <c:pt idx="188">
                  <c:v>5461.009</c:v>
                </c:pt>
                <c:pt idx="189">
                  <c:v>6929.66</c:v>
                </c:pt>
                <c:pt idx="190">
                  <c:v>5648.3010000000004</c:v>
                </c:pt>
                <c:pt idx="191">
                  <c:v>5470.1859999999997</c:v>
                </c:pt>
                <c:pt idx="192">
                  <c:v>5251.799</c:v>
                </c:pt>
                <c:pt idx="193">
                  <c:v>4243.0550000000003</c:v>
                </c:pt>
                <c:pt idx="194">
                  <c:v>5097.1090000000004</c:v>
                </c:pt>
                <c:pt idx="195">
                  <c:v>4391.0140000000001</c:v>
                </c:pt>
                <c:pt idx="196">
                  <c:v>4042.5709999999999</c:v>
                </c:pt>
                <c:pt idx="197">
                  <c:v>4465.018</c:v>
                </c:pt>
                <c:pt idx="198">
                  <c:v>5200.8220000000001</c:v>
                </c:pt>
                <c:pt idx="199">
                  <c:v>6901.652</c:v>
                </c:pt>
                <c:pt idx="200">
                  <c:v>7165.018</c:v>
                </c:pt>
                <c:pt idx="201">
                  <c:v>6711.8509999999997</c:v>
                </c:pt>
                <c:pt idx="202">
                  <c:v>4666.9440000000004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E-47C5-83FB-B89DB1BA5BE4}"/>
            </c:ext>
          </c:extLst>
        </c:ser>
        <c:ser>
          <c:idx val="2"/>
          <c:order val="2"/>
          <c:tx>
            <c:strRef>
              <c:f>Production!$C$1</c:f>
              <c:strCache>
                <c:ptCount val="1"/>
                <c:pt idx="0">
                  <c:v>Éolien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Production!$A:$A</c:f>
              <c:strCache>
                <c:ptCount val="205"/>
                <c:pt idx="0">
                  <c:v>Période</c:v>
                </c:pt>
                <c:pt idx="1">
                  <c:v>2022-12</c:v>
                </c:pt>
                <c:pt idx="2">
                  <c:v>2022-11</c:v>
                </c:pt>
                <c:pt idx="3">
                  <c:v>2022-10</c:v>
                </c:pt>
                <c:pt idx="4">
                  <c:v>2022-09</c:v>
                </c:pt>
                <c:pt idx="5">
                  <c:v>2022-08</c:v>
                </c:pt>
                <c:pt idx="6">
                  <c:v>2022-07</c:v>
                </c:pt>
                <c:pt idx="7">
                  <c:v>2022-06</c:v>
                </c:pt>
                <c:pt idx="8">
                  <c:v>2022-05</c:v>
                </c:pt>
                <c:pt idx="9">
                  <c:v>2022-04</c:v>
                </c:pt>
                <c:pt idx="10">
                  <c:v>2022-03</c:v>
                </c:pt>
                <c:pt idx="11">
                  <c:v>2022-02</c:v>
                </c:pt>
                <c:pt idx="12">
                  <c:v>2022-01</c:v>
                </c:pt>
                <c:pt idx="13">
                  <c:v>2021-12</c:v>
                </c:pt>
                <c:pt idx="14">
                  <c:v>2021-11</c:v>
                </c:pt>
                <c:pt idx="15">
                  <c:v>2021-10</c:v>
                </c:pt>
                <c:pt idx="16">
                  <c:v>2021-09</c:v>
                </c:pt>
                <c:pt idx="17">
                  <c:v>2021-08</c:v>
                </c:pt>
                <c:pt idx="18">
                  <c:v>2021-07</c:v>
                </c:pt>
                <c:pt idx="19">
                  <c:v>2021-06</c:v>
                </c:pt>
                <c:pt idx="20">
                  <c:v>2021-05</c:v>
                </c:pt>
                <c:pt idx="21">
                  <c:v>2021-04</c:v>
                </c:pt>
                <c:pt idx="22">
                  <c:v>2021-03</c:v>
                </c:pt>
                <c:pt idx="23">
                  <c:v>2021-02</c:v>
                </c:pt>
                <c:pt idx="24">
                  <c:v>2021-01</c:v>
                </c:pt>
                <c:pt idx="25">
                  <c:v>2020-12</c:v>
                </c:pt>
                <c:pt idx="26">
                  <c:v>2020-11</c:v>
                </c:pt>
                <c:pt idx="27">
                  <c:v>2020-10</c:v>
                </c:pt>
                <c:pt idx="28">
                  <c:v>2020-09</c:v>
                </c:pt>
                <c:pt idx="29">
                  <c:v>2020-08</c:v>
                </c:pt>
                <c:pt idx="30">
                  <c:v>2020-07</c:v>
                </c:pt>
                <c:pt idx="31">
                  <c:v>2020-06</c:v>
                </c:pt>
                <c:pt idx="32">
                  <c:v>2020-05</c:v>
                </c:pt>
                <c:pt idx="33">
                  <c:v>2020-04</c:v>
                </c:pt>
                <c:pt idx="34">
                  <c:v>2020-03</c:v>
                </c:pt>
                <c:pt idx="35">
                  <c:v>2020-02</c:v>
                </c:pt>
                <c:pt idx="36">
                  <c:v>2020-01</c:v>
                </c:pt>
                <c:pt idx="37">
                  <c:v>2019-12</c:v>
                </c:pt>
                <c:pt idx="38">
                  <c:v>2019-11</c:v>
                </c:pt>
                <c:pt idx="39">
                  <c:v>2019-10</c:v>
                </c:pt>
                <c:pt idx="40">
                  <c:v>2019-09</c:v>
                </c:pt>
                <c:pt idx="41">
                  <c:v>2019-08</c:v>
                </c:pt>
                <c:pt idx="42">
                  <c:v>2019-07</c:v>
                </c:pt>
                <c:pt idx="43">
                  <c:v>2019-06</c:v>
                </c:pt>
                <c:pt idx="44">
                  <c:v>2019-05</c:v>
                </c:pt>
                <c:pt idx="45">
                  <c:v>2019-04</c:v>
                </c:pt>
                <c:pt idx="46">
                  <c:v>2019-03</c:v>
                </c:pt>
                <c:pt idx="47">
                  <c:v>2019-02</c:v>
                </c:pt>
                <c:pt idx="48">
                  <c:v>2019-01</c:v>
                </c:pt>
                <c:pt idx="49">
                  <c:v>2018-12</c:v>
                </c:pt>
                <c:pt idx="50">
                  <c:v>2018-11</c:v>
                </c:pt>
                <c:pt idx="51">
                  <c:v>2018-10</c:v>
                </c:pt>
                <c:pt idx="52">
                  <c:v>2018-09</c:v>
                </c:pt>
                <c:pt idx="53">
                  <c:v>2018-08</c:v>
                </c:pt>
                <c:pt idx="54">
                  <c:v>2018-07</c:v>
                </c:pt>
                <c:pt idx="55">
                  <c:v>2018-06</c:v>
                </c:pt>
                <c:pt idx="56">
                  <c:v>2018-05</c:v>
                </c:pt>
                <c:pt idx="57">
                  <c:v>2018-04</c:v>
                </c:pt>
                <c:pt idx="58">
                  <c:v>2018-03</c:v>
                </c:pt>
                <c:pt idx="59">
                  <c:v>2018-02</c:v>
                </c:pt>
                <c:pt idx="60">
                  <c:v>2018-01</c:v>
                </c:pt>
                <c:pt idx="61">
                  <c:v>2017-12</c:v>
                </c:pt>
                <c:pt idx="62">
                  <c:v>2017-11</c:v>
                </c:pt>
                <c:pt idx="63">
                  <c:v>2017-10</c:v>
                </c:pt>
                <c:pt idx="64">
                  <c:v>2017-09</c:v>
                </c:pt>
                <c:pt idx="65">
                  <c:v>2017-08</c:v>
                </c:pt>
                <c:pt idx="66">
                  <c:v>2017-07</c:v>
                </c:pt>
                <c:pt idx="67">
                  <c:v>2017-06</c:v>
                </c:pt>
                <c:pt idx="68">
                  <c:v>2017-05</c:v>
                </c:pt>
                <c:pt idx="69">
                  <c:v>2017-04</c:v>
                </c:pt>
                <c:pt idx="70">
                  <c:v>2017-03</c:v>
                </c:pt>
                <c:pt idx="71">
                  <c:v>2017-02</c:v>
                </c:pt>
                <c:pt idx="72">
                  <c:v>2017-01</c:v>
                </c:pt>
                <c:pt idx="73">
                  <c:v>2016-12</c:v>
                </c:pt>
                <c:pt idx="74">
                  <c:v>2016-11</c:v>
                </c:pt>
                <c:pt idx="75">
                  <c:v>2016-10</c:v>
                </c:pt>
                <c:pt idx="76">
                  <c:v>2016-09</c:v>
                </c:pt>
                <c:pt idx="77">
                  <c:v>2016-08</c:v>
                </c:pt>
                <c:pt idx="78">
                  <c:v>2016-07</c:v>
                </c:pt>
                <c:pt idx="79">
                  <c:v>2016-06</c:v>
                </c:pt>
                <c:pt idx="80">
                  <c:v>2016-05</c:v>
                </c:pt>
                <c:pt idx="81">
                  <c:v>2016-04</c:v>
                </c:pt>
                <c:pt idx="82">
                  <c:v>2016-03</c:v>
                </c:pt>
                <c:pt idx="83">
                  <c:v>2016-02</c:v>
                </c:pt>
                <c:pt idx="84">
                  <c:v>2016-01</c:v>
                </c:pt>
                <c:pt idx="85">
                  <c:v>2015-12</c:v>
                </c:pt>
                <c:pt idx="86">
                  <c:v>2015-11</c:v>
                </c:pt>
                <c:pt idx="87">
                  <c:v>2015-10</c:v>
                </c:pt>
                <c:pt idx="88">
                  <c:v>2015-09</c:v>
                </c:pt>
                <c:pt idx="89">
                  <c:v>2015-08</c:v>
                </c:pt>
                <c:pt idx="90">
                  <c:v>2015-07</c:v>
                </c:pt>
                <c:pt idx="91">
                  <c:v>2015-06</c:v>
                </c:pt>
                <c:pt idx="92">
                  <c:v>2015-05</c:v>
                </c:pt>
                <c:pt idx="93">
                  <c:v>2015-04</c:v>
                </c:pt>
                <c:pt idx="94">
                  <c:v>2015-03</c:v>
                </c:pt>
                <c:pt idx="95">
                  <c:v>2015-02</c:v>
                </c:pt>
                <c:pt idx="96">
                  <c:v>2015-01</c:v>
                </c:pt>
                <c:pt idx="97">
                  <c:v>2014-12</c:v>
                </c:pt>
                <c:pt idx="98">
                  <c:v>2014-11</c:v>
                </c:pt>
                <c:pt idx="99">
                  <c:v>2014-10</c:v>
                </c:pt>
                <c:pt idx="100">
                  <c:v>2014-09</c:v>
                </c:pt>
                <c:pt idx="101">
                  <c:v>2014-08</c:v>
                </c:pt>
                <c:pt idx="102">
                  <c:v>2014-07</c:v>
                </c:pt>
                <c:pt idx="103">
                  <c:v>2014-06</c:v>
                </c:pt>
                <c:pt idx="104">
                  <c:v>2014-05</c:v>
                </c:pt>
                <c:pt idx="105">
                  <c:v>2014-04</c:v>
                </c:pt>
                <c:pt idx="106">
                  <c:v>2014-03</c:v>
                </c:pt>
                <c:pt idx="107">
                  <c:v>2014-02</c:v>
                </c:pt>
                <c:pt idx="108">
                  <c:v>2014-01</c:v>
                </c:pt>
                <c:pt idx="109">
                  <c:v>2013-12</c:v>
                </c:pt>
                <c:pt idx="110">
                  <c:v>2013-11</c:v>
                </c:pt>
                <c:pt idx="111">
                  <c:v>2013-10</c:v>
                </c:pt>
                <c:pt idx="112">
                  <c:v>2013-09</c:v>
                </c:pt>
                <c:pt idx="113">
                  <c:v>2013-08</c:v>
                </c:pt>
                <c:pt idx="114">
                  <c:v>2013-07</c:v>
                </c:pt>
                <c:pt idx="115">
                  <c:v>2013-06</c:v>
                </c:pt>
                <c:pt idx="116">
                  <c:v>2013-05</c:v>
                </c:pt>
                <c:pt idx="117">
                  <c:v>2013-04</c:v>
                </c:pt>
                <c:pt idx="118">
                  <c:v>2013-03</c:v>
                </c:pt>
                <c:pt idx="119">
                  <c:v>2013-02</c:v>
                </c:pt>
                <c:pt idx="120">
                  <c:v>2013-01</c:v>
                </c:pt>
                <c:pt idx="121">
                  <c:v>2012-12</c:v>
                </c:pt>
                <c:pt idx="122">
                  <c:v>2012-11</c:v>
                </c:pt>
                <c:pt idx="123">
                  <c:v>2012-10</c:v>
                </c:pt>
                <c:pt idx="124">
                  <c:v>2012-09</c:v>
                </c:pt>
                <c:pt idx="125">
                  <c:v>2012-08</c:v>
                </c:pt>
                <c:pt idx="126">
                  <c:v>2012-07</c:v>
                </c:pt>
                <c:pt idx="127">
                  <c:v>2012-06</c:v>
                </c:pt>
                <c:pt idx="128">
                  <c:v>2012-05</c:v>
                </c:pt>
                <c:pt idx="129">
                  <c:v>2012-04</c:v>
                </c:pt>
                <c:pt idx="130">
                  <c:v>2012-03</c:v>
                </c:pt>
                <c:pt idx="131">
                  <c:v>2012-02</c:v>
                </c:pt>
                <c:pt idx="132">
                  <c:v>2012-01</c:v>
                </c:pt>
                <c:pt idx="133">
                  <c:v>2011-12</c:v>
                </c:pt>
                <c:pt idx="134">
                  <c:v>2011-11</c:v>
                </c:pt>
                <c:pt idx="135">
                  <c:v>2011-10</c:v>
                </c:pt>
                <c:pt idx="136">
                  <c:v>2011-09</c:v>
                </c:pt>
                <c:pt idx="137">
                  <c:v>2011-08</c:v>
                </c:pt>
                <c:pt idx="138">
                  <c:v>2011-07</c:v>
                </c:pt>
                <c:pt idx="139">
                  <c:v>2011-06</c:v>
                </c:pt>
                <c:pt idx="140">
                  <c:v>2011-05</c:v>
                </c:pt>
                <c:pt idx="141">
                  <c:v>2011-04</c:v>
                </c:pt>
                <c:pt idx="142">
                  <c:v>2011-03</c:v>
                </c:pt>
                <c:pt idx="143">
                  <c:v>2011-02</c:v>
                </c:pt>
                <c:pt idx="144">
                  <c:v>2011-01</c:v>
                </c:pt>
                <c:pt idx="145">
                  <c:v>2010-12</c:v>
                </c:pt>
                <c:pt idx="146">
                  <c:v>2010-11</c:v>
                </c:pt>
                <c:pt idx="147">
                  <c:v>2010-10</c:v>
                </c:pt>
                <c:pt idx="148">
                  <c:v>2010-09</c:v>
                </c:pt>
                <c:pt idx="149">
                  <c:v>2010-08</c:v>
                </c:pt>
                <c:pt idx="150">
                  <c:v>2010-07</c:v>
                </c:pt>
                <c:pt idx="151">
                  <c:v>2010-06</c:v>
                </c:pt>
                <c:pt idx="152">
                  <c:v>2010-05</c:v>
                </c:pt>
                <c:pt idx="153">
                  <c:v>2010-04</c:v>
                </c:pt>
                <c:pt idx="154">
                  <c:v>2010-03</c:v>
                </c:pt>
                <c:pt idx="155">
                  <c:v>2010-02</c:v>
                </c:pt>
                <c:pt idx="156">
                  <c:v>2010-01</c:v>
                </c:pt>
                <c:pt idx="157">
                  <c:v>2009-12</c:v>
                </c:pt>
                <c:pt idx="158">
                  <c:v>2009-11</c:v>
                </c:pt>
                <c:pt idx="159">
                  <c:v>2009-10</c:v>
                </c:pt>
                <c:pt idx="160">
                  <c:v>2009-09</c:v>
                </c:pt>
                <c:pt idx="161">
                  <c:v>2009-08</c:v>
                </c:pt>
                <c:pt idx="162">
                  <c:v>2009-07</c:v>
                </c:pt>
                <c:pt idx="163">
                  <c:v>2009-06</c:v>
                </c:pt>
                <c:pt idx="164">
                  <c:v>2009-05</c:v>
                </c:pt>
                <c:pt idx="165">
                  <c:v>2009-04</c:v>
                </c:pt>
                <c:pt idx="166">
                  <c:v>2009-03</c:v>
                </c:pt>
                <c:pt idx="167">
                  <c:v>2009-02</c:v>
                </c:pt>
                <c:pt idx="168">
                  <c:v>2009-01</c:v>
                </c:pt>
                <c:pt idx="169">
                  <c:v>2008-12</c:v>
                </c:pt>
                <c:pt idx="170">
                  <c:v>2008-11</c:v>
                </c:pt>
                <c:pt idx="171">
                  <c:v>2008-10</c:v>
                </c:pt>
                <c:pt idx="172">
                  <c:v>2008-09</c:v>
                </c:pt>
                <c:pt idx="173">
                  <c:v>2008-08</c:v>
                </c:pt>
                <c:pt idx="174">
                  <c:v>2008-07</c:v>
                </c:pt>
                <c:pt idx="175">
                  <c:v>2008-06</c:v>
                </c:pt>
                <c:pt idx="176">
                  <c:v>2008-05</c:v>
                </c:pt>
                <c:pt idx="177">
                  <c:v>2008-04</c:v>
                </c:pt>
                <c:pt idx="178">
                  <c:v>2008-03</c:v>
                </c:pt>
                <c:pt idx="179">
                  <c:v>2008-02</c:v>
                </c:pt>
                <c:pt idx="180">
                  <c:v>2008-01</c:v>
                </c:pt>
                <c:pt idx="181">
                  <c:v>2007-12</c:v>
                </c:pt>
                <c:pt idx="182">
                  <c:v>2007-11</c:v>
                </c:pt>
                <c:pt idx="183">
                  <c:v>2007-10</c:v>
                </c:pt>
                <c:pt idx="184">
                  <c:v>2007-09</c:v>
                </c:pt>
                <c:pt idx="185">
                  <c:v>2007-08</c:v>
                </c:pt>
                <c:pt idx="186">
                  <c:v>2007-07</c:v>
                </c:pt>
                <c:pt idx="187">
                  <c:v>2007-06</c:v>
                </c:pt>
                <c:pt idx="188">
                  <c:v>2007-05</c:v>
                </c:pt>
                <c:pt idx="189">
                  <c:v>2007-04</c:v>
                </c:pt>
                <c:pt idx="190">
                  <c:v>2007-03</c:v>
                </c:pt>
                <c:pt idx="191">
                  <c:v>2007-02</c:v>
                </c:pt>
                <c:pt idx="192">
                  <c:v>2007-01</c:v>
                </c:pt>
                <c:pt idx="193">
                  <c:v>2006-12</c:v>
                </c:pt>
                <c:pt idx="194">
                  <c:v>2006-11</c:v>
                </c:pt>
                <c:pt idx="195">
                  <c:v>2006-10</c:v>
                </c:pt>
                <c:pt idx="196">
                  <c:v>2006-09</c:v>
                </c:pt>
                <c:pt idx="197">
                  <c:v>2006-08</c:v>
                </c:pt>
                <c:pt idx="198">
                  <c:v>2006-07</c:v>
                </c:pt>
                <c:pt idx="199">
                  <c:v>2006-06</c:v>
                </c:pt>
                <c:pt idx="200">
                  <c:v>2006-05</c:v>
                </c:pt>
                <c:pt idx="201">
                  <c:v>2006-04</c:v>
                </c:pt>
                <c:pt idx="202">
                  <c:v>2006-03</c:v>
                </c:pt>
                <c:pt idx="203">
                  <c:v>2006-02</c:v>
                </c:pt>
                <c:pt idx="204">
                  <c:v>2006-01</c:v>
                </c:pt>
              </c:strCache>
            </c:strRef>
          </c:cat>
          <c:val>
            <c:numRef>
              <c:f>Production!$C$2:$C$205</c:f>
              <c:numCache>
                <c:formatCode>General</c:formatCode>
                <c:ptCount val="204"/>
                <c:pt idx="0">
                  <c:v>4364.634</c:v>
                </c:pt>
                <c:pt idx="1">
                  <c:v>4626.7579999999998</c:v>
                </c:pt>
                <c:pt idx="2">
                  <c:v>3432.3760000000002</c:v>
                </c:pt>
                <c:pt idx="3">
                  <c:v>2293.837</c:v>
                </c:pt>
                <c:pt idx="4">
                  <c:v>2077.6019999999999</c:v>
                </c:pt>
                <c:pt idx="5">
                  <c:v>1885.33</c:v>
                </c:pt>
                <c:pt idx="6">
                  <c:v>1849.9390000000001</c:v>
                </c:pt>
                <c:pt idx="7">
                  <c:v>2076.2759999999998</c:v>
                </c:pt>
                <c:pt idx="8">
                  <c:v>3560.29</c:v>
                </c:pt>
                <c:pt idx="9">
                  <c:v>3461.02</c:v>
                </c:pt>
                <c:pt idx="10">
                  <c:v>5265.7830000000004</c:v>
                </c:pt>
                <c:pt idx="11">
                  <c:v>3144.953</c:v>
                </c:pt>
                <c:pt idx="12">
                  <c:v>4331.1279999999997</c:v>
                </c:pt>
                <c:pt idx="13">
                  <c:v>2710.3870000000002</c:v>
                </c:pt>
                <c:pt idx="14">
                  <c:v>3489.4850000000001</c:v>
                </c:pt>
                <c:pt idx="15">
                  <c:v>1657.3920000000001</c:v>
                </c:pt>
                <c:pt idx="16">
                  <c:v>2225.5639999999999</c:v>
                </c:pt>
                <c:pt idx="17">
                  <c:v>2315.1030000000001</c:v>
                </c:pt>
                <c:pt idx="18">
                  <c:v>1359.5050000000001</c:v>
                </c:pt>
                <c:pt idx="19">
                  <c:v>3964.355</c:v>
                </c:pt>
                <c:pt idx="20">
                  <c:v>2949.2350000000001</c:v>
                </c:pt>
                <c:pt idx="21">
                  <c:v>3714.4169999999999</c:v>
                </c:pt>
                <c:pt idx="22">
                  <c:v>4253.7150000000001</c:v>
                </c:pt>
                <c:pt idx="23">
                  <c:v>3960.9740000000002</c:v>
                </c:pt>
                <c:pt idx="24">
                  <c:v>4383.9110000000001</c:v>
                </c:pt>
                <c:pt idx="25">
                  <c:v>3154.7910000000002</c:v>
                </c:pt>
                <c:pt idx="26">
                  <c:v>4320.308</c:v>
                </c:pt>
                <c:pt idx="27">
                  <c:v>2145.0859999999998</c:v>
                </c:pt>
                <c:pt idx="28">
                  <c:v>2047.002</c:v>
                </c:pt>
                <c:pt idx="29">
                  <c:v>2105.002</c:v>
                </c:pt>
                <c:pt idx="30">
                  <c:v>2051.3090000000002</c:v>
                </c:pt>
                <c:pt idx="31">
                  <c:v>2662.7860000000001</c:v>
                </c:pt>
                <c:pt idx="32">
                  <c:v>2282.0309999999999</c:v>
                </c:pt>
                <c:pt idx="33">
                  <c:v>4498.8249999999998</c:v>
                </c:pt>
                <c:pt idx="34">
                  <c:v>5907.95</c:v>
                </c:pt>
                <c:pt idx="35">
                  <c:v>4174.9229999999998</c:v>
                </c:pt>
                <c:pt idx="36">
                  <c:v>4715.0079999999998</c:v>
                </c:pt>
                <c:pt idx="37">
                  <c:v>3416.78</c:v>
                </c:pt>
                <c:pt idx="38">
                  <c:v>3429.0990000000002</c:v>
                </c:pt>
                <c:pt idx="39">
                  <c:v>2696.32</c:v>
                </c:pt>
                <c:pt idx="40">
                  <c:v>1662.521</c:v>
                </c:pt>
                <c:pt idx="41">
                  <c:v>1758.16</c:v>
                </c:pt>
                <c:pt idx="42">
                  <c:v>1907.3320000000001</c:v>
                </c:pt>
                <c:pt idx="43">
                  <c:v>2266.7759999999998</c:v>
                </c:pt>
                <c:pt idx="44">
                  <c:v>2358.3310000000001</c:v>
                </c:pt>
                <c:pt idx="45">
                  <c:v>4506.8090000000002</c:v>
                </c:pt>
                <c:pt idx="46">
                  <c:v>2627.5070000000001</c:v>
                </c:pt>
                <c:pt idx="47">
                  <c:v>2968.8679999999999</c:v>
                </c:pt>
                <c:pt idx="48">
                  <c:v>3613.4520000000002</c:v>
                </c:pt>
                <c:pt idx="49">
                  <c:v>2796.145</c:v>
                </c:pt>
                <c:pt idx="50">
                  <c:v>2449.6019999999999</c:v>
                </c:pt>
                <c:pt idx="51">
                  <c:v>1585.212</c:v>
                </c:pt>
                <c:pt idx="52">
                  <c:v>1402.538</c:v>
                </c:pt>
                <c:pt idx="53">
                  <c:v>1085.7349999999999</c:v>
                </c:pt>
                <c:pt idx="54">
                  <c:v>1373.5129999999999</c:v>
                </c:pt>
                <c:pt idx="55">
                  <c:v>1605.95</c:v>
                </c:pt>
                <c:pt idx="56">
                  <c:v>2160.3820000000001</c:v>
                </c:pt>
                <c:pt idx="57">
                  <c:v>3093.6089999999999</c:v>
                </c:pt>
                <c:pt idx="58">
                  <c:v>2732.924</c:v>
                </c:pt>
                <c:pt idx="59">
                  <c:v>3976.68</c:v>
                </c:pt>
                <c:pt idx="60">
                  <c:v>3084.3389999999999</c:v>
                </c:pt>
                <c:pt idx="61">
                  <c:v>2172.6849999999999</c:v>
                </c:pt>
                <c:pt idx="62">
                  <c:v>1972.7170000000001</c:v>
                </c:pt>
                <c:pt idx="63">
                  <c:v>1557.9680000000001</c:v>
                </c:pt>
                <c:pt idx="64">
                  <c:v>1170.4100000000001</c:v>
                </c:pt>
                <c:pt idx="65">
                  <c:v>1619.1030000000001</c:v>
                </c:pt>
                <c:pt idx="66">
                  <c:v>1396.048</c:v>
                </c:pt>
                <c:pt idx="67">
                  <c:v>1400.7619999999999</c:v>
                </c:pt>
                <c:pt idx="68">
                  <c:v>1378.93</c:v>
                </c:pt>
                <c:pt idx="69">
                  <c:v>2514.855</c:v>
                </c:pt>
                <c:pt idx="70">
                  <c:v>2422.1579999999999</c:v>
                </c:pt>
                <c:pt idx="71">
                  <c:v>1909.1420000000001</c:v>
                </c:pt>
                <c:pt idx="72">
                  <c:v>1388.663</c:v>
                </c:pt>
                <c:pt idx="73">
                  <c:v>2188.5010000000002</c:v>
                </c:pt>
                <c:pt idx="74">
                  <c:v>1340.8520000000001</c:v>
                </c:pt>
                <c:pt idx="75">
                  <c:v>953.06299999999999</c:v>
                </c:pt>
                <c:pt idx="76">
                  <c:v>1134.4459999999999</c:v>
                </c:pt>
                <c:pt idx="77">
                  <c:v>974.32899999999995</c:v>
                </c:pt>
                <c:pt idx="78">
                  <c:v>1025.0239999999999</c:v>
                </c:pt>
                <c:pt idx="79">
                  <c:v>1480.6489999999999</c:v>
                </c:pt>
                <c:pt idx="80">
                  <c:v>1603.6369999999999</c:v>
                </c:pt>
                <c:pt idx="81">
                  <c:v>2334.085</c:v>
                </c:pt>
                <c:pt idx="82">
                  <c:v>2748.6129999999998</c:v>
                </c:pt>
                <c:pt idx="83">
                  <c:v>2716.194</c:v>
                </c:pt>
                <c:pt idx="84">
                  <c:v>2527.0549999999998</c:v>
                </c:pt>
                <c:pt idx="85">
                  <c:v>2433.6120000000001</c:v>
                </c:pt>
                <c:pt idx="86">
                  <c:v>1218.133</c:v>
                </c:pt>
                <c:pt idx="87">
                  <c:v>1585.6030000000001</c:v>
                </c:pt>
                <c:pt idx="88">
                  <c:v>1076.5160000000001</c:v>
                </c:pt>
                <c:pt idx="89">
                  <c:v>1338.682</c:v>
                </c:pt>
                <c:pt idx="90">
                  <c:v>1199.77</c:v>
                </c:pt>
                <c:pt idx="91">
                  <c:v>1519.049</c:v>
                </c:pt>
                <c:pt idx="92">
                  <c:v>1378.05</c:v>
                </c:pt>
                <c:pt idx="93">
                  <c:v>1908.979</c:v>
                </c:pt>
                <c:pt idx="94">
                  <c:v>1808.5309999999999</c:v>
                </c:pt>
                <c:pt idx="95">
                  <c:v>2176.4430000000002</c:v>
                </c:pt>
                <c:pt idx="96">
                  <c:v>1958.883</c:v>
                </c:pt>
                <c:pt idx="97">
                  <c:v>1411.79</c:v>
                </c:pt>
                <c:pt idx="98">
                  <c:v>1209.845</c:v>
                </c:pt>
                <c:pt idx="99">
                  <c:v>678.46400000000006</c:v>
                </c:pt>
                <c:pt idx="100">
                  <c:v>933.67</c:v>
                </c:pt>
                <c:pt idx="101">
                  <c:v>910.97799999999995</c:v>
                </c:pt>
                <c:pt idx="102">
                  <c:v>902.47500000000002</c:v>
                </c:pt>
                <c:pt idx="103">
                  <c:v>1461.836</c:v>
                </c:pt>
                <c:pt idx="104">
                  <c:v>1006.282</c:v>
                </c:pt>
                <c:pt idx="105">
                  <c:v>1239.57</c:v>
                </c:pt>
                <c:pt idx="106">
                  <c:v>2357.192</c:v>
                </c:pt>
                <c:pt idx="107">
                  <c:v>2100.3339999999998</c:v>
                </c:pt>
                <c:pt idx="108">
                  <c:v>1916.751</c:v>
                </c:pt>
                <c:pt idx="109">
                  <c:v>1714.499</c:v>
                </c:pt>
                <c:pt idx="110">
                  <c:v>1543.6659999999999</c:v>
                </c:pt>
                <c:pt idx="111">
                  <c:v>899.81600000000003</c:v>
                </c:pt>
                <c:pt idx="112">
                  <c:v>705.577</c:v>
                </c:pt>
                <c:pt idx="113">
                  <c:v>829.66200000000003</c:v>
                </c:pt>
                <c:pt idx="114">
                  <c:v>1112.4179999999999</c:v>
                </c:pt>
                <c:pt idx="115">
                  <c:v>1112.6320000000001</c:v>
                </c:pt>
                <c:pt idx="116">
                  <c:v>1430.078</c:v>
                </c:pt>
                <c:pt idx="117">
                  <c:v>1294.3399999999999</c:v>
                </c:pt>
                <c:pt idx="118">
                  <c:v>1389.1510000000001</c:v>
                </c:pt>
                <c:pt idx="119">
                  <c:v>1263.8130000000001</c:v>
                </c:pt>
                <c:pt idx="120">
                  <c:v>2193.2739999999999</c:v>
                </c:pt>
                <c:pt idx="121">
                  <c:v>1249.2049999999999</c:v>
                </c:pt>
                <c:pt idx="122">
                  <c:v>1308.577</c:v>
                </c:pt>
                <c:pt idx="123">
                  <c:v>883.66899999999998</c:v>
                </c:pt>
                <c:pt idx="124">
                  <c:v>861.71900000000005</c:v>
                </c:pt>
                <c:pt idx="125">
                  <c:v>875.26199999999994</c:v>
                </c:pt>
                <c:pt idx="126">
                  <c:v>951.32799999999997</c:v>
                </c:pt>
                <c:pt idx="127">
                  <c:v>933.06299999999999</c:v>
                </c:pt>
                <c:pt idx="128">
                  <c:v>1502.9110000000001</c:v>
                </c:pt>
                <c:pt idx="129">
                  <c:v>938.77099999999996</c:v>
                </c:pt>
                <c:pt idx="130">
                  <c:v>1083.7639999999999</c:v>
                </c:pt>
                <c:pt idx="131">
                  <c:v>1520.9839999999999</c:v>
                </c:pt>
                <c:pt idx="132">
                  <c:v>1944.35</c:v>
                </c:pt>
                <c:pt idx="133">
                  <c:v>909.16399999999999</c:v>
                </c:pt>
                <c:pt idx="134">
                  <c:v>1035.1859999999999</c:v>
                </c:pt>
                <c:pt idx="135">
                  <c:v>821.14800000000002</c:v>
                </c:pt>
                <c:pt idx="136">
                  <c:v>664.12</c:v>
                </c:pt>
                <c:pt idx="137">
                  <c:v>809.14599999999996</c:v>
                </c:pt>
                <c:pt idx="138">
                  <c:v>853.154</c:v>
                </c:pt>
                <c:pt idx="139">
                  <c:v>727.13099999999997</c:v>
                </c:pt>
                <c:pt idx="140">
                  <c:v>668.12</c:v>
                </c:pt>
                <c:pt idx="141">
                  <c:v>1094.1969999999999</c:v>
                </c:pt>
                <c:pt idx="142">
                  <c:v>871.15700000000004</c:v>
                </c:pt>
                <c:pt idx="143">
                  <c:v>1229.221</c:v>
                </c:pt>
                <c:pt idx="144">
                  <c:v>950.17100000000005</c:v>
                </c:pt>
                <c:pt idx="145">
                  <c:v>969.17399999999998</c:v>
                </c:pt>
                <c:pt idx="146">
                  <c:v>1034.1859999999999</c:v>
                </c:pt>
                <c:pt idx="147">
                  <c:v>548.09900000000005</c:v>
                </c:pt>
                <c:pt idx="148">
                  <c:v>668.12</c:v>
                </c:pt>
                <c:pt idx="149">
                  <c:v>479.08600000000001</c:v>
                </c:pt>
                <c:pt idx="150">
                  <c:v>566.10199999999998</c:v>
                </c:pt>
                <c:pt idx="151">
                  <c:v>725.13099999999997</c:v>
                </c:pt>
                <c:pt idx="152">
                  <c:v>707.12699999999995</c:v>
                </c:pt>
                <c:pt idx="153">
                  <c:v>1149.2070000000001</c:v>
                </c:pt>
                <c:pt idx="154">
                  <c:v>949.17100000000005</c:v>
                </c:pt>
                <c:pt idx="155">
                  <c:v>668.12</c:v>
                </c:pt>
                <c:pt idx="156">
                  <c:v>940.16899999999998</c:v>
                </c:pt>
                <c:pt idx="157">
                  <c:v>1296.2329999999999</c:v>
                </c:pt>
                <c:pt idx="158">
                  <c:v>632.11400000000003</c:v>
                </c:pt>
                <c:pt idx="159">
                  <c:v>542.09799999999996</c:v>
                </c:pt>
                <c:pt idx="160">
                  <c:v>355.06400000000002</c:v>
                </c:pt>
                <c:pt idx="161">
                  <c:v>538.09699999999998</c:v>
                </c:pt>
                <c:pt idx="162">
                  <c:v>405.07299999999998</c:v>
                </c:pt>
                <c:pt idx="163">
                  <c:v>539.09699999999998</c:v>
                </c:pt>
                <c:pt idx="164">
                  <c:v>464.084</c:v>
                </c:pt>
                <c:pt idx="165">
                  <c:v>741.13300000000004</c:v>
                </c:pt>
                <c:pt idx="166">
                  <c:v>494.089</c:v>
                </c:pt>
                <c:pt idx="167">
                  <c:v>649.11699999999996</c:v>
                </c:pt>
                <c:pt idx="168">
                  <c:v>660.11900000000003</c:v>
                </c:pt>
                <c:pt idx="169">
                  <c:v>637.11500000000001</c:v>
                </c:pt>
                <c:pt idx="170">
                  <c:v>475.08600000000001</c:v>
                </c:pt>
                <c:pt idx="171">
                  <c:v>464.084</c:v>
                </c:pt>
                <c:pt idx="172">
                  <c:v>407.07299999999998</c:v>
                </c:pt>
                <c:pt idx="173">
                  <c:v>347.06200000000001</c:v>
                </c:pt>
                <c:pt idx="174">
                  <c:v>283.05099999999999</c:v>
                </c:pt>
                <c:pt idx="175">
                  <c:v>282.05099999999999</c:v>
                </c:pt>
                <c:pt idx="176">
                  <c:v>416.07499999999999</c:v>
                </c:pt>
                <c:pt idx="177">
                  <c:v>697.125</c:v>
                </c:pt>
                <c:pt idx="178">
                  <c:v>428.077</c:v>
                </c:pt>
                <c:pt idx="179">
                  <c:v>614.11099999999999</c:v>
                </c:pt>
                <c:pt idx="180">
                  <c:v>584.10500000000002</c:v>
                </c:pt>
                <c:pt idx="181">
                  <c:v>434.07799999999997</c:v>
                </c:pt>
                <c:pt idx="182">
                  <c:v>283.05099999999999</c:v>
                </c:pt>
                <c:pt idx="183">
                  <c:v>277.05</c:v>
                </c:pt>
                <c:pt idx="184">
                  <c:v>285.05099999999999</c:v>
                </c:pt>
                <c:pt idx="185">
                  <c:v>338.06099999999998</c:v>
                </c:pt>
                <c:pt idx="186">
                  <c:v>241.04300000000001</c:v>
                </c:pt>
                <c:pt idx="187">
                  <c:v>361.065</c:v>
                </c:pt>
                <c:pt idx="188">
                  <c:v>186.03299999999999</c:v>
                </c:pt>
                <c:pt idx="189">
                  <c:v>363.065</c:v>
                </c:pt>
                <c:pt idx="190">
                  <c:v>361.065</c:v>
                </c:pt>
                <c:pt idx="191">
                  <c:v>427.077</c:v>
                </c:pt>
                <c:pt idx="192">
                  <c:v>324.05799999999999</c:v>
                </c:pt>
                <c:pt idx="193">
                  <c:v>299.05399999999997</c:v>
                </c:pt>
                <c:pt idx="194">
                  <c:v>237.04300000000001</c:v>
                </c:pt>
                <c:pt idx="195">
                  <c:v>152.02699999999999</c:v>
                </c:pt>
                <c:pt idx="196">
                  <c:v>191.03399999999999</c:v>
                </c:pt>
                <c:pt idx="197">
                  <c:v>94.016999999999996</c:v>
                </c:pt>
                <c:pt idx="198">
                  <c:v>99.018000000000001</c:v>
                </c:pt>
                <c:pt idx="199">
                  <c:v>166.03</c:v>
                </c:pt>
                <c:pt idx="200">
                  <c:v>145.02600000000001</c:v>
                </c:pt>
                <c:pt idx="201">
                  <c:v>196.035</c:v>
                </c:pt>
                <c:pt idx="202">
                  <c:v>137.02500000000001</c:v>
                </c:pt>
                <c:pt idx="203">
                  <c:v>129.023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E-47C5-83FB-B89DB1BA5BE4}"/>
            </c:ext>
          </c:extLst>
        </c:ser>
        <c:ser>
          <c:idx val="3"/>
          <c:order val="3"/>
          <c:tx>
            <c:strRef>
              <c:f>Production!$D$1</c:f>
              <c:strCache>
                <c:ptCount val="1"/>
                <c:pt idx="0">
                  <c:v>Solaire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Production!$A:$A</c:f>
              <c:strCache>
                <c:ptCount val="205"/>
                <c:pt idx="0">
                  <c:v>Période</c:v>
                </c:pt>
                <c:pt idx="1">
                  <c:v>2022-12</c:v>
                </c:pt>
                <c:pt idx="2">
                  <c:v>2022-11</c:v>
                </c:pt>
                <c:pt idx="3">
                  <c:v>2022-10</c:v>
                </c:pt>
                <c:pt idx="4">
                  <c:v>2022-09</c:v>
                </c:pt>
                <c:pt idx="5">
                  <c:v>2022-08</c:v>
                </c:pt>
                <c:pt idx="6">
                  <c:v>2022-07</c:v>
                </c:pt>
                <c:pt idx="7">
                  <c:v>2022-06</c:v>
                </c:pt>
                <c:pt idx="8">
                  <c:v>2022-05</c:v>
                </c:pt>
                <c:pt idx="9">
                  <c:v>2022-04</c:v>
                </c:pt>
                <c:pt idx="10">
                  <c:v>2022-03</c:v>
                </c:pt>
                <c:pt idx="11">
                  <c:v>2022-02</c:v>
                </c:pt>
                <c:pt idx="12">
                  <c:v>2022-01</c:v>
                </c:pt>
                <c:pt idx="13">
                  <c:v>2021-12</c:v>
                </c:pt>
                <c:pt idx="14">
                  <c:v>2021-11</c:v>
                </c:pt>
                <c:pt idx="15">
                  <c:v>2021-10</c:v>
                </c:pt>
                <c:pt idx="16">
                  <c:v>2021-09</c:v>
                </c:pt>
                <c:pt idx="17">
                  <c:v>2021-08</c:v>
                </c:pt>
                <c:pt idx="18">
                  <c:v>2021-07</c:v>
                </c:pt>
                <c:pt idx="19">
                  <c:v>2021-06</c:v>
                </c:pt>
                <c:pt idx="20">
                  <c:v>2021-05</c:v>
                </c:pt>
                <c:pt idx="21">
                  <c:v>2021-04</c:v>
                </c:pt>
                <c:pt idx="22">
                  <c:v>2021-03</c:v>
                </c:pt>
                <c:pt idx="23">
                  <c:v>2021-02</c:v>
                </c:pt>
                <c:pt idx="24">
                  <c:v>2021-01</c:v>
                </c:pt>
                <c:pt idx="25">
                  <c:v>2020-12</c:v>
                </c:pt>
                <c:pt idx="26">
                  <c:v>2020-11</c:v>
                </c:pt>
                <c:pt idx="27">
                  <c:v>2020-10</c:v>
                </c:pt>
                <c:pt idx="28">
                  <c:v>2020-09</c:v>
                </c:pt>
                <c:pt idx="29">
                  <c:v>2020-08</c:v>
                </c:pt>
                <c:pt idx="30">
                  <c:v>2020-07</c:v>
                </c:pt>
                <c:pt idx="31">
                  <c:v>2020-06</c:v>
                </c:pt>
                <c:pt idx="32">
                  <c:v>2020-05</c:v>
                </c:pt>
                <c:pt idx="33">
                  <c:v>2020-04</c:v>
                </c:pt>
                <c:pt idx="34">
                  <c:v>2020-03</c:v>
                </c:pt>
                <c:pt idx="35">
                  <c:v>2020-02</c:v>
                </c:pt>
                <c:pt idx="36">
                  <c:v>2020-01</c:v>
                </c:pt>
                <c:pt idx="37">
                  <c:v>2019-12</c:v>
                </c:pt>
                <c:pt idx="38">
                  <c:v>2019-11</c:v>
                </c:pt>
                <c:pt idx="39">
                  <c:v>2019-10</c:v>
                </c:pt>
                <c:pt idx="40">
                  <c:v>2019-09</c:v>
                </c:pt>
                <c:pt idx="41">
                  <c:v>2019-08</c:v>
                </c:pt>
                <c:pt idx="42">
                  <c:v>2019-07</c:v>
                </c:pt>
                <c:pt idx="43">
                  <c:v>2019-06</c:v>
                </c:pt>
                <c:pt idx="44">
                  <c:v>2019-05</c:v>
                </c:pt>
                <c:pt idx="45">
                  <c:v>2019-04</c:v>
                </c:pt>
                <c:pt idx="46">
                  <c:v>2019-03</c:v>
                </c:pt>
                <c:pt idx="47">
                  <c:v>2019-02</c:v>
                </c:pt>
                <c:pt idx="48">
                  <c:v>2019-01</c:v>
                </c:pt>
                <c:pt idx="49">
                  <c:v>2018-12</c:v>
                </c:pt>
                <c:pt idx="50">
                  <c:v>2018-11</c:v>
                </c:pt>
                <c:pt idx="51">
                  <c:v>2018-10</c:v>
                </c:pt>
                <c:pt idx="52">
                  <c:v>2018-09</c:v>
                </c:pt>
                <c:pt idx="53">
                  <c:v>2018-08</c:v>
                </c:pt>
                <c:pt idx="54">
                  <c:v>2018-07</c:v>
                </c:pt>
                <c:pt idx="55">
                  <c:v>2018-06</c:v>
                </c:pt>
                <c:pt idx="56">
                  <c:v>2018-05</c:v>
                </c:pt>
                <c:pt idx="57">
                  <c:v>2018-04</c:v>
                </c:pt>
                <c:pt idx="58">
                  <c:v>2018-03</c:v>
                </c:pt>
                <c:pt idx="59">
                  <c:v>2018-02</c:v>
                </c:pt>
                <c:pt idx="60">
                  <c:v>2018-01</c:v>
                </c:pt>
                <c:pt idx="61">
                  <c:v>2017-12</c:v>
                </c:pt>
                <c:pt idx="62">
                  <c:v>2017-11</c:v>
                </c:pt>
                <c:pt idx="63">
                  <c:v>2017-10</c:v>
                </c:pt>
                <c:pt idx="64">
                  <c:v>2017-09</c:v>
                </c:pt>
                <c:pt idx="65">
                  <c:v>2017-08</c:v>
                </c:pt>
                <c:pt idx="66">
                  <c:v>2017-07</c:v>
                </c:pt>
                <c:pt idx="67">
                  <c:v>2017-06</c:v>
                </c:pt>
                <c:pt idx="68">
                  <c:v>2017-05</c:v>
                </c:pt>
                <c:pt idx="69">
                  <c:v>2017-04</c:v>
                </c:pt>
                <c:pt idx="70">
                  <c:v>2017-03</c:v>
                </c:pt>
                <c:pt idx="71">
                  <c:v>2017-02</c:v>
                </c:pt>
                <c:pt idx="72">
                  <c:v>2017-01</c:v>
                </c:pt>
                <c:pt idx="73">
                  <c:v>2016-12</c:v>
                </c:pt>
                <c:pt idx="74">
                  <c:v>2016-11</c:v>
                </c:pt>
                <c:pt idx="75">
                  <c:v>2016-10</c:v>
                </c:pt>
                <c:pt idx="76">
                  <c:v>2016-09</c:v>
                </c:pt>
                <c:pt idx="77">
                  <c:v>2016-08</c:v>
                </c:pt>
                <c:pt idx="78">
                  <c:v>2016-07</c:v>
                </c:pt>
                <c:pt idx="79">
                  <c:v>2016-06</c:v>
                </c:pt>
                <c:pt idx="80">
                  <c:v>2016-05</c:v>
                </c:pt>
                <c:pt idx="81">
                  <c:v>2016-04</c:v>
                </c:pt>
                <c:pt idx="82">
                  <c:v>2016-03</c:v>
                </c:pt>
                <c:pt idx="83">
                  <c:v>2016-02</c:v>
                </c:pt>
                <c:pt idx="84">
                  <c:v>2016-01</c:v>
                </c:pt>
                <c:pt idx="85">
                  <c:v>2015-12</c:v>
                </c:pt>
                <c:pt idx="86">
                  <c:v>2015-11</c:v>
                </c:pt>
                <c:pt idx="87">
                  <c:v>2015-10</c:v>
                </c:pt>
                <c:pt idx="88">
                  <c:v>2015-09</c:v>
                </c:pt>
                <c:pt idx="89">
                  <c:v>2015-08</c:v>
                </c:pt>
                <c:pt idx="90">
                  <c:v>2015-07</c:v>
                </c:pt>
                <c:pt idx="91">
                  <c:v>2015-06</c:v>
                </c:pt>
                <c:pt idx="92">
                  <c:v>2015-05</c:v>
                </c:pt>
                <c:pt idx="93">
                  <c:v>2015-04</c:v>
                </c:pt>
                <c:pt idx="94">
                  <c:v>2015-03</c:v>
                </c:pt>
                <c:pt idx="95">
                  <c:v>2015-02</c:v>
                </c:pt>
                <c:pt idx="96">
                  <c:v>2015-01</c:v>
                </c:pt>
                <c:pt idx="97">
                  <c:v>2014-12</c:v>
                </c:pt>
                <c:pt idx="98">
                  <c:v>2014-11</c:v>
                </c:pt>
                <c:pt idx="99">
                  <c:v>2014-10</c:v>
                </c:pt>
                <c:pt idx="100">
                  <c:v>2014-09</c:v>
                </c:pt>
                <c:pt idx="101">
                  <c:v>2014-08</c:v>
                </c:pt>
                <c:pt idx="102">
                  <c:v>2014-07</c:v>
                </c:pt>
                <c:pt idx="103">
                  <c:v>2014-06</c:v>
                </c:pt>
                <c:pt idx="104">
                  <c:v>2014-05</c:v>
                </c:pt>
                <c:pt idx="105">
                  <c:v>2014-04</c:v>
                </c:pt>
                <c:pt idx="106">
                  <c:v>2014-03</c:v>
                </c:pt>
                <c:pt idx="107">
                  <c:v>2014-02</c:v>
                </c:pt>
                <c:pt idx="108">
                  <c:v>2014-01</c:v>
                </c:pt>
                <c:pt idx="109">
                  <c:v>2013-12</c:v>
                </c:pt>
                <c:pt idx="110">
                  <c:v>2013-11</c:v>
                </c:pt>
                <c:pt idx="111">
                  <c:v>2013-10</c:v>
                </c:pt>
                <c:pt idx="112">
                  <c:v>2013-09</c:v>
                </c:pt>
                <c:pt idx="113">
                  <c:v>2013-08</c:v>
                </c:pt>
                <c:pt idx="114">
                  <c:v>2013-07</c:v>
                </c:pt>
                <c:pt idx="115">
                  <c:v>2013-06</c:v>
                </c:pt>
                <c:pt idx="116">
                  <c:v>2013-05</c:v>
                </c:pt>
                <c:pt idx="117">
                  <c:v>2013-04</c:v>
                </c:pt>
                <c:pt idx="118">
                  <c:v>2013-03</c:v>
                </c:pt>
                <c:pt idx="119">
                  <c:v>2013-02</c:v>
                </c:pt>
                <c:pt idx="120">
                  <c:v>2013-01</c:v>
                </c:pt>
                <c:pt idx="121">
                  <c:v>2012-12</c:v>
                </c:pt>
                <c:pt idx="122">
                  <c:v>2012-11</c:v>
                </c:pt>
                <c:pt idx="123">
                  <c:v>2012-10</c:v>
                </c:pt>
                <c:pt idx="124">
                  <c:v>2012-09</c:v>
                </c:pt>
                <c:pt idx="125">
                  <c:v>2012-08</c:v>
                </c:pt>
                <c:pt idx="126">
                  <c:v>2012-07</c:v>
                </c:pt>
                <c:pt idx="127">
                  <c:v>2012-06</c:v>
                </c:pt>
                <c:pt idx="128">
                  <c:v>2012-05</c:v>
                </c:pt>
                <c:pt idx="129">
                  <c:v>2012-04</c:v>
                </c:pt>
                <c:pt idx="130">
                  <c:v>2012-03</c:v>
                </c:pt>
                <c:pt idx="131">
                  <c:v>2012-02</c:v>
                </c:pt>
                <c:pt idx="132">
                  <c:v>2012-01</c:v>
                </c:pt>
                <c:pt idx="133">
                  <c:v>2011-12</c:v>
                </c:pt>
                <c:pt idx="134">
                  <c:v>2011-11</c:v>
                </c:pt>
                <c:pt idx="135">
                  <c:v>2011-10</c:v>
                </c:pt>
                <c:pt idx="136">
                  <c:v>2011-09</c:v>
                </c:pt>
                <c:pt idx="137">
                  <c:v>2011-08</c:v>
                </c:pt>
                <c:pt idx="138">
                  <c:v>2011-07</c:v>
                </c:pt>
                <c:pt idx="139">
                  <c:v>2011-06</c:v>
                </c:pt>
                <c:pt idx="140">
                  <c:v>2011-05</c:v>
                </c:pt>
                <c:pt idx="141">
                  <c:v>2011-04</c:v>
                </c:pt>
                <c:pt idx="142">
                  <c:v>2011-03</c:v>
                </c:pt>
                <c:pt idx="143">
                  <c:v>2011-02</c:v>
                </c:pt>
                <c:pt idx="144">
                  <c:v>2011-01</c:v>
                </c:pt>
                <c:pt idx="145">
                  <c:v>2010-12</c:v>
                </c:pt>
                <c:pt idx="146">
                  <c:v>2010-11</c:v>
                </c:pt>
                <c:pt idx="147">
                  <c:v>2010-10</c:v>
                </c:pt>
                <c:pt idx="148">
                  <c:v>2010-09</c:v>
                </c:pt>
                <c:pt idx="149">
                  <c:v>2010-08</c:v>
                </c:pt>
                <c:pt idx="150">
                  <c:v>2010-07</c:v>
                </c:pt>
                <c:pt idx="151">
                  <c:v>2010-06</c:v>
                </c:pt>
                <c:pt idx="152">
                  <c:v>2010-05</c:v>
                </c:pt>
                <c:pt idx="153">
                  <c:v>2010-04</c:v>
                </c:pt>
                <c:pt idx="154">
                  <c:v>2010-03</c:v>
                </c:pt>
                <c:pt idx="155">
                  <c:v>2010-02</c:v>
                </c:pt>
                <c:pt idx="156">
                  <c:v>2010-01</c:v>
                </c:pt>
                <c:pt idx="157">
                  <c:v>2009-12</c:v>
                </c:pt>
                <c:pt idx="158">
                  <c:v>2009-11</c:v>
                </c:pt>
                <c:pt idx="159">
                  <c:v>2009-10</c:v>
                </c:pt>
                <c:pt idx="160">
                  <c:v>2009-09</c:v>
                </c:pt>
                <c:pt idx="161">
                  <c:v>2009-08</c:v>
                </c:pt>
                <c:pt idx="162">
                  <c:v>2009-07</c:v>
                </c:pt>
                <c:pt idx="163">
                  <c:v>2009-06</c:v>
                </c:pt>
                <c:pt idx="164">
                  <c:v>2009-05</c:v>
                </c:pt>
                <c:pt idx="165">
                  <c:v>2009-04</c:v>
                </c:pt>
                <c:pt idx="166">
                  <c:v>2009-03</c:v>
                </c:pt>
                <c:pt idx="167">
                  <c:v>2009-02</c:v>
                </c:pt>
                <c:pt idx="168">
                  <c:v>2009-01</c:v>
                </c:pt>
                <c:pt idx="169">
                  <c:v>2008-12</c:v>
                </c:pt>
                <c:pt idx="170">
                  <c:v>2008-11</c:v>
                </c:pt>
                <c:pt idx="171">
                  <c:v>2008-10</c:v>
                </c:pt>
                <c:pt idx="172">
                  <c:v>2008-09</c:v>
                </c:pt>
                <c:pt idx="173">
                  <c:v>2008-08</c:v>
                </c:pt>
                <c:pt idx="174">
                  <c:v>2008-07</c:v>
                </c:pt>
                <c:pt idx="175">
                  <c:v>2008-06</c:v>
                </c:pt>
                <c:pt idx="176">
                  <c:v>2008-05</c:v>
                </c:pt>
                <c:pt idx="177">
                  <c:v>2008-04</c:v>
                </c:pt>
                <c:pt idx="178">
                  <c:v>2008-03</c:v>
                </c:pt>
                <c:pt idx="179">
                  <c:v>2008-02</c:v>
                </c:pt>
                <c:pt idx="180">
                  <c:v>2008-01</c:v>
                </c:pt>
                <c:pt idx="181">
                  <c:v>2007-12</c:v>
                </c:pt>
                <c:pt idx="182">
                  <c:v>2007-11</c:v>
                </c:pt>
                <c:pt idx="183">
                  <c:v>2007-10</c:v>
                </c:pt>
                <c:pt idx="184">
                  <c:v>2007-09</c:v>
                </c:pt>
                <c:pt idx="185">
                  <c:v>2007-08</c:v>
                </c:pt>
                <c:pt idx="186">
                  <c:v>2007-07</c:v>
                </c:pt>
                <c:pt idx="187">
                  <c:v>2007-06</c:v>
                </c:pt>
                <c:pt idx="188">
                  <c:v>2007-05</c:v>
                </c:pt>
                <c:pt idx="189">
                  <c:v>2007-04</c:v>
                </c:pt>
                <c:pt idx="190">
                  <c:v>2007-03</c:v>
                </c:pt>
                <c:pt idx="191">
                  <c:v>2007-02</c:v>
                </c:pt>
                <c:pt idx="192">
                  <c:v>2007-01</c:v>
                </c:pt>
                <c:pt idx="193">
                  <c:v>2006-12</c:v>
                </c:pt>
                <c:pt idx="194">
                  <c:v>2006-11</c:v>
                </c:pt>
                <c:pt idx="195">
                  <c:v>2006-10</c:v>
                </c:pt>
                <c:pt idx="196">
                  <c:v>2006-09</c:v>
                </c:pt>
                <c:pt idx="197">
                  <c:v>2006-08</c:v>
                </c:pt>
                <c:pt idx="198">
                  <c:v>2006-07</c:v>
                </c:pt>
                <c:pt idx="199">
                  <c:v>2006-06</c:v>
                </c:pt>
                <c:pt idx="200">
                  <c:v>2006-05</c:v>
                </c:pt>
                <c:pt idx="201">
                  <c:v>2006-04</c:v>
                </c:pt>
                <c:pt idx="202">
                  <c:v>2006-03</c:v>
                </c:pt>
                <c:pt idx="203">
                  <c:v>2006-02</c:v>
                </c:pt>
                <c:pt idx="204">
                  <c:v>2006-01</c:v>
                </c:pt>
              </c:strCache>
            </c:strRef>
          </c:cat>
          <c:val>
            <c:numRef>
              <c:f>Production!$D$2:$D$205</c:f>
              <c:numCache>
                <c:formatCode>General</c:formatCode>
                <c:ptCount val="204"/>
                <c:pt idx="0">
                  <c:v>604.49699999999996</c:v>
                </c:pt>
                <c:pt idx="1">
                  <c:v>848.82399999999996</c:v>
                </c:pt>
                <c:pt idx="2">
                  <c:v>1319.37</c:v>
                </c:pt>
                <c:pt idx="3">
                  <c:v>1838.6089999999999</c:v>
                </c:pt>
                <c:pt idx="4">
                  <c:v>2302.8539999999998</c:v>
                </c:pt>
                <c:pt idx="5">
                  <c:v>2592.2370000000001</c:v>
                </c:pt>
                <c:pt idx="6">
                  <c:v>2230.2069999999999</c:v>
                </c:pt>
                <c:pt idx="7">
                  <c:v>2263.87</c:v>
                </c:pt>
                <c:pt idx="8">
                  <c:v>1795.845</c:v>
                </c:pt>
                <c:pt idx="9">
                  <c:v>1390.713</c:v>
                </c:pt>
                <c:pt idx="10">
                  <c:v>1029.124</c:v>
                </c:pt>
                <c:pt idx="11">
                  <c:v>784.95600000000002</c:v>
                </c:pt>
                <c:pt idx="12">
                  <c:v>588.28599999999994</c:v>
                </c:pt>
                <c:pt idx="13">
                  <c:v>704.46</c:v>
                </c:pt>
                <c:pt idx="14">
                  <c:v>1248.9770000000001</c:v>
                </c:pt>
                <c:pt idx="15">
                  <c:v>1466.2729999999999</c:v>
                </c:pt>
                <c:pt idx="16">
                  <c:v>1749.93</c:v>
                </c:pt>
                <c:pt idx="17">
                  <c:v>1718.223</c:v>
                </c:pt>
                <c:pt idx="18">
                  <c:v>1676.3050000000001</c:v>
                </c:pt>
                <c:pt idx="19">
                  <c:v>1621.2909999999999</c:v>
                </c:pt>
                <c:pt idx="20">
                  <c:v>1580.027</c:v>
                </c:pt>
                <c:pt idx="21">
                  <c:v>1304.153</c:v>
                </c:pt>
                <c:pt idx="22">
                  <c:v>673.73099999999999</c:v>
                </c:pt>
                <c:pt idx="23">
                  <c:v>480.38499999999999</c:v>
                </c:pt>
                <c:pt idx="24">
                  <c:v>374.11500000000001</c:v>
                </c:pt>
                <c:pt idx="25">
                  <c:v>697.01300000000003</c:v>
                </c:pt>
                <c:pt idx="26">
                  <c:v>809.23400000000004</c:v>
                </c:pt>
                <c:pt idx="27">
                  <c:v>1273.5</c:v>
                </c:pt>
                <c:pt idx="28">
                  <c:v>1556.403</c:v>
                </c:pt>
                <c:pt idx="29">
                  <c:v>1742.078</c:v>
                </c:pt>
                <c:pt idx="30">
                  <c:v>1554.798</c:v>
                </c:pt>
                <c:pt idx="31">
                  <c:v>1633.665</c:v>
                </c:pt>
                <c:pt idx="32">
                  <c:v>1351.3230000000001</c:v>
                </c:pt>
                <c:pt idx="33">
                  <c:v>1101.644</c:v>
                </c:pt>
                <c:pt idx="34">
                  <c:v>782.66800000000001</c:v>
                </c:pt>
                <c:pt idx="35">
                  <c:v>524.25699999999995</c:v>
                </c:pt>
                <c:pt idx="36">
                  <c:v>490.09699999999998</c:v>
                </c:pt>
                <c:pt idx="37">
                  <c:v>559.28300000000002</c:v>
                </c:pt>
                <c:pt idx="38">
                  <c:v>822.01900000000001</c:v>
                </c:pt>
                <c:pt idx="39">
                  <c:v>1200.6199999999999</c:v>
                </c:pt>
                <c:pt idx="40">
                  <c:v>1407.7429999999999</c:v>
                </c:pt>
                <c:pt idx="41">
                  <c:v>1484.086</c:v>
                </c:pt>
                <c:pt idx="42">
                  <c:v>1396.056</c:v>
                </c:pt>
                <c:pt idx="43">
                  <c:v>1299.751</c:v>
                </c:pt>
                <c:pt idx="44">
                  <c:v>1080.3240000000001</c:v>
                </c:pt>
                <c:pt idx="45">
                  <c:v>1068.5129999999999</c:v>
                </c:pt>
                <c:pt idx="46">
                  <c:v>782.28700000000003</c:v>
                </c:pt>
                <c:pt idx="47">
                  <c:v>501.226</c:v>
                </c:pt>
                <c:pt idx="48">
                  <c:v>370.54899999999998</c:v>
                </c:pt>
                <c:pt idx="49">
                  <c:v>499.14400000000001</c:v>
                </c:pt>
                <c:pt idx="50">
                  <c:v>810.06700000000001</c:v>
                </c:pt>
                <c:pt idx="51">
                  <c:v>1177.0060000000001</c:v>
                </c:pt>
                <c:pt idx="52">
                  <c:v>1326.5619999999999</c:v>
                </c:pt>
                <c:pt idx="53">
                  <c:v>1432.732</c:v>
                </c:pt>
                <c:pt idx="54">
                  <c:v>1283.9749999999999</c:v>
                </c:pt>
                <c:pt idx="55">
                  <c:v>1144.258</c:v>
                </c:pt>
                <c:pt idx="56">
                  <c:v>1011.24</c:v>
                </c:pt>
                <c:pt idx="57">
                  <c:v>774.30899999999997</c:v>
                </c:pt>
                <c:pt idx="58">
                  <c:v>534.43799999999999</c:v>
                </c:pt>
                <c:pt idx="59">
                  <c:v>331.25099999999998</c:v>
                </c:pt>
                <c:pt idx="60">
                  <c:v>295.327</c:v>
                </c:pt>
                <c:pt idx="61">
                  <c:v>400.92599999999999</c:v>
                </c:pt>
                <c:pt idx="62">
                  <c:v>652.53399999999999</c:v>
                </c:pt>
                <c:pt idx="63">
                  <c:v>792.77200000000005</c:v>
                </c:pt>
                <c:pt idx="64">
                  <c:v>1000.546</c:v>
                </c:pt>
                <c:pt idx="65">
                  <c:v>1059.8620000000001</c:v>
                </c:pt>
                <c:pt idx="66">
                  <c:v>1049.4939999999999</c:v>
                </c:pt>
                <c:pt idx="67">
                  <c:v>1015.797</c:v>
                </c:pt>
                <c:pt idx="68">
                  <c:v>931.16099999999994</c:v>
                </c:pt>
                <c:pt idx="69">
                  <c:v>678.52</c:v>
                </c:pt>
                <c:pt idx="70">
                  <c:v>412.99799999999999</c:v>
                </c:pt>
                <c:pt idx="71">
                  <c:v>317.89299999999997</c:v>
                </c:pt>
                <c:pt idx="72">
                  <c:v>251.57</c:v>
                </c:pt>
                <c:pt idx="73">
                  <c:v>315.50599999999997</c:v>
                </c:pt>
                <c:pt idx="74">
                  <c:v>551.00199999999995</c:v>
                </c:pt>
                <c:pt idx="75">
                  <c:v>759.49599999999998</c:v>
                </c:pt>
                <c:pt idx="76">
                  <c:v>962.98800000000006</c:v>
                </c:pt>
                <c:pt idx="77">
                  <c:v>1006.566</c:v>
                </c:pt>
                <c:pt idx="78">
                  <c:v>911.02300000000002</c:v>
                </c:pt>
                <c:pt idx="79">
                  <c:v>896.36199999999997</c:v>
                </c:pt>
                <c:pt idx="80">
                  <c:v>760.26900000000001</c:v>
                </c:pt>
                <c:pt idx="81">
                  <c:v>622.24900000000002</c:v>
                </c:pt>
                <c:pt idx="82">
                  <c:v>380.45299999999997</c:v>
                </c:pt>
                <c:pt idx="83">
                  <c:v>248.315</c:v>
                </c:pt>
                <c:pt idx="84">
                  <c:v>211.76</c:v>
                </c:pt>
                <c:pt idx="85">
                  <c:v>323.54300000000001</c:v>
                </c:pt>
                <c:pt idx="86">
                  <c:v>478.99799999999999</c:v>
                </c:pt>
                <c:pt idx="87">
                  <c:v>648.55499999999995</c:v>
                </c:pt>
                <c:pt idx="88">
                  <c:v>791.31100000000004</c:v>
                </c:pt>
                <c:pt idx="89">
                  <c:v>872.39099999999996</c:v>
                </c:pt>
                <c:pt idx="90">
                  <c:v>850.68200000000002</c:v>
                </c:pt>
                <c:pt idx="91">
                  <c:v>787.32500000000005</c:v>
                </c:pt>
                <c:pt idx="92">
                  <c:v>697.72</c:v>
                </c:pt>
                <c:pt idx="93">
                  <c:v>516.31100000000004</c:v>
                </c:pt>
                <c:pt idx="94">
                  <c:v>332.70299999999997</c:v>
                </c:pt>
                <c:pt idx="95">
                  <c:v>228.00399999999999</c:v>
                </c:pt>
                <c:pt idx="96">
                  <c:v>181.53299999999999</c:v>
                </c:pt>
                <c:pt idx="97">
                  <c:v>227.435</c:v>
                </c:pt>
                <c:pt idx="98">
                  <c:v>428.78399999999999</c:v>
                </c:pt>
                <c:pt idx="99">
                  <c:v>565.38800000000003</c:v>
                </c:pt>
                <c:pt idx="100">
                  <c:v>659.89300000000003</c:v>
                </c:pt>
                <c:pt idx="101">
                  <c:v>681.44200000000001</c:v>
                </c:pt>
                <c:pt idx="102">
                  <c:v>685.63</c:v>
                </c:pt>
                <c:pt idx="103">
                  <c:v>635.38199999999995</c:v>
                </c:pt>
                <c:pt idx="104">
                  <c:v>543.93100000000004</c:v>
                </c:pt>
                <c:pt idx="105">
                  <c:v>464.56400000000002</c:v>
                </c:pt>
                <c:pt idx="106">
                  <c:v>248.23099999999999</c:v>
                </c:pt>
                <c:pt idx="107">
                  <c:v>164.98099999999999</c:v>
                </c:pt>
                <c:pt idx="108">
                  <c:v>160.041</c:v>
                </c:pt>
                <c:pt idx="109">
                  <c:v>176.309</c:v>
                </c:pt>
                <c:pt idx="110">
                  <c:v>306.16500000000002</c:v>
                </c:pt>
                <c:pt idx="111">
                  <c:v>426.28</c:v>
                </c:pt>
                <c:pt idx="112">
                  <c:v>541.73599999999999</c:v>
                </c:pt>
                <c:pt idx="113">
                  <c:v>586.91800000000001</c:v>
                </c:pt>
                <c:pt idx="114">
                  <c:v>537.26300000000003</c:v>
                </c:pt>
                <c:pt idx="115">
                  <c:v>489.255</c:v>
                </c:pt>
                <c:pt idx="116">
                  <c:v>419.76100000000002</c:v>
                </c:pt>
                <c:pt idx="117">
                  <c:v>337.68200000000002</c:v>
                </c:pt>
                <c:pt idx="118">
                  <c:v>216.31700000000001</c:v>
                </c:pt>
                <c:pt idx="119">
                  <c:v>139.12899999999999</c:v>
                </c:pt>
                <c:pt idx="120">
                  <c:v>121.908</c:v>
                </c:pt>
                <c:pt idx="121">
                  <c:v>159.749</c:v>
                </c:pt>
                <c:pt idx="122">
                  <c:v>268.863</c:v>
                </c:pt>
                <c:pt idx="123">
                  <c:v>373.91800000000001</c:v>
                </c:pt>
                <c:pt idx="124">
                  <c:v>468.33800000000002</c:v>
                </c:pt>
                <c:pt idx="125">
                  <c:v>499.42599999999999</c:v>
                </c:pt>
                <c:pt idx="126">
                  <c:v>453.637</c:v>
                </c:pt>
                <c:pt idx="127">
                  <c:v>422.47500000000002</c:v>
                </c:pt>
                <c:pt idx="128">
                  <c:v>330.06200000000001</c:v>
                </c:pt>
                <c:pt idx="129">
                  <c:v>299.61500000000001</c:v>
                </c:pt>
                <c:pt idx="130">
                  <c:v>180.39699999999999</c:v>
                </c:pt>
                <c:pt idx="131">
                  <c:v>108.69</c:v>
                </c:pt>
                <c:pt idx="132">
                  <c:v>82.69</c:v>
                </c:pt>
                <c:pt idx="133">
                  <c:v>105.379</c:v>
                </c:pt>
                <c:pt idx="134">
                  <c:v>182.74</c:v>
                </c:pt>
                <c:pt idx="135">
                  <c:v>229.17099999999999</c:v>
                </c:pt>
                <c:pt idx="136">
                  <c:v>256.13400000000001</c:v>
                </c:pt>
                <c:pt idx="137">
                  <c:v>256.15699999999998</c:v>
                </c:pt>
                <c:pt idx="138">
                  <c:v>220.39699999999999</c:v>
                </c:pt>
                <c:pt idx="139">
                  <c:v>205.304</c:v>
                </c:pt>
                <c:pt idx="140">
                  <c:v>168.58099999999999</c:v>
                </c:pt>
                <c:pt idx="141">
                  <c:v>120.04600000000001</c:v>
                </c:pt>
                <c:pt idx="142">
                  <c:v>67.528999999999996</c:v>
                </c:pt>
                <c:pt idx="143">
                  <c:v>42.411000000000001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E-47C5-83FB-B89DB1BA5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908240"/>
        <c:axId val="1298905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Production!$A$1:$A$204</c15:sqref>
                        </c15:formulaRef>
                      </c:ext>
                    </c:extLst>
                    <c:strCache>
                      <c:ptCount val="204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Production!$A$205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6BE-47C5-83FB-B89DB1BA5BE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Production!$E$1</c15:sqref>
                        </c15:formulaRef>
                      </c:ext>
                    </c:extLst>
                    <c:strCache>
                      <c:ptCount val="1"/>
                      <c:pt idx="0">
                        <c:v>Nucléaire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Production!$E$2:$E$205</c15:sqref>
                        </c15:formulaRef>
                      </c:ext>
                    </c:extLst>
                    <c:numCache>
                      <c:formatCode>General</c:formatCode>
                      <c:ptCount val="204"/>
                      <c:pt idx="0">
                        <c:v>89307.744000000006</c:v>
                      </c:pt>
                      <c:pt idx="1">
                        <c:v>69562.288</c:v>
                      </c:pt>
                      <c:pt idx="2">
                        <c:v>65057.226000000002</c:v>
                      </c:pt>
                      <c:pt idx="3">
                        <c:v>58600.02</c:v>
                      </c:pt>
                      <c:pt idx="4">
                        <c:v>58554.053999999996</c:v>
                      </c:pt>
                      <c:pt idx="5">
                        <c:v>60385.593000000001</c:v>
                      </c:pt>
                      <c:pt idx="6">
                        <c:v>64482.038</c:v>
                      </c:pt>
                      <c:pt idx="7">
                        <c:v>65809.978000000003</c:v>
                      </c:pt>
                      <c:pt idx="8">
                        <c:v>69785.578999999998</c:v>
                      </c:pt>
                      <c:pt idx="9">
                        <c:v>85750.866999999998</c:v>
                      </c:pt>
                      <c:pt idx="10">
                        <c:v>94127.123999999996</c:v>
                      </c:pt>
                      <c:pt idx="11">
                        <c:v>111862.39999999999</c:v>
                      </c:pt>
                      <c:pt idx="12">
                        <c:v>100376.851</c:v>
                      </c:pt>
                      <c:pt idx="13">
                        <c:v>96607.448999999993</c:v>
                      </c:pt>
                      <c:pt idx="14">
                        <c:v>97571.430999999997</c:v>
                      </c:pt>
                      <c:pt idx="15">
                        <c:v>92746.183999999994</c:v>
                      </c:pt>
                      <c:pt idx="16">
                        <c:v>93107.481</c:v>
                      </c:pt>
                      <c:pt idx="17">
                        <c:v>91149.167000000001</c:v>
                      </c:pt>
                      <c:pt idx="18">
                        <c:v>88324.864000000001</c:v>
                      </c:pt>
                      <c:pt idx="19">
                        <c:v>87953.998999999996</c:v>
                      </c:pt>
                      <c:pt idx="20">
                        <c:v>86700.854999999996</c:v>
                      </c:pt>
                      <c:pt idx="21">
                        <c:v>100674.872</c:v>
                      </c:pt>
                      <c:pt idx="22">
                        <c:v>96487.993000000002</c:v>
                      </c:pt>
                      <c:pt idx="23">
                        <c:v>118085.182</c:v>
                      </c:pt>
                      <c:pt idx="24">
                        <c:v>109533.554</c:v>
                      </c:pt>
                      <c:pt idx="25">
                        <c:v>100429.253</c:v>
                      </c:pt>
                      <c:pt idx="26">
                        <c:v>90211.445999999996</c:v>
                      </c:pt>
                      <c:pt idx="27">
                        <c:v>69877.497000000003</c:v>
                      </c:pt>
                      <c:pt idx="28">
                        <c:v>73715.968999999997</c:v>
                      </c:pt>
                      <c:pt idx="29">
                        <c:v>72325.808000000005</c:v>
                      </c:pt>
                      <c:pt idx="30">
                        <c:v>68777.752999999997</c:v>
                      </c:pt>
                      <c:pt idx="31">
                        <c:v>79563.073000000004</c:v>
                      </c:pt>
                      <c:pt idx="32">
                        <c:v>85870.558999999994</c:v>
                      </c:pt>
                      <c:pt idx="33">
                        <c:v>97714.37</c:v>
                      </c:pt>
                      <c:pt idx="34">
                        <c:v>105638.334</c:v>
                      </c:pt>
                      <c:pt idx="35">
                        <c:v>118755.94100000001</c:v>
                      </c:pt>
                      <c:pt idx="36">
                        <c:v>105413.8</c:v>
                      </c:pt>
                      <c:pt idx="37">
                        <c:v>93100.702000000005</c:v>
                      </c:pt>
                      <c:pt idx="38">
                        <c:v>92959.701000000001</c:v>
                      </c:pt>
                      <c:pt idx="39">
                        <c:v>88010.441000000006</c:v>
                      </c:pt>
                      <c:pt idx="40">
                        <c:v>88794.004000000001</c:v>
                      </c:pt>
                      <c:pt idx="41">
                        <c:v>93226.275999999998</c:v>
                      </c:pt>
                      <c:pt idx="42">
                        <c:v>91228.342000000004</c:v>
                      </c:pt>
                      <c:pt idx="43">
                        <c:v>100989.601</c:v>
                      </c:pt>
                      <c:pt idx="44">
                        <c:v>101109.583</c:v>
                      </c:pt>
                      <c:pt idx="45">
                        <c:v>112901.594</c:v>
                      </c:pt>
                      <c:pt idx="46">
                        <c:v>114250.76300000001</c:v>
                      </c:pt>
                      <c:pt idx="47">
                        <c:v>127358.57399999999</c:v>
                      </c:pt>
                      <c:pt idx="48">
                        <c:v>123406.02</c:v>
                      </c:pt>
                      <c:pt idx="49">
                        <c:v>103937.52099999999</c:v>
                      </c:pt>
                      <c:pt idx="50">
                        <c:v>100772.212</c:v>
                      </c:pt>
                      <c:pt idx="51">
                        <c:v>96104.597999999998</c:v>
                      </c:pt>
                      <c:pt idx="52">
                        <c:v>87546.407999999996</c:v>
                      </c:pt>
                      <c:pt idx="53">
                        <c:v>95721.775999999998</c:v>
                      </c:pt>
                      <c:pt idx="54">
                        <c:v>91391.126000000004</c:v>
                      </c:pt>
                      <c:pt idx="55">
                        <c:v>97495.217999999993</c:v>
                      </c:pt>
                      <c:pt idx="56">
                        <c:v>97451.630999999994</c:v>
                      </c:pt>
                      <c:pt idx="57">
                        <c:v>113291.10799999999</c:v>
                      </c:pt>
                      <c:pt idx="58">
                        <c:v>115269.05</c:v>
                      </c:pt>
                      <c:pt idx="59">
                        <c:v>129237.35799999999</c:v>
                      </c:pt>
                      <c:pt idx="60">
                        <c:v>118870.359</c:v>
                      </c:pt>
                      <c:pt idx="61">
                        <c:v>96864.569000000003</c:v>
                      </c:pt>
                      <c:pt idx="62">
                        <c:v>89679.724000000002</c:v>
                      </c:pt>
                      <c:pt idx="63">
                        <c:v>93701.03</c:v>
                      </c:pt>
                      <c:pt idx="64">
                        <c:v>91336.843999999997</c:v>
                      </c:pt>
                      <c:pt idx="65">
                        <c:v>90039.040999999997</c:v>
                      </c:pt>
                      <c:pt idx="66">
                        <c:v>86043.752999999997</c:v>
                      </c:pt>
                      <c:pt idx="67">
                        <c:v>95666.748999999996</c:v>
                      </c:pt>
                      <c:pt idx="68">
                        <c:v>101042.997</c:v>
                      </c:pt>
                      <c:pt idx="69">
                        <c:v>108798.41899999999</c:v>
                      </c:pt>
                      <c:pt idx="70">
                        <c:v>107040.272</c:v>
                      </c:pt>
                      <c:pt idx="71">
                        <c:v>128272.379</c:v>
                      </c:pt>
                      <c:pt idx="72">
                        <c:v>116283.806</c:v>
                      </c:pt>
                      <c:pt idx="73">
                        <c:v>99125.531000000003</c:v>
                      </c:pt>
                      <c:pt idx="74">
                        <c:v>92610.347999999998</c:v>
                      </c:pt>
                      <c:pt idx="75">
                        <c:v>84673.304000000004</c:v>
                      </c:pt>
                      <c:pt idx="76">
                        <c:v>86803.210999999996</c:v>
                      </c:pt>
                      <c:pt idx="77">
                        <c:v>90469.67</c:v>
                      </c:pt>
                      <c:pt idx="78">
                        <c:v>91412.76</c:v>
                      </c:pt>
                      <c:pt idx="79">
                        <c:v>94016.725000000006</c:v>
                      </c:pt>
                      <c:pt idx="80">
                        <c:v>98619.127999999997</c:v>
                      </c:pt>
                      <c:pt idx="81">
                        <c:v>117876.299</c:v>
                      </c:pt>
                      <c:pt idx="82">
                        <c:v>118312.262</c:v>
                      </c:pt>
                      <c:pt idx="83">
                        <c:v>131863.546</c:v>
                      </c:pt>
                      <c:pt idx="84">
                        <c:v>127974.03200000001</c:v>
                      </c:pt>
                      <c:pt idx="85">
                        <c:v>113490.519</c:v>
                      </c:pt>
                      <c:pt idx="86">
                        <c:v>109641.58500000001</c:v>
                      </c:pt>
                      <c:pt idx="87">
                        <c:v>97679.616999999998</c:v>
                      </c:pt>
                      <c:pt idx="88">
                        <c:v>102283.505</c:v>
                      </c:pt>
                      <c:pt idx="89">
                        <c:v>106076.09600000001</c:v>
                      </c:pt>
                      <c:pt idx="90">
                        <c:v>97938.391000000003</c:v>
                      </c:pt>
                      <c:pt idx="91">
                        <c:v>96932.331000000006</c:v>
                      </c:pt>
                      <c:pt idx="92">
                        <c:v>99393.986000000004</c:v>
                      </c:pt>
                      <c:pt idx="93">
                        <c:v>117108.442</c:v>
                      </c:pt>
                      <c:pt idx="94">
                        <c:v>118645.628</c:v>
                      </c:pt>
                      <c:pt idx="95">
                        <c:v>138614.247</c:v>
                      </c:pt>
                      <c:pt idx="96">
                        <c:v>131968.568</c:v>
                      </c:pt>
                      <c:pt idx="97">
                        <c:v>115390.43700000001</c:v>
                      </c:pt>
                      <c:pt idx="98">
                        <c:v>104464.23</c:v>
                      </c:pt>
                      <c:pt idx="99">
                        <c:v>101569.77099999999</c:v>
                      </c:pt>
                      <c:pt idx="100">
                        <c:v>99057.198000000004</c:v>
                      </c:pt>
                      <c:pt idx="101">
                        <c:v>106619.163</c:v>
                      </c:pt>
                      <c:pt idx="102">
                        <c:v>98890.501000000004</c:v>
                      </c:pt>
                      <c:pt idx="103">
                        <c:v>99269.357000000004</c:v>
                      </c:pt>
                      <c:pt idx="104">
                        <c:v>99323.913</c:v>
                      </c:pt>
                      <c:pt idx="105">
                        <c:v>113702.254</c:v>
                      </c:pt>
                      <c:pt idx="106">
                        <c:v>115457.11500000001</c:v>
                      </c:pt>
                      <c:pt idx="107">
                        <c:v>135384.93900000001</c:v>
                      </c:pt>
                      <c:pt idx="108">
                        <c:v>128204.861</c:v>
                      </c:pt>
                      <c:pt idx="109">
                        <c:v>110128.88499999999</c:v>
                      </c:pt>
                      <c:pt idx="110">
                        <c:v>99163.126000000004</c:v>
                      </c:pt>
                      <c:pt idx="111">
                        <c:v>94817.042000000001</c:v>
                      </c:pt>
                      <c:pt idx="112">
                        <c:v>95377.111999999994</c:v>
                      </c:pt>
                      <c:pt idx="113">
                        <c:v>98138.305999999997</c:v>
                      </c:pt>
                      <c:pt idx="114">
                        <c:v>91415.824999999997</c:v>
                      </c:pt>
                      <c:pt idx="115">
                        <c:v>99269.63</c:v>
                      </c:pt>
                      <c:pt idx="116">
                        <c:v>100186.098</c:v>
                      </c:pt>
                      <c:pt idx="117">
                        <c:v>116706.88499999999</c:v>
                      </c:pt>
                      <c:pt idx="118">
                        <c:v>116396.587</c:v>
                      </c:pt>
                      <c:pt idx="119">
                        <c:v>134319.11199999999</c:v>
                      </c:pt>
                      <c:pt idx="120">
                        <c:v>126634.73</c:v>
                      </c:pt>
                      <c:pt idx="121">
                        <c:v>118091.255</c:v>
                      </c:pt>
                      <c:pt idx="122">
                        <c:v>104797.89599999999</c:v>
                      </c:pt>
                      <c:pt idx="123">
                        <c:v>96273.91</c:v>
                      </c:pt>
                      <c:pt idx="124">
                        <c:v>90827.354999999996</c:v>
                      </c:pt>
                      <c:pt idx="125">
                        <c:v>92115.646999999997</c:v>
                      </c:pt>
                      <c:pt idx="126">
                        <c:v>84994.337</c:v>
                      </c:pt>
                      <c:pt idx="127">
                        <c:v>92837.989000000001</c:v>
                      </c:pt>
                      <c:pt idx="128">
                        <c:v>105259.43399999999</c:v>
                      </c:pt>
                      <c:pt idx="129">
                        <c:v>119245.978</c:v>
                      </c:pt>
                      <c:pt idx="130">
                        <c:v>122565.787</c:v>
                      </c:pt>
                      <c:pt idx="131">
                        <c:v>135687.63</c:v>
                      </c:pt>
                      <c:pt idx="132">
                        <c:v>126664.766</c:v>
                      </c:pt>
                      <c:pt idx="133">
                        <c:v>107339.353</c:v>
                      </c:pt>
                      <c:pt idx="134">
                        <c:v>104447.591</c:v>
                      </c:pt>
                      <c:pt idx="135">
                        <c:v>100278.478</c:v>
                      </c:pt>
                      <c:pt idx="136">
                        <c:v>100293.784</c:v>
                      </c:pt>
                      <c:pt idx="137">
                        <c:v>106785.193</c:v>
                      </c:pt>
                      <c:pt idx="138">
                        <c:v>103918.02899999999</c:v>
                      </c:pt>
                      <c:pt idx="139">
                        <c:v>105566.541</c:v>
                      </c:pt>
                      <c:pt idx="140">
                        <c:v>104735.57</c:v>
                      </c:pt>
                      <c:pt idx="141">
                        <c:v>119591.671</c:v>
                      </c:pt>
                      <c:pt idx="142">
                        <c:v>121352.736</c:v>
                      </c:pt>
                      <c:pt idx="143">
                        <c:v>138909.815</c:v>
                      </c:pt>
                      <c:pt idx="144">
                        <c:v>132842.122</c:v>
                      </c:pt>
                      <c:pt idx="145">
                        <c:v>112760.29700000001</c:v>
                      </c:pt>
                      <c:pt idx="146">
                        <c:v>101708.371</c:v>
                      </c:pt>
                      <c:pt idx="147">
                        <c:v>100872.091</c:v>
                      </c:pt>
                      <c:pt idx="148">
                        <c:v>103451.927</c:v>
                      </c:pt>
                      <c:pt idx="149">
                        <c:v>101295.785</c:v>
                      </c:pt>
                      <c:pt idx="150">
                        <c:v>94335.046000000002</c:v>
                      </c:pt>
                      <c:pt idx="151">
                        <c:v>93362.235000000001</c:v>
                      </c:pt>
                      <c:pt idx="152">
                        <c:v>99668.426000000007</c:v>
                      </c:pt>
                      <c:pt idx="153">
                        <c:v>114382.671</c:v>
                      </c:pt>
                      <c:pt idx="154">
                        <c:v>115196.484</c:v>
                      </c:pt>
                      <c:pt idx="155">
                        <c:v>128292.75599999999</c:v>
                      </c:pt>
                      <c:pt idx="156">
                        <c:v>120193.633</c:v>
                      </c:pt>
                      <c:pt idx="157">
                        <c:v>100247.048</c:v>
                      </c:pt>
                      <c:pt idx="158">
                        <c:v>98785.998000000007</c:v>
                      </c:pt>
                      <c:pt idx="159">
                        <c:v>91803.258000000002</c:v>
                      </c:pt>
                      <c:pt idx="160">
                        <c:v>90316.490999999995</c:v>
                      </c:pt>
                      <c:pt idx="161">
                        <c:v>92456.012000000002</c:v>
                      </c:pt>
                      <c:pt idx="162">
                        <c:v>86803.48</c:v>
                      </c:pt>
                      <c:pt idx="163">
                        <c:v>95638.402000000002</c:v>
                      </c:pt>
                      <c:pt idx="164">
                        <c:v>98544.985000000001</c:v>
                      </c:pt>
                      <c:pt idx="165">
                        <c:v>114347.825</c:v>
                      </c:pt>
                      <c:pt idx="166">
                        <c:v>117351.395</c:v>
                      </c:pt>
                      <c:pt idx="167">
                        <c:v>136557.878</c:v>
                      </c:pt>
                      <c:pt idx="168">
                        <c:v>131144.783</c:v>
                      </c:pt>
                      <c:pt idx="169">
                        <c:v>114784.26700000001</c:v>
                      </c:pt>
                      <c:pt idx="170">
                        <c:v>108061.84699999999</c:v>
                      </c:pt>
                      <c:pt idx="171">
                        <c:v>99626.997000000003</c:v>
                      </c:pt>
                      <c:pt idx="172">
                        <c:v>102460.84</c:v>
                      </c:pt>
                      <c:pt idx="173">
                        <c:v>101837.054</c:v>
                      </c:pt>
                      <c:pt idx="174">
                        <c:v>91410.369000000006</c:v>
                      </c:pt>
                      <c:pt idx="175">
                        <c:v>102006.213</c:v>
                      </c:pt>
                      <c:pt idx="176">
                        <c:v>109092.33500000001</c:v>
                      </c:pt>
                      <c:pt idx="177">
                        <c:v>118281.86500000001</c:v>
                      </c:pt>
                      <c:pt idx="178">
                        <c:v>123370.659</c:v>
                      </c:pt>
                      <c:pt idx="179">
                        <c:v>129923.352</c:v>
                      </c:pt>
                      <c:pt idx="180">
                        <c:v>126925.84299999999</c:v>
                      </c:pt>
                      <c:pt idx="181">
                        <c:v>114099.296</c:v>
                      </c:pt>
                      <c:pt idx="182">
                        <c:v>117287.747</c:v>
                      </c:pt>
                      <c:pt idx="183">
                        <c:v>106219.091</c:v>
                      </c:pt>
                      <c:pt idx="184">
                        <c:v>104203.57799999999</c:v>
                      </c:pt>
                      <c:pt idx="185">
                        <c:v>101666.758</c:v>
                      </c:pt>
                      <c:pt idx="186">
                        <c:v>98523.769</c:v>
                      </c:pt>
                      <c:pt idx="187">
                        <c:v>101563.709</c:v>
                      </c:pt>
                      <c:pt idx="188">
                        <c:v>101333.36500000001</c:v>
                      </c:pt>
                      <c:pt idx="189">
                        <c:v>116790.68799999999</c:v>
                      </c:pt>
                      <c:pt idx="190">
                        <c:v>114708.496</c:v>
                      </c:pt>
                      <c:pt idx="191">
                        <c:v>129735.439</c:v>
                      </c:pt>
                      <c:pt idx="192">
                        <c:v>128223.046</c:v>
                      </c:pt>
                      <c:pt idx="193">
                        <c:v>118378.853</c:v>
                      </c:pt>
                      <c:pt idx="194">
                        <c:v>113681.039</c:v>
                      </c:pt>
                      <c:pt idx="195">
                        <c:v>107807.25599999999</c:v>
                      </c:pt>
                      <c:pt idx="196">
                        <c:v>104570.31</c:v>
                      </c:pt>
                      <c:pt idx="197">
                        <c:v>105161.325</c:v>
                      </c:pt>
                      <c:pt idx="198">
                        <c:v>104758.223</c:v>
                      </c:pt>
                      <c:pt idx="199">
                        <c:v>108225.51300000001</c:v>
                      </c:pt>
                      <c:pt idx="200">
                        <c:v>114187.19</c:v>
                      </c:pt>
                      <c:pt idx="201">
                        <c:v>112414.144</c:v>
                      </c:pt>
                      <c:pt idx="202">
                        <c:v>111416.995</c:v>
                      </c:pt>
                      <c:pt idx="203">
                        <c:v>135581.94500000001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BE-47C5-83FB-B89DB1BA5BE4}"/>
                  </c:ext>
                </c:extLst>
              </c15:ser>
            </c15:filteredLineSeries>
          </c:ext>
        </c:extLst>
      </c:lineChart>
      <c:catAx>
        <c:axId val="1298908240"/>
        <c:scaling>
          <c:orientation val="maxMin"/>
        </c:scaling>
        <c:delete val="0"/>
        <c:axPos val="b"/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905840"/>
        <c:crosses val="autoZero"/>
        <c:auto val="1"/>
        <c:lblAlgn val="ctr"/>
        <c:lblOffset val="100"/>
        <c:noMultiLvlLbl val="0"/>
      </c:catAx>
      <c:valAx>
        <c:axId val="1298905840"/>
        <c:scaling>
          <c:orientation val="minMax"/>
          <c:max val="12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90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</a:t>
            </a:r>
            <a:r>
              <a:rPr lang="fr-FR" baseline="0"/>
              <a:t> mensuelle de la production electrique en France (Nucléaire)</a:t>
            </a:r>
            <a:endParaRPr lang="fr-FR"/>
          </a:p>
        </c:rich>
      </c:tx>
      <c:layout>
        <c:manualLayout>
          <c:xMode val="edge"/>
          <c:yMode val="edge"/>
          <c:x val="0.10429292516250176"/>
          <c:y val="4.1551246537396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Production!$F$1</c:f>
              <c:strCache>
                <c:ptCount val="1"/>
                <c:pt idx="0">
                  <c:v>Nucléaire_Elec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Production!$A:$A</c:f>
              <c:strCache>
                <c:ptCount val="205"/>
                <c:pt idx="0">
                  <c:v>Période</c:v>
                </c:pt>
                <c:pt idx="1">
                  <c:v>2022-12</c:v>
                </c:pt>
                <c:pt idx="2">
                  <c:v>2022-11</c:v>
                </c:pt>
                <c:pt idx="3">
                  <c:v>2022-10</c:v>
                </c:pt>
                <c:pt idx="4">
                  <c:v>2022-09</c:v>
                </c:pt>
                <c:pt idx="5">
                  <c:v>2022-08</c:v>
                </c:pt>
                <c:pt idx="6">
                  <c:v>2022-07</c:v>
                </c:pt>
                <c:pt idx="7">
                  <c:v>2022-06</c:v>
                </c:pt>
                <c:pt idx="8">
                  <c:v>2022-05</c:v>
                </c:pt>
                <c:pt idx="9">
                  <c:v>2022-04</c:v>
                </c:pt>
                <c:pt idx="10">
                  <c:v>2022-03</c:v>
                </c:pt>
                <c:pt idx="11">
                  <c:v>2022-02</c:v>
                </c:pt>
                <c:pt idx="12">
                  <c:v>2022-01</c:v>
                </c:pt>
                <c:pt idx="13">
                  <c:v>2021-12</c:v>
                </c:pt>
                <c:pt idx="14">
                  <c:v>2021-11</c:v>
                </c:pt>
                <c:pt idx="15">
                  <c:v>2021-10</c:v>
                </c:pt>
                <c:pt idx="16">
                  <c:v>2021-09</c:v>
                </c:pt>
                <c:pt idx="17">
                  <c:v>2021-08</c:v>
                </c:pt>
                <c:pt idx="18">
                  <c:v>2021-07</c:v>
                </c:pt>
                <c:pt idx="19">
                  <c:v>2021-06</c:v>
                </c:pt>
                <c:pt idx="20">
                  <c:v>2021-05</c:v>
                </c:pt>
                <c:pt idx="21">
                  <c:v>2021-04</c:v>
                </c:pt>
                <c:pt idx="22">
                  <c:v>2021-03</c:v>
                </c:pt>
                <c:pt idx="23">
                  <c:v>2021-02</c:v>
                </c:pt>
                <c:pt idx="24">
                  <c:v>2021-01</c:v>
                </c:pt>
                <c:pt idx="25">
                  <c:v>2020-12</c:v>
                </c:pt>
                <c:pt idx="26">
                  <c:v>2020-11</c:v>
                </c:pt>
                <c:pt idx="27">
                  <c:v>2020-10</c:v>
                </c:pt>
                <c:pt idx="28">
                  <c:v>2020-09</c:v>
                </c:pt>
                <c:pt idx="29">
                  <c:v>2020-08</c:v>
                </c:pt>
                <c:pt idx="30">
                  <c:v>2020-07</c:v>
                </c:pt>
                <c:pt idx="31">
                  <c:v>2020-06</c:v>
                </c:pt>
                <c:pt idx="32">
                  <c:v>2020-05</c:v>
                </c:pt>
                <c:pt idx="33">
                  <c:v>2020-04</c:v>
                </c:pt>
                <c:pt idx="34">
                  <c:v>2020-03</c:v>
                </c:pt>
                <c:pt idx="35">
                  <c:v>2020-02</c:v>
                </c:pt>
                <c:pt idx="36">
                  <c:v>2020-01</c:v>
                </c:pt>
                <c:pt idx="37">
                  <c:v>2019-12</c:v>
                </c:pt>
                <c:pt idx="38">
                  <c:v>2019-11</c:v>
                </c:pt>
                <c:pt idx="39">
                  <c:v>2019-10</c:v>
                </c:pt>
                <c:pt idx="40">
                  <c:v>2019-09</c:v>
                </c:pt>
                <c:pt idx="41">
                  <c:v>2019-08</c:v>
                </c:pt>
                <c:pt idx="42">
                  <c:v>2019-07</c:v>
                </c:pt>
                <c:pt idx="43">
                  <c:v>2019-06</c:v>
                </c:pt>
                <c:pt idx="44">
                  <c:v>2019-05</c:v>
                </c:pt>
                <c:pt idx="45">
                  <c:v>2019-04</c:v>
                </c:pt>
                <c:pt idx="46">
                  <c:v>2019-03</c:v>
                </c:pt>
                <c:pt idx="47">
                  <c:v>2019-02</c:v>
                </c:pt>
                <c:pt idx="48">
                  <c:v>2019-01</c:v>
                </c:pt>
                <c:pt idx="49">
                  <c:v>2018-12</c:v>
                </c:pt>
                <c:pt idx="50">
                  <c:v>2018-11</c:v>
                </c:pt>
                <c:pt idx="51">
                  <c:v>2018-10</c:v>
                </c:pt>
                <c:pt idx="52">
                  <c:v>2018-09</c:v>
                </c:pt>
                <c:pt idx="53">
                  <c:v>2018-08</c:v>
                </c:pt>
                <c:pt idx="54">
                  <c:v>2018-07</c:v>
                </c:pt>
                <c:pt idx="55">
                  <c:v>2018-06</c:v>
                </c:pt>
                <c:pt idx="56">
                  <c:v>2018-05</c:v>
                </c:pt>
                <c:pt idx="57">
                  <c:v>2018-04</c:v>
                </c:pt>
                <c:pt idx="58">
                  <c:v>2018-03</c:v>
                </c:pt>
                <c:pt idx="59">
                  <c:v>2018-02</c:v>
                </c:pt>
                <c:pt idx="60">
                  <c:v>2018-01</c:v>
                </c:pt>
                <c:pt idx="61">
                  <c:v>2017-12</c:v>
                </c:pt>
                <c:pt idx="62">
                  <c:v>2017-11</c:v>
                </c:pt>
                <c:pt idx="63">
                  <c:v>2017-10</c:v>
                </c:pt>
                <c:pt idx="64">
                  <c:v>2017-09</c:v>
                </c:pt>
                <c:pt idx="65">
                  <c:v>2017-08</c:v>
                </c:pt>
                <c:pt idx="66">
                  <c:v>2017-07</c:v>
                </c:pt>
                <c:pt idx="67">
                  <c:v>2017-06</c:v>
                </c:pt>
                <c:pt idx="68">
                  <c:v>2017-05</c:v>
                </c:pt>
                <c:pt idx="69">
                  <c:v>2017-04</c:v>
                </c:pt>
                <c:pt idx="70">
                  <c:v>2017-03</c:v>
                </c:pt>
                <c:pt idx="71">
                  <c:v>2017-02</c:v>
                </c:pt>
                <c:pt idx="72">
                  <c:v>2017-01</c:v>
                </c:pt>
                <c:pt idx="73">
                  <c:v>2016-12</c:v>
                </c:pt>
                <c:pt idx="74">
                  <c:v>2016-11</c:v>
                </c:pt>
                <c:pt idx="75">
                  <c:v>2016-10</c:v>
                </c:pt>
                <c:pt idx="76">
                  <c:v>2016-09</c:v>
                </c:pt>
                <c:pt idx="77">
                  <c:v>2016-08</c:v>
                </c:pt>
                <c:pt idx="78">
                  <c:v>2016-07</c:v>
                </c:pt>
                <c:pt idx="79">
                  <c:v>2016-06</c:v>
                </c:pt>
                <c:pt idx="80">
                  <c:v>2016-05</c:v>
                </c:pt>
                <c:pt idx="81">
                  <c:v>2016-04</c:v>
                </c:pt>
                <c:pt idx="82">
                  <c:v>2016-03</c:v>
                </c:pt>
                <c:pt idx="83">
                  <c:v>2016-02</c:v>
                </c:pt>
                <c:pt idx="84">
                  <c:v>2016-01</c:v>
                </c:pt>
                <c:pt idx="85">
                  <c:v>2015-12</c:v>
                </c:pt>
                <c:pt idx="86">
                  <c:v>2015-11</c:v>
                </c:pt>
                <c:pt idx="87">
                  <c:v>2015-10</c:v>
                </c:pt>
                <c:pt idx="88">
                  <c:v>2015-09</c:v>
                </c:pt>
                <c:pt idx="89">
                  <c:v>2015-08</c:v>
                </c:pt>
                <c:pt idx="90">
                  <c:v>2015-07</c:v>
                </c:pt>
                <c:pt idx="91">
                  <c:v>2015-06</c:v>
                </c:pt>
                <c:pt idx="92">
                  <c:v>2015-05</c:v>
                </c:pt>
                <c:pt idx="93">
                  <c:v>2015-04</c:v>
                </c:pt>
                <c:pt idx="94">
                  <c:v>2015-03</c:v>
                </c:pt>
                <c:pt idx="95">
                  <c:v>2015-02</c:v>
                </c:pt>
                <c:pt idx="96">
                  <c:v>2015-01</c:v>
                </c:pt>
                <c:pt idx="97">
                  <c:v>2014-12</c:v>
                </c:pt>
                <c:pt idx="98">
                  <c:v>2014-11</c:v>
                </c:pt>
                <c:pt idx="99">
                  <c:v>2014-10</c:v>
                </c:pt>
                <c:pt idx="100">
                  <c:v>2014-09</c:v>
                </c:pt>
                <c:pt idx="101">
                  <c:v>2014-08</c:v>
                </c:pt>
                <c:pt idx="102">
                  <c:v>2014-07</c:v>
                </c:pt>
                <c:pt idx="103">
                  <c:v>2014-06</c:v>
                </c:pt>
                <c:pt idx="104">
                  <c:v>2014-05</c:v>
                </c:pt>
                <c:pt idx="105">
                  <c:v>2014-04</c:v>
                </c:pt>
                <c:pt idx="106">
                  <c:v>2014-03</c:v>
                </c:pt>
                <c:pt idx="107">
                  <c:v>2014-02</c:v>
                </c:pt>
                <c:pt idx="108">
                  <c:v>2014-01</c:v>
                </c:pt>
                <c:pt idx="109">
                  <c:v>2013-12</c:v>
                </c:pt>
                <c:pt idx="110">
                  <c:v>2013-11</c:v>
                </c:pt>
                <c:pt idx="111">
                  <c:v>2013-10</c:v>
                </c:pt>
                <c:pt idx="112">
                  <c:v>2013-09</c:v>
                </c:pt>
                <c:pt idx="113">
                  <c:v>2013-08</c:v>
                </c:pt>
                <c:pt idx="114">
                  <c:v>2013-07</c:v>
                </c:pt>
                <c:pt idx="115">
                  <c:v>2013-06</c:v>
                </c:pt>
                <c:pt idx="116">
                  <c:v>2013-05</c:v>
                </c:pt>
                <c:pt idx="117">
                  <c:v>2013-04</c:v>
                </c:pt>
                <c:pt idx="118">
                  <c:v>2013-03</c:v>
                </c:pt>
                <c:pt idx="119">
                  <c:v>2013-02</c:v>
                </c:pt>
                <c:pt idx="120">
                  <c:v>2013-01</c:v>
                </c:pt>
                <c:pt idx="121">
                  <c:v>2012-12</c:v>
                </c:pt>
                <c:pt idx="122">
                  <c:v>2012-11</c:v>
                </c:pt>
                <c:pt idx="123">
                  <c:v>2012-10</c:v>
                </c:pt>
                <c:pt idx="124">
                  <c:v>2012-09</c:v>
                </c:pt>
                <c:pt idx="125">
                  <c:v>2012-08</c:v>
                </c:pt>
                <c:pt idx="126">
                  <c:v>2012-07</c:v>
                </c:pt>
                <c:pt idx="127">
                  <c:v>2012-06</c:v>
                </c:pt>
                <c:pt idx="128">
                  <c:v>2012-05</c:v>
                </c:pt>
                <c:pt idx="129">
                  <c:v>2012-04</c:v>
                </c:pt>
                <c:pt idx="130">
                  <c:v>2012-03</c:v>
                </c:pt>
                <c:pt idx="131">
                  <c:v>2012-02</c:v>
                </c:pt>
                <c:pt idx="132">
                  <c:v>2012-01</c:v>
                </c:pt>
                <c:pt idx="133">
                  <c:v>2011-12</c:v>
                </c:pt>
                <c:pt idx="134">
                  <c:v>2011-11</c:v>
                </c:pt>
                <c:pt idx="135">
                  <c:v>2011-10</c:v>
                </c:pt>
                <c:pt idx="136">
                  <c:v>2011-09</c:v>
                </c:pt>
                <c:pt idx="137">
                  <c:v>2011-08</c:v>
                </c:pt>
                <c:pt idx="138">
                  <c:v>2011-07</c:v>
                </c:pt>
                <c:pt idx="139">
                  <c:v>2011-06</c:v>
                </c:pt>
                <c:pt idx="140">
                  <c:v>2011-05</c:v>
                </c:pt>
                <c:pt idx="141">
                  <c:v>2011-04</c:v>
                </c:pt>
                <c:pt idx="142">
                  <c:v>2011-03</c:v>
                </c:pt>
                <c:pt idx="143">
                  <c:v>2011-02</c:v>
                </c:pt>
                <c:pt idx="144">
                  <c:v>2011-01</c:v>
                </c:pt>
                <c:pt idx="145">
                  <c:v>2010-12</c:v>
                </c:pt>
                <c:pt idx="146">
                  <c:v>2010-11</c:v>
                </c:pt>
                <c:pt idx="147">
                  <c:v>2010-10</c:v>
                </c:pt>
                <c:pt idx="148">
                  <c:v>2010-09</c:v>
                </c:pt>
                <c:pt idx="149">
                  <c:v>2010-08</c:v>
                </c:pt>
                <c:pt idx="150">
                  <c:v>2010-07</c:v>
                </c:pt>
                <c:pt idx="151">
                  <c:v>2010-06</c:v>
                </c:pt>
                <c:pt idx="152">
                  <c:v>2010-05</c:v>
                </c:pt>
                <c:pt idx="153">
                  <c:v>2010-04</c:v>
                </c:pt>
                <c:pt idx="154">
                  <c:v>2010-03</c:v>
                </c:pt>
                <c:pt idx="155">
                  <c:v>2010-02</c:v>
                </c:pt>
                <c:pt idx="156">
                  <c:v>2010-01</c:v>
                </c:pt>
                <c:pt idx="157">
                  <c:v>2009-12</c:v>
                </c:pt>
                <c:pt idx="158">
                  <c:v>2009-11</c:v>
                </c:pt>
                <c:pt idx="159">
                  <c:v>2009-10</c:v>
                </c:pt>
                <c:pt idx="160">
                  <c:v>2009-09</c:v>
                </c:pt>
                <c:pt idx="161">
                  <c:v>2009-08</c:v>
                </c:pt>
                <c:pt idx="162">
                  <c:v>2009-07</c:v>
                </c:pt>
                <c:pt idx="163">
                  <c:v>2009-06</c:v>
                </c:pt>
                <c:pt idx="164">
                  <c:v>2009-05</c:v>
                </c:pt>
                <c:pt idx="165">
                  <c:v>2009-04</c:v>
                </c:pt>
                <c:pt idx="166">
                  <c:v>2009-03</c:v>
                </c:pt>
                <c:pt idx="167">
                  <c:v>2009-02</c:v>
                </c:pt>
                <c:pt idx="168">
                  <c:v>2009-01</c:v>
                </c:pt>
                <c:pt idx="169">
                  <c:v>2008-12</c:v>
                </c:pt>
                <c:pt idx="170">
                  <c:v>2008-11</c:v>
                </c:pt>
                <c:pt idx="171">
                  <c:v>2008-10</c:v>
                </c:pt>
                <c:pt idx="172">
                  <c:v>2008-09</c:v>
                </c:pt>
                <c:pt idx="173">
                  <c:v>2008-08</c:v>
                </c:pt>
                <c:pt idx="174">
                  <c:v>2008-07</c:v>
                </c:pt>
                <c:pt idx="175">
                  <c:v>2008-06</c:v>
                </c:pt>
                <c:pt idx="176">
                  <c:v>2008-05</c:v>
                </c:pt>
                <c:pt idx="177">
                  <c:v>2008-04</c:v>
                </c:pt>
                <c:pt idx="178">
                  <c:v>2008-03</c:v>
                </c:pt>
                <c:pt idx="179">
                  <c:v>2008-02</c:v>
                </c:pt>
                <c:pt idx="180">
                  <c:v>2008-01</c:v>
                </c:pt>
                <c:pt idx="181">
                  <c:v>2007-12</c:v>
                </c:pt>
                <c:pt idx="182">
                  <c:v>2007-11</c:v>
                </c:pt>
                <c:pt idx="183">
                  <c:v>2007-10</c:v>
                </c:pt>
                <c:pt idx="184">
                  <c:v>2007-09</c:v>
                </c:pt>
                <c:pt idx="185">
                  <c:v>2007-08</c:v>
                </c:pt>
                <c:pt idx="186">
                  <c:v>2007-07</c:v>
                </c:pt>
                <c:pt idx="187">
                  <c:v>2007-06</c:v>
                </c:pt>
                <c:pt idx="188">
                  <c:v>2007-05</c:v>
                </c:pt>
                <c:pt idx="189">
                  <c:v>2007-04</c:v>
                </c:pt>
                <c:pt idx="190">
                  <c:v>2007-03</c:v>
                </c:pt>
                <c:pt idx="191">
                  <c:v>2007-02</c:v>
                </c:pt>
                <c:pt idx="192">
                  <c:v>2007-01</c:v>
                </c:pt>
                <c:pt idx="193">
                  <c:v>2006-12</c:v>
                </c:pt>
                <c:pt idx="194">
                  <c:v>2006-11</c:v>
                </c:pt>
                <c:pt idx="195">
                  <c:v>2006-10</c:v>
                </c:pt>
                <c:pt idx="196">
                  <c:v>2006-09</c:v>
                </c:pt>
                <c:pt idx="197">
                  <c:v>2006-08</c:v>
                </c:pt>
                <c:pt idx="198">
                  <c:v>2006-07</c:v>
                </c:pt>
                <c:pt idx="199">
                  <c:v>2006-06</c:v>
                </c:pt>
                <c:pt idx="200">
                  <c:v>2006-05</c:v>
                </c:pt>
                <c:pt idx="201">
                  <c:v>2006-04</c:v>
                </c:pt>
                <c:pt idx="202">
                  <c:v>2006-03</c:v>
                </c:pt>
                <c:pt idx="203">
                  <c:v>2006-02</c:v>
                </c:pt>
                <c:pt idx="204">
                  <c:v>2006-01</c:v>
                </c:pt>
              </c:strCache>
            </c:strRef>
          </c:cat>
          <c:val>
            <c:numRef>
              <c:f>Production!$F$2:$F$205</c:f>
              <c:numCache>
                <c:formatCode>General</c:formatCode>
                <c:ptCount val="204"/>
                <c:pt idx="0">
                  <c:v>29769.248000000003</c:v>
                </c:pt>
                <c:pt idx="1">
                  <c:v>23187.429333333333</c:v>
                </c:pt>
                <c:pt idx="2">
                  <c:v>21685.742000000002</c:v>
                </c:pt>
                <c:pt idx="3">
                  <c:v>19533.34</c:v>
                </c:pt>
                <c:pt idx="4">
                  <c:v>19518.018</c:v>
                </c:pt>
                <c:pt idx="5">
                  <c:v>20128.530999999999</c:v>
                </c:pt>
                <c:pt idx="6">
                  <c:v>21494.012666666666</c:v>
                </c:pt>
                <c:pt idx="7">
                  <c:v>21936.659333333333</c:v>
                </c:pt>
                <c:pt idx="8">
                  <c:v>23261.859666666667</c:v>
                </c:pt>
                <c:pt idx="9">
                  <c:v>28583.622333333333</c:v>
                </c:pt>
                <c:pt idx="10">
                  <c:v>31375.707999999999</c:v>
                </c:pt>
                <c:pt idx="11">
                  <c:v>37287.466666666667</c:v>
                </c:pt>
                <c:pt idx="12">
                  <c:v>33458.950333333334</c:v>
                </c:pt>
                <c:pt idx="13">
                  <c:v>32202.482999999997</c:v>
                </c:pt>
                <c:pt idx="14">
                  <c:v>32523.810333333331</c:v>
                </c:pt>
                <c:pt idx="15">
                  <c:v>30915.394666666663</c:v>
                </c:pt>
                <c:pt idx="16">
                  <c:v>31035.827000000001</c:v>
                </c:pt>
                <c:pt idx="17">
                  <c:v>30383.055666666667</c:v>
                </c:pt>
                <c:pt idx="18">
                  <c:v>29441.621333333333</c:v>
                </c:pt>
                <c:pt idx="19">
                  <c:v>29317.999666666667</c:v>
                </c:pt>
                <c:pt idx="20">
                  <c:v>28900.285</c:v>
                </c:pt>
                <c:pt idx="21">
                  <c:v>33558.290666666668</c:v>
                </c:pt>
                <c:pt idx="22">
                  <c:v>32162.664333333334</c:v>
                </c:pt>
                <c:pt idx="23">
                  <c:v>39361.727333333336</c:v>
                </c:pt>
                <c:pt idx="24">
                  <c:v>36511.184666666668</c:v>
                </c:pt>
                <c:pt idx="25">
                  <c:v>33476.417666666668</c:v>
                </c:pt>
                <c:pt idx="26">
                  <c:v>30070.482</c:v>
                </c:pt>
                <c:pt idx="27">
                  <c:v>23292.499</c:v>
                </c:pt>
                <c:pt idx="28">
                  <c:v>24571.989666666665</c:v>
                </c:pt>
                <c:pt idx="29">
                  <c:v>24108.602666666669</c:v>
                </c:pt>
                <c:pt idx="30">
                  <c:v>22925.917666666664</c:v>
                </c:pt>
                <c:pt idx="31">
                  <c:v>26521.024333333335</c:v>
                </c:pt>
                <c:pt idx="32">
                  <c:v>28623.519666666663</c:v>
                </c:pt>
                <c:pt idx="33">
                  <c:v>32571.456666666665</c:v>
                </c:pt>
                <c:pt idx="34">
                  <c:v>35212.777999999998</c:v>
                </c:pt>
                <c:pt idx="35">
                  <c:v>39585.313666666669</c:v>
                </c:pt>
                <c:pt idx="36">
                  <c:v>35137.933333333334</c:v>
                </c:pt>
                <c:pt idx="37">
                  <c:v>31033.567333333336</c:v>
                </c:pt>
                <c:pt idx="38">
                  <c:v>30986.566999999999</c:v>
                </c:pt>
                <c:pt idx="39">
                  <c:v>29336.813666666669</c:v>
                </c:pt>
                <c:pt idx="40">
                  <c:v>29598.001333333334</c:v>
                </c:pt>
                <c:pt idx="41">
                  <c:v>31075.425333333333</c:v>
                </c:pt>
                <c:pt idx="42">
                  <c:v>30409.447333333334</c:v>
                </c:pt>
                <c:pt idx="43">
                  <c:v>33663.200333333334</c:v>
                </c:pt>
                <c:pt idx="44">
                  <c:v>33703.194333333333</c:v>
                </c:pt>
                <c:pt idx="45">
                  <c:v>37633.864666666668</c:v>
                </c:pt>
                <c:pt idx="46">
                  <c:v>38083.587666666666</c:v>
                </c:pt>
                <c:pt idx="47">
                  <c:v>42452.858</c:v>
                </c:pt>
                <c:pt idx="48">
                  <c:v>41135.340000000004</c:v>
                </c:pt>
                <c:pt idx="49">
                  <c:v>34645.840333333334</c:v>
                </c:pt>
                <c:pt idx="50">
                  <c:v>33590.737333333331</c:v>
                </c:pt>
                <c:pt idx="51">
                  <c:v>32034.865999999998</c:v>
                </c:pt>
                <c:pt idx="52">
                  <c:v>29182.135999999999</c:v>
                </c:pt>
                <c:pt idx="53">
                  <c:v>31907.258666666665</c:v>
                </c:pt>
                <c:pt idx="54">
                  <c:v>30463.708666666669</c:v>
                </c:pt>
                <c:pt idx="55">
                  <c:v>32498.405999999999</c:v>
                </c:pt>
                <c:pt idx="56">
                  <c:v>32483.876999999997</c:v>
                </c:pt>
                <c:pt idx="57">
                  <c:v>37763.702666666664</c:v>
                </c:pt>
                <c:pt idx="58">
                  <c:v>38423.01666666667</c:v>
                </c:pt>
                <c:pt idx="59">
                  <c:v>43079.119333333329</c:v>
                </c:pt>
                <c:pt idx="60">
                  <c:v>39623.453000000001</c:v>
                </c:pt>
                <c:pt idx="61">
                  <c:v>32288.189666666669</c:v>
                </c:pt>
                <c:pt idx="62">
                  <c:v>29893.241333333335</c:v>
                </c:pt>
                <c:pt idx="63">
                  <c:v>31233.676666666666</c:v>
                </c:pt>
                <c:pt idx="64">
                  <c:v>30445.614666666665</c:v>
                </c:pt>
                <c:pt idx="65">
                  <c:v>30013.013666666666</c:v>
                </c:pt>
                <c:pt idx="66">
                  <c:v>28681.251</c:v>
                </c:pt>
                <c:pt idx="67">
                  <c:v>31888.916333333331</c:v>
                </c:pt>
                <c:pt idx="68">
                  <c:v>33680.999000000003</c:v>
                </c:pt>
                <c:pt idx="69">
                  <c:v>36266.139666666662</c:v>
                </c:pt>
                <c:pt idx="70">
                  <c:v>35680.090666666663</c:v>
                </c:pt>
                <c:pt idx="71">
                  <c:v>42757.459666666669</c:v>
                </c:pt>
                <c:pt idx="72">
                  <c:v>38761.268666666663</c:v>
                </c:pt>
                <c:pt idx="73">
                  <c:v>33041.843666666668</c:v>
                </c:pt>
                <c:pt idx="74">
                  <c:v>30870.115999999998</c:v>
                </c:pt>
                <c:pt idx="75">
                  <c:v>28224.434666666668</c:v>
                </c:pt>
                <c:pt idx="76">
                  <c:v>28934.403666666665</c:v>
                </c:pt>
                <c:pt idx="77">
                  <c:v>30156.556666666667</c:v>
                </c:pt>
                <c:pt idx="78">
                  <c:v>30470.92</c:v>
                </c:pt>
                <c:pt idx="79">
                  <c:v>31338.908333333336</c:v>
                </c:pt>
                <c:pt idx="80">
                  <c:v>32873.042666666668</c:v>
                </c:pt>
                <c:pt idx="81">
                  <c:v>39292.099666666669</c:v>
                </c:pt>
                <c:pt idx="82">
                  <c:v>39437.420666666665</c:v>
                </c:pt>
                <c:pt idx="83">
                  <c:v>43954.515333333336</c:v>
                </c:pt>
                <c:pt idx="84">
                  <c:v>42658.010666666669</c:v>
                </c:pt>
                <c:pt idx="85">
                  <c:v>37830.173000000003</c:v>
                </c:pt>
                <c:pt idx="86">
                  <c:v>36547.195</c:v>
                </c:pt>
                <c:pt idx="87">
                  <c:v>32559.872333333333</c:v>
                </c:pt>
                <c:pt idx="88">
                  <c:v>34094.501666666671</c:v>
                </c:pt>
                <c:pt idx="89">
                  <c:v>35358.698666666671</c:v>
                </c:pt>
                <c:pt idx="90">
                  <c:v>32646.130333333334</c:v>
                </c:pt>
                <c:pt idx="91">
                  <c:v>32310.777000000002</c:v>
                </c:pt>
                <c:pt idx="92">
                  <c:v>33131.328666666668</c:v>
                </c:pt>
                <c:pt idx="93">
                  <c:v>39036.147333333334</c:v>
                </c:pt>
                <c:pt idx="94">
                  <c:v>39548.542666666668</c:v>
                </c:pt>
                <c:pt idx="95">
                  <c:v>46204.749000000003</c:v>
                </c:pt>
                <c:pt idx="96">
                  <c:v>43989.522666666664</c:v>
                </c:pt>
                <c:pt idx="97">
                  <c:v>38463.478999999999</c:v>
                </c:pt>
                <c:pt idx="98">
                  <c:v>34821.409999999996</c:v>
                </c:pt>
                <c:pt idx="99">
                  <c:v>33856.590333333334</c:v>
                </c:pt>
                <c:pt idx="100">
                  <c:v>33019.065999999999</c:v>
                </c:pt>
                <c:pt idx="101">
                  <c:v>35539.720999999998</c:v>
                </c:pt>
                <c:pt idx="102">
                  <c:v>32963.500333333337</c:v>
                </c:pt>
                <c:pt idx="103">
                  <c:v>33089.78566666667</c:v>
                </c:pt>
                <c:pt idx="104">
                  <c:v>33107.970999999998</c:v>
                </c:pt>
                <c:pt idx="105">
                  <c:v>37900.751333333334</c:v>
                </c:pt>
                <c:pt idx="106">
                  <c:v>38485.705000000002</c:v>
                </c:pt>
                <c:pt idx="107">
                  <c:v>45128.313000000002</c:v>
                </c:pt>
                <c:pt idx="108">
                  <c:v>42734.953666666668</c:v>
                </c:pt>
                <c:pt idx="109">
                  <c:v>36709.628333333334</c:v>
                </c:pt>
                <c:pt idx="110">
                  <c:v>33054.375333333337</c:v>
                </c:pt>
                <c:pt idx="111">
                  <c:v>31605.680666666667</c:v>
                </c:pt>
                <c:pt idx="112">
                  <c:v>31792.370666666666</c:v>
                </c:pt>
                <c:pt idx="113">
                  <c:v>32712.768666666667</c:v>
                </c:pt>
                <c:pt idx="114">
                  <c:v>30471.941666666666</c:v>
                </c:pt>
                <c:pt idx="115">
                  <c:v>33089.876666666671</c:v>
                </c:pt>
                <c:pt idx="116">
                  <c:v>33395.366000000002</c:v>
                </c:pt>
                <c:pt idx="117">
                  <c:v>38902.294999999998</c:v>
                </c:pt>
                <c:pt idx="118">
                  <c:v>38798.862333333331</c:v>
                </c:pt>
                <c:pt idx="119">
                  <c:v>44773.037333333334</c:v>
                </c:pt>
                <c:pt idx="120">
                  <c:v>42211.576666666668</c:v>
                </c:pt>
                <c:pt idx="121">
                  <c:v>39363.751666666671</c:v>
                </c:pt>
                <c:pt idx="122">
                  <c:v>34932.631999999998</c:v>
                </c:pt>
                <c:pt idx="123">
                  <c:v>32091.303333333333</c:v>
                </c:pt>
                <c:pt idx="124">
                  <c:v>30275.785</c:v>
                </c:pt>
                <c:pt idx="125">
                  <c:v>30705.215666666667</c:v>
                </c:pt>
                <c:pt idx="126">
                  <c:v>28331.445666666667</c:v>
                </c:pt>
                <c:pt idx="127">
                  <c:v>30945.996333333333</c:v>
                </c:pt>
                <c:pt idx="128">
                  <c:v>35086.477999999996</c:v>
                </c:pt>
                <c:pt idx="129">
                  <c:v>39748.659333333337</c:v>
                </c:pt>
                <c:pt idx="130">
                  <c:v>40855.262333333332</c:v>
                </c:pt>
                <c:pt idx="131">
                  <c:v>45229.21</c:v>
                </c:pt>
                <c:pt idx="132">
                  <c:v>42221.58866666667</c:v>
                </c:pt>
                <c:pt idx="133">
                  <c:v>35779.784333333337</c:v>
                </c:pt>
                <c:pt idx="134">
                  <c:v>34815.863666666664</c:v>
                </c:pt>
                <c:pt idx="135">
                  <c:v>33426.159333333337</c:v>
                </c:pt>
                <c:pt idx="136">
                  <c:v>33431.261333333336</c:v>
                </c:pt>
                <c:pt idx="137">
                  <c:v>35595.064333333336</c:v>
                </c:pt>
                <c:pt idx="138">
                  <c:v>34639.343000000001</c:v>
                </c:pt>
                <c:pt idx="139">
                  <c:v>35188.847000000002</c:v>
                </c:pt>
                <c:pt idx="140">
                  <c:v>34911.856666666667</c:v>
                </c:pt>
                <c:pt idx="141">
                  <c:v>39863.890333333336</c:v>
                </c:pt>
                <c:pt idx="142">
                  <c:v>40450.912000000004</c:v>
                </c:pt>
                <c:pt idx="143">
                  <c:v>46303.271666666667</c:v>
                </c:pt>
                <c:pt idx="144">
                  <c:v>44280.707333333332</c:v>
                </c:pt>
                <c:pt idx="145">
                  <c:v>37586.765666666666</c:v>
                </c:pt>
                <c:pt idx="146">
                  <c:v>33902.790333333331</c:v>
                </c:pt>
                <c:pt idx="147">
                  <c:v>33624.030333333336</c:v>
                </c:pt>
                <c:pt idx="148">
                  <c:v>34483.975666666665</c:v>
                </c:pt>
                <c:pt idx="149">
                  <c:v>33765.261666666665</c:v>
                </c:pt>
                <c:pt idx="150">
                  <c:v>31445.015333333333</c:v>
                </c:pt>
                <c:pt idx="151">
                  <c:v>31120.744999999999</c:v>
                </c:pt>
                <c:pt idx="152">
                  <c:v>33222.808666666671</c:v>
                </c:pt>
                <c:pt idx="153">
                  <c:v>38127.557000000001</c:v>
                </c:pt>
                <c:pt idx="154">
                  <c:v>38398.828000000001</c:v>
                </c:pt>
                <c:pt idx="155">
                  <c:v>42764.252</c:v>
                </c:pt>
                <c:pt idx="156">
                  <c:v>40064.544333333331</c:v>
                </c:pt>
                <c:pt idx="157">
                  <c:v>33415.682666666668</c:v>
                </c:pt>
                <c:pt idx="158">
                  <c:v>32928.666000000005</c:v>
                </c:pt>
                <c:pt idx="159">
                  <c:v>30601.085999999999</c:v>
                </c:pt>
                <c:pt idx="160">
                  <c:v>30105.496999999999</c:v>
                </c:pt>
                <c:pt idx="161">
                  <c:v>30818.670666666669</c:v>
                </c:pt>
                <c:pt idx="162">
                  <c:v>28934.493333333332</c:v>
                </c:pt>
                <c:pt idx="163">
                  <c:v>31879.467333333334</c:v>
                </c:pt>
                <c:pt idx="164">
                  <c:v>32848.328333333331</c:v>
                </c:pt>
                <c:pt idx="165">
                  <c:v>38115.941666666666</c:v>
                </c:pt>
                <c:pt idx="166">
                  <c:v>39117.131666666668</c:v>
                </c:pt>
                <c:pt idx="167">
                  <c:v>45519.292666666668</c:v>
                </c:pt>
                <c:pt idx="168">
                  <c:v>43714.927666666663</c:v>
                </c:pt>
                <c:pt idx="169">
                  <c:v>38261.422333333336</c:v>
                </c:pt>
                <c:pt idx="170">
                  <c:v>36020.615666666665</c:v>
                </c:pt>
                <c:pt idx="171">
                  <c:v>33208.999000000003</c:v>
                </c:pt>
                <c:pt idx="172">
                  <c:v>34153.613333333335</c:v>
                </c:pt>
                <c:pt idx="173">
                  <c:v>33945.684666666668</c:v>
                </c:pt>
                <c:pt idx="174">
                  <c:v>30470.123000000003</c:v>
                </c:pt>
                <c:pt idx="175">
                  <c:v>34002.071000000004</c:v>
                </c:pt>
                <c:pt idx="176">
                  <c:v>36364.111666666671</c:v>
                </c:pt>
                <c:pt idx="177">
                  <c:v>39427.288333333338</c:v>
                </c:pt>
                <c:pt idx="178">
                  <c:v>41123.553</c:v>
                </c:pt>
                <c:pt idx="179">
                  <c:v>43307.784</c:v>
                </c:pt>
                <c:pt idx="180">
                  <c:v>42308.614333333331</c:v>
                </c:pt>
                <c:pt idx="181">
                  <c:v>38033.098666666665</c:v>
                </c:pt>
                <c:pt idx="182">
                  <c:v>39095.915666666668</c:v>
                </c:pt>
                <c:pt idx="183">
                  <c:v>35406.363666666664</c:v>
                </c:pt>
                <c:pt idx="184">
                  <c:v>34734.525999999998</c:v>
                </c:pt>
                <c:pt idx="185">
                  <c:v>33888.919333333331</c:v>
                </c:pt>
                <c:pt idx="186">
                  <c:v>32841.256333333331</c:v>
                </c:pt>
                <c:pt idx="187">
                  <c:v>33854.56966666667</c:v>
                </c:pt>
                <c:pt idx="188">
                  <c:v>33777.788333333338</c:v>
                </c:pt>
                <c:pt idx="189">
                  <c:v>38930.229333333329</c:v>
                </c:pt>
                <c:pt idx="190">
                  <c:v>38236.165333333331</c:v>
                </c:pt>
                <c:pt idx="191">
                  <c:v>43245.14633333333</c:v>
                </c:pt>
                <c:pt idx="192">
                  <c:v>42741.015333333336</c:v>
                </c:pt>
                <c:pt idx="193">
                  <c:v>39459.617666666665</c:v>
                </c:pt>
                <c:pt idx="194">
                  <c:v>37893.679666666671</c:v>
                </c:pt>
                <c:pt idx="195">
                  <c:v>35935.752</c:v>
                </c:pt>
                <c:pt idx="196">
                  <c:v>34856.769999999997</c:v>
                </c:pt>
                <c:pt idx="197">
                  <c:v>35053.775000000001</c:v>
                </c:pt>
                <c:pt idx="198">
                  <c:v>34919.407666666666</c:v>
                </c:pt>
                <c:pt idx="199">
                  <c:v>36075.171000000002</c:v>
                </c:pt>
                <c:pt idx="200">
                  <c:v>38062.396666666667</c:v>
                </c:pt>
                <c:pt idx="201">
                  <c:v>37471.381333333331</c:v>
                </c:pt>
                <c:pt idx="202">
                  <c:v>37138.998333333329</c:v>
                </c:pt>
                <c:pt idx="203">
                  <c:v>45193.981666666667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1-4B42-A009-51010E91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908240"/>
        <c:axId val="1298905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Production!$A$1:$A$204</c15:sqref>
                        </c15:formulaRef>
                      </c:ext>
                    </c:extLst>
                    <c:strCache>
                      <c:ptCount val="204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Production!$A$205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EAA-4128-B5CF-A63C6CD436D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Production!$B$1</c15:sqref>
                        </c15:formulaRef>
                      </c:ext>
                    </c:extLst>
                    <c:strCache>
                      <c:ptCount val="1"/>
                      <c:pt idx="0">
                        <c:v>Hydraulique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Production!$B$2:$B$204</c15:sqref>
                        </c15:formulaRef>
                      </c:ext>
                    </c:extLst>
                    <c:numCache>
                      <c:formatCode>General</c:formatCode>
                      <c:ptCount val="203"/>
                      <c:pt idx="0">
                        <c:v>5234.5219999999999</c:v>
                      </c:pt>
                      <c:pt idx="1">
                        <c:v>3949.0450000000001</c:v>
                      </c:pt>
                      <c:pt idx="2">
                        <c:v>3152.902</c:v>
                      </c:pt>
                      <c:pt idx="3">
                        <c:v>2541.154</c:v>
                      </c:pt>
                      <c:pt idx="4">
                        <c:v>2778.7089999999998</c:v>
                      </c:pt>
                      <c:pt idx="5">
                        <c:v>3588.9290000000001</c:v>
                      </c:pt>
                      <c:pt idx="6">
                        <c:v>4157.1779999999999</c:v>
                      </c:pt>
                      <c:pt idx="7">
                        <c:v>5157.2550000000001</c:v>
                      </c:pt>
                      <c:pt idx="8">
                        <c:v>5231.0889999999999</c:v>
                      </c:pt>
                      <c:pt idx="9">
                        <c:v>4712.4319999999998</c:v>
                      </c:pt>
                      <c:pt idx="10">
                        <c:v>4511.357</c:v>
                      </c:pt>
                      <c:pt idx="11">
                        <c:v>6075.32</c:v>
                      </c:pt>
                      <c:pt idx="12">
                        <c:v>5461.2179999999998</c:v>
                      </c:pt>
                      <c:pt idx="13">
                        <c:v>4141.7160000000003</c:v>
                      </c:pt>
                      <c:pt idx="14">
                        <c:v>3162.1219999999998</c:v>
                      </c:pt>
                      <c:pt idx="15">
                        <c:v>3538.607</c:v>
                      </c:pt>
                      <c:pt idx="16">
                        <c:v>4522.3289999999997</c:v>
                      </c:pt>
                      <c:pt idx="17">
                        <c:v>5773.3670000000002</c:v>
                      </c:pt>
                      <c:pt idx="18">
                        <c:v>6375.2939999999999</c:v>
                      </c:pt>
                      <c:pt idx="19">
                        <c:v>6436.8209999999999</c:v>
                      </c:pt>
                      <c:pt idx="20">
                        <c:v>4170.2759999999998</c:v>
                      </c:pt>
                      <c:pt idx="21">
                        <c:v>6089.1260000000002</c:v>
                      </c:pt>
                      <c:pt idx="22">
                        <c:v>7057.5519999999997</c:v>
                      </c:pt>
                      <c:pt idx="23">
                        <c:v>7493.7039999999997</c:v>
                      </c:pt>
                      <c:pt idx="24">
                        <c:v>5860.8119999999999</c:v>
                      </c:pt>
                      <c:pt idx="25">
                        <c:v>4622.3190000000004</c:v>
                      </c:pt>
                      <c:pt idx="26">
                        <c:v>5275.9639999999999</c:v>
                      </c:pt>
                      <c:pt idx="27">
                        <c:v>3466.232</c:v>
                      </c:pt>
                      <c:pt idx="28">
                        <c:v>3795.92</c:v>
                      </c:pt>
                      <c:pt idx="29">
                        <c:v>4741.8670000000002</c:v>
                      </c:pt>
                      <c:pt idx="30">
                        <c:v>6527.5039999999999</c:v>
                      </c:pt>
                      <c:pt idx="31">
                        <c:v>6858.0069999999996</c:v>
                      </c:pt>
                      <c:pt idx="32">
                        <c:v>5225.5060000000003</c:v>
                      </c:pt>
                      <c:pt idx="33">
                        <c:v>7508.6210000000001</c:v>
                      </c:pt>
                      <c:pt idx="34">
                        <c:v>6432.0010000000002</c:v>
                      </c:pt>
                      <c:pt idx="35">
                        <c:v>6472.11</c:v>
                      </c:pt>
                      <c:pt idx="36">
                        <c:v>8052.2190000000001</c:v>
                      </c:pt>
                      <c:pt idx="37">
                        <c:v>6644.6210000000001</c:v>
                      </c:pt>
                      <c:pt idx="38">
                        <c:v>3922.9119999999998</c:v>
                      </c:pt>
                      <c:pt idx="39">
                        <c:v>2693.82</c:v>
                      </c:pt>
                      <c:pt idx="40">
                        <c:v>3881.36</c:v>
                      </c:pt>
                      <c:pt idx="41">
                        <c:v>4553.2640000000001</c:v>
                      </c:pt>
                      <c:pt idx="42">
                        <c:v>5919.2640000000001</c:v>
                      </c:pt>
                      <c:pt idx="43">
                        <c:v>5696.6049999999996</c:v>
                      </c:pt>
                      <c:pt idx="44">
                        <c:v>4622.4970000000003</c:v>
                      </c:pt>
                      <c:pt idx="45">
                        <c:v>5309.3620000000001</c:v>
                      </c:pt>
                      <c:pt idx="46">
                        <c:v>5202.4660000000003</c:v>
                      </c:pt>
                      <c:pt idx="47">
                        <c:v>5146.7420000000002</c:v>
                      </c:pt>
                      <c:pt idx="48">
                        <c:v>5311.143</c:v>
                      </c:pt>
                      <c:pt idx="49">
                        <c:v>4123.8059999999996</c:v>
                      </c:pt>
                      <c:pt idx="50">
                        <c:v>3074.4259999999999</c:v>
                      </c:pt>
                      <c:pt idx="51">
                        <c:v>3175.1019999999999</c:v>
                      </c:pt>
                      <c:pt idx="52">
                        <c:v>4064.8449999999998</c:v>
                      </c:pt>
                      <c:pt idx="53">
                        <c:v>5465.7420000000002</c:v>
                      </c:pt>
                      <c:pt idx="54">
                        <c:v>7803.665</c:v>
                      </c:pt>
                      <c:pt idx="55">
                        <c:v>7938.8519999999999</c:v>
                      </c:pt>
                      <c:pt idx="56">
                        <c:v>7162.3819999999996</c:v>
                      </c:pt>
                      <c:pt idx="57">
                        <c:v>7323.9870000000001</c:v>
                      </c:pt>
                      <c:pt idx="58">
                        <c:v>7367.1890000000003</c:v>
                      </c:pt>
                      <c:pt idx="59">
                        <c:v>7523.848</c:v>
                      </c:pt>
                      <c:pt idx="60">
                        <c:v>5344.4610000000002</c:v>
                      </c:pt>
                      <c:pt idx="61">
                        <c:v>3930.395</c:v>
                      </c:pt>
                      <c:pt idx="62">
                        <c:v>2732.8150000000001</c:v>
                      </c:pt>
                      <c:pt idx="63">
                        <c:v>3098.5259999999998</c:v>
                      </c:pt>
                      <c:pt idx="64">
                        <c:v>3531.8139999999999</c:v>
                      </c:pt>
                      <c:pt idx="65">
                        <c:v>3939.3409999999999</c:v>
                      </c:pt>
                      <c:pt idx="66">
                        <c:v>5157.8940000000002</c:v>
                      </c:pt>
                      <c:pt idx="67">
                        <c:v>5757.9650000000001</c:v>
                      </c:pt>
                      <c:pt idx="68">
                        <c:v>4239.9049999999997</c:v>
                      </c:pt>
                      <c:pt idx="69">
                        <c:v>6308.38</c:v>
                      </c:pt>
                      <c:pt idx="70">
                        <c:v>4583.5389999999998</c:v>
                      </c:pt>
                      <c:pt idx="71">
                        <c:v>5286.67</c:v>
                      </c:pt>
                      <c:pt idx="72">
                        <c:v>4597.3379999999997</c:v>
                      </c:pt>
                      <c:pt idx="73">
                        <c:v>4228.7659999999996</c:v>
                      </c:pt>
                      <c:pt idx="74">
                        <c:v>3081.4839999999999</c:v>
                      </c:pt>
                      <c:pt idx="75">
                        <c:v>3403.33</c:v>
                      </c:pt>
                      <c:pt idx="76">
                        <c:v>3918.2109999999998</c:v>
                      </c:pt>
                      <c:pt idx="77">
                        <c:v>5356.7070000000003</c:v>
                      </c:pt>
                      <c:pt idx="78">
                        <c:v>7231.335</c:v>
                      </c:pt>
                      <c:pt idx="79">
                        <c:v>6570.1490000000003</c:v>
                      </c:pt>
                      <c:pt idx="80">
                        <c:v>6538.2520000000004</c:v>
                      </c:pt>
                      <c:pt idx="81">
                        <c:v>6684.6540000000005</c:v>
                      </c:pt>
                      <c:pt idx="82">
                        <c:v>7016.7479999999996</c:v>
                      </c:pt>
                      <c:pt idx="83">
                        <c:v>5731.9610000000002</c:v>
                      </c:pt>
                      <c:pt idx="84">
                        <c:v>3688.393</c:v>
                      </c:pt>
                      <c:pt idx="85">
                        <c:v>3557.6280000000002</c:v>
                      </c:pt>
                      <c:pt idx="86">
                        <c:v>3893.2840000000001</c:v>
                      </c:pt>
                      <c:pt idx="87">
                        <c:v>3442.721</c:v>
                      </c:pt>
                      <c:pt idx="88">
                        <c:v>3458.6060000000002</c:v>
                      </c:pt>
                      <c:pt idx="89">
                        <c:v>4092.741</c:v>
                      </c:pt>
                      <c:pt idx="90">
                        <c:v>5693.893</c:v>
                      </c:pt>
                      <c:pt idx="91">
                        <c:v>6515.7860000000001</c:v>
                      </c:pt>
                      <c:pt idx="92">
                        <c:v>5809.6239999999998</c:v>
                      </c:pt>
                      <c:pt idx="93">
                        <c:v>6525.1080000000002</c:v>
                      </c:pt>
                      <c:pt idx="94">
                        <c:v>6423.1750000000002</c:v>
                      </c:pt>
                      <c:pt idx="95">
                        <c:v>6236.8440000000001</c:v>
                      </c:pt>
                      <c:pt idx="96">
                        <c:v>5745.2969999999996</c:v>
                      </c:pt>
                      <c:pt idx="97">
                        <c:v>4897.2709999999997</c:v>
                      </c:pt>
                      <c:pt idx="98">
                        <c:v>3783.4229999999998</c:v>
                      </c:pt>
                      <c:pt idx="99">
                        <c:v>3786.2370000000001</c:v>
                      </c:pt>
                      <c:pt idx="100">
                        <c:v>5334.1189999999997</c:v>
                      </c:pt>
                      <c:pt idx="101">
                        <c:v>6232.79</c:v>
                      </c:pt>
                      <c:pt idx="102">
                        <c:v>5111.2259999999997</c:v>
                      </c:pt>
                      <c:pt idx="103">
                        <c:v>6221.3680000000004</c:v>
                      </c:pt>
                      <c:pt idx="104">
                        <c:v>5905.107</c:v>
                      </c:pt>
                      <c:pt idx="105">
                        <c:v>7065.4380000000001</c:v>
                      </c:pt>
                      <c:pt idx="106">
                        <c:v>7112.3649999999998</c:v>
                      </c:pt>
                      <c:pt idx="107">
                        <c:v>7053.0829999999996</c:v>
                      </c:pt>
                      <c:pt idx="108">
                        <c:v>5711.1809999999996</c:v>
                      </c:pt>
                      <c:pt idx="109">
                        <c:v>6321.4960000000001</c:v>
                      </c:pt>
                      <c:pt idx="110">
                        <c:v>4825.201</c:v>
                      </c:pt>
                      <c:pt idx="111">
                        <c:v>4108.625</c:v>
                      </c:pt>
                      <c:pt idx="112">
                        <c:v>4547.1019999999999</c:v>
                      </c:pt>
                      <c:pt idx="113">
                        <c:v>6406.0119999999997</c:v>
                      </c:pt>
                      <c:pt idx="114">
                        <c:v>7377.3339999999998</c:v>
                      </c:pt>
                      <c:pt idx="115">
                        <c:v>8578.86</c:v>
                      </c:pt>
                      <c:pt idx="116">
                        <c:v>7247.3760000000002</c:v>
                      </c:pt>
                      <c:pt idx="117">
                        <c:v>6473.4430000000002</c:v>
                      </c:pt>
                      <c:pt idx="118">
                        <c:v>6870.56</c:v>
                      </c:pt>
                      <c:pt idx="119">
                        <c:v>6890.277</c:v>
                      </c:pt>
                      <c:pt idx="120">
                        <c:v>6482.4570000000003</c:v>
                      </c:pt>
                      <c:pt idx="121">
                        <c:v>4831.3239999999996</c:v>
                      </c:pt>
                      <c:pt idx="122">
                        <c:v>4484.3180000000002</c:v>
                      </c:pt>
                      <c:pt idx="123">
                        <c:v>3663.7939999999999</c:v>
                      </c:pt>
                      <c:pt idx="124">
                        <c:v>3616.866</c:v>
                      </c:pt>
                      <c:pt idx="125">
                        <c:v>5001.7089999999998</c:v>
                      </c:pt>
                      <c:pt idx="126">
                        <c:v>6966.5649999999996</c:v>
                      </c:pt>
                      <c:pt idx="127">
                        <c:v>7847.8389999999999</c:v>
                      </c:pt>
                      <c:pt idx="128">
                        <c:v>5470.6970000000001</c:v>
                      </c:pt>
                      <c:pt idx="129">
                        <c:v>4001.2820000000002</c:v>
                      </c:pt>
                      <c:pt idx="130">
                        <c:v>5250.7929999999997</c:v>
                      </c:pt>
                      <c:pt idx="131">
                        <c:v>6833.2470000000003</c:v>
                      </c:pt>
                      <c:pt idx="132">
                        <c:v>5747.0370000000003</c:v>
                      </c:pt>
                      <c:pt idx="133">
                        <c:v>3958.5320000000002</c:v>
                      </c:pt>
                      <c:pt idx="134">
                        <c:v>3280.9810000000002</c:v>
                      </c:pt>
                      <c:pt idx="135">
                        <c:v>3238.1390000000001</c:v>
                      </c:pt>
                      <c:pt idx="136">
                        <c:v>3911.1570000000002</c:v>
                      </c:pt>
                      <c:pt idx="137">
                        <c:v>4260.8220000000001</c:v>
                      </c:pt>
                      <c:pt idx="138">
                        <c:v>4381.6819999999998</c:v>
                      </c:pt>
                      <c:pt idx="139">
                        <c:v>3481.64</c:v>
                      </c:pt>
                      <c:pt idx="140">
                        <c:v>4130.2529999999997</c:v>
                      </c:pt>
                      <c:pt idx="141">
                        <c:v>4525.6390000000001</c:v>
                      </c:pt>
                      <c:pt idx="142">
                        <c:v>4119.8950000000004</c:v>
                      </c:pt>
                      <c:pt idx="143">
                        <c:v>6048.9170000000004</c:v>
                      </c:pt>
                      <c:pt idx="144">
                        <c:v>7063.89</c:v>
                      </c:pt>
                      <c:pt idx="145">
                        <c:v>5519.942</c:v>
                      </c:pt>
                      <c:pt idx="146">
                        <c:v>4048.88</c:v>
                      </c:pt>
                      <c:pt idx="147">
                        <c:v>3608.2190000000001</c:v>
                      </c:pt>
                      <c:pt idx="148">
                        <c:v>4402.6949999999997</c:v>
                      </c:pt>
                      <c:pt idx="149">
                        <c:v>5512.0140000000001</c:v>
                      </c:pt>
                      <c:pt idx="150">
                        <c:v>7408.098</c:v>
                      </c:pt>
                      <c:pt idx="151">
                        <c:v>6574.8609999999999</c:v>
                      </c:pt>
                      <c:pt idx="152">
                        <c:v>5834.1909999999998</c:v>
                      </c:pt>
                      <c:pt idx="153">
                        <c:v>6310.65</c:v>
                      </c:pt>
                      <c:pt idx="154">
                        <c:v>5903.5450000000001</c:v>
                      </c:pt>
                      <c:pt idx="155">
                        <c:v>6371.7070000000003</c:v>
                      </c:pt>
                      <c:pt idx="156">
                        <c:v>5323.0720000000001</c:v>
                      </c:pt>
                      <c:pt idx="157">
                        <c:v>3794.3229999999999</c:v>
                      </c:pt>
                      <c:pt idx="158">
                        <c:v>3081.9050000000002</c:v>
                      </c:pt>
                      <c:pt idx="159">
                        <c:v>2994.8670000000002</c:v>
                      </c:pt>
                      <c:pt idx="160">
                        <c:v>3912.0050000000001</c:v>
                      </c:pt>
                      <c:pt idx="161">
                        <c:v>4966.2039999999997</c:v>
                      </c:pt>
                      <c:pt idx="162">
                        <c:v>6444.1639999999998</c:v>
                      </c:pt>
                      <c:pt idx="163">
                        <c:v>7209.6679999999997</c:v>
                      </c:pt>
                      <c:pt idx="164">
                        <c:v>6743.0590000000002</c:v>
                      </c:pt>
                      <c:pt idx="165">
                        <c:v>6315.0720000000001</c:v>
                      </c:pt>
                      <c:pt idx="166">
                        <c:v>5808.3990000000003</c:v>
                      </c:pt>
                      <c:pt idx="167">
                        <c:v>6149.1930000000002</c:v>
                      </c:pt>
                      <c:pt idx="168">
                        <c:v>5663.6390000000001</c:v>
                      </c:pt>
                      <c:pt idx="169">
                        <c:v>5125.82</c:v>
                      </c:pt>
                      <c:pt idx="170">
                        <c:v>3806.3789999999999</c:v>
                      </c:pt>
                      <c:pt idx="171">
                        <c:v>4879.2929999999997</c:v>
                      </c:pt>
                      <c:pt idx="172">
                        <c:v>4329.0839999999998</c:v>
                      </c:pt>
                      <c:pt idx="173">
                        <c:v>6108.0659999999998</c:v>
                      </c:pt>
                      <c:pt idx="174">
                        <c:v>8493.0329999999994</c:v>
                      </c:pt>
                      <c:pt idx="175">
                        <c:v>7354.5550000000003</c:v>
                      </c:pt>
                      <c:pt idx="176">
                        <c:v>7152.1859999999997</c:v>
                      </c:pt>
                      <c:pt idx="177">
                        <c:v>5672.8850000000002</c:v>
                      </c:pt>
                      <c:pt idx="178">
                        <c:v>4503.8220000000001</c:v>
                      </c:pt>
                      <c:pt idx="179">
                        <c:v>6132.5609999999997</c:v>
                      </c:pt>
                      <c:pt idx="180">
                        <c:v>4679.2860000000001</c:v>
                      </c:pt>
                      <c:pt idx="181">
                        <c:v>3377.328</c:v>
                      </c:pt>
                      <c:pt idx="182">
                        <c:v>3951.9259999999999</c:v>
                      </c:pt>
                      <c:pt idx="183">
                        <c:v>4020.884</c:v>
                      </c:pt>
                      <c:pt idx="184">
                        <c:v>5118.4859999999999</c:v>
                      </c:pt>
                      <c:pt idx="185">
                        <c:v>6222.0050000000001</c:v>
                      </c:pt>
                      <c:pt idx="186">
                        <c:v>7360.8010000000004</c:v>
                      </c:pt>
                      <c:pt idx="187">
                        <c:v>6202.8680000000004</c:v>
                      </c:pt>
                      <c:pt idx="188">
                        <c:v>5461.009</c:v>
                      </c:pt>
                      <c:pt idx="189">
                        <c:v>6929.66</c:v>
                      </c:pt>
                      <c:pt idx="190">
                        <c:v>5648.3010000000004</c:v>
                      </c:pt>
                      <c:pt idx="191">
                        <c:v>5470.1859999999997</c:v>
                      </c:pt>
                      <c:pt idx="192">
                        <c:v>5251.799</c:v>
                      </c:pt>
                      <c:pt idx="193">
                        <c:v>4243.0550000000003</c:v>
                      </c:pt>
                      <c:pt idx="194">
                        <c:v>5097.1090000000004</c:v>
                      </c:pt>
                      <c:pt idx="195">
                        <c:v>4391.0140000000001</c:v>
                      </c:pt>
                      <c:pt idx="196">
                        <c:v>4042.5709999999999</c:v>
                      </c:pt>
                      <c:pt idx="197">
                        <c:v>4465.018</c:v>
                      </c:pt>
                      <c:pt idx="198">
                        <c:v>5200.8220000000001</c:v>
                      </c:pt>
                      <c:pt idx="199">
                        <c:v>6901.652</c:v>
                      </c:pt>
                      <c:pt idx="200">
                        <c:v>7165.018</c:v>
                      </c:pt>
                      <c:pt idx="201">
                        <c:v>6711.8509999999997</c:v>
                      </c:pt>
                      <c:pt idx="202">
                        <c:v>4666.9440000000004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EAA-4128-B5CF-A63C6CD436D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Production!$C$1</c15:sqref>
                        </c15:formulaRef>
                      </c:ext>
                    </c:extLst>
                    <c:strCache>
                      <c:ptCount val="1"/>
                      <c:pt idx="0">
                        <c:v>Éolien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Production!$C$2:$C$205</c15:sqref>
                        </c15:formulaRef>
                      </c:ext>
                    </c:extLst>
                    <c:numCache>
                      <c:formatCode>General</c:formatCode>
                      <c:ptCount val="204"/>
                      <c:pt idx="0">
                        <c:v>4364.634</c:v>
                      </c:pt>
                      <c:pt idx="1">
                        <c:v>4626.7579999999998</c:v>
                      </c:pt>
                      <c:pt idx="2">
                        <c:v>3432.3760000000002</c:v>
                      </c:pt>
                      <c:pt idx="3">
                        <c:v>2293.837</c:v>
                      </c:pt>
                      <c:pt idx="4">
                        <c:v>2077.6019999999999</c:v>
                      </c:pt>
                      <c:pt idx="5">
                        <c:v>1885.33</c:v>
                      </c:pt>
                      <c:pt idx="6">
                        <c:v>1849.9390000000001</c:v>
                      </c:pt>
                      <c:pt idx="7">
                        <c:v>2076.2759999999998</c:v>
                      </c:pt>
                      <c:pt idx="8">
                        <c:v>3560.29</c:v>
                      </c:pt>
                      <c:pt idx="9">
                        <c:v>3461.02</c:v>
                      </c:pt>
                      <c:pt idx="10">
                        <c:v>5265.7830000000004</c:v>
                      </c:pt>
                      <c:pt idx="11">
                        <c:v>3144.953</c:v>
                      </c:pt>
                      <c:pt idx="12">
                        <c:v>4331.1279999999997</c:v>
                      </c:pt>
                      <c:pt idx="13">
                        <c:v>2710.3870000000002</c:v>
                      </c:pt>
                      <c:pt idx="14">
                        <c:v>3489.4850000000001</c:v>
                      </c:pt>
                      <c:pt idx="15">
                        <c:v>1657.3920000000001</c:v>
                      </c:pt>
                      <c:pt idx="16">
                        <c:v>2225.5639999999999</c:v>
                      </c:pt>
                      <c:pt idx="17">
                        <c:v>2315.1030000000001</c:v>
                      </c:pt>
                      <c:pt idx="18">
                        <c:v>1359.5050000000001</c:v>
                      </c:pt>
                      <c:pt idx="19">
                        <c:v>3964.355</c:v>
                      </c:pt>
                      <c:pt idx="20">
                        <c:v>2949.2350000000001</c:v>
                      </c:pt>
                      <c:pt idx="21">
                        <c:v>3714.4169999999999</c:v>
                      </c:pt>
                      <c:pt idx="22">
                        <c:v>4253.7150000000001</c:v>
                      </c:pt>
                      <c:pt idx="23">
                        <c:v>3960.9740000000002</c:v>
                      </c:pt>
                      <c:pt idx="24">
                        <c:v>4383.9110000000001</c:v>
                      </c:pt>
                      <c:pt idx="25">
                        <c:v>3154.7910000000002</c:v>
                      </c:pt>
                      <c:pt idx="26">
                        <c:v>4320.308</c:v>
                      </c:pt>
                      <c:pt idx="27">
                        <c:v>2145.0859999999998</c:v>
                      </c:pt>
                      <c:pt idx="28">
                        <c:v>2047.002</c:v>
                      </c:pt>
                      <c:pt idx="29">
                        <c:v>2105.002</c:v>
                      </c:pt>
                      <c:pt idx="30">
                        <c:v>2051.3090000000002</c:v>
                      </c:pt>
                      <c:pt idx="31">
                        <c:v>2662.7860000000001</c:v>
                      </c:pt>
                      <c:pt idx="32">
                        <c:v>2282.0309999999999</c:v>
                      </c:pt>
                      <c:pt idx="33">
                        <c:v>4498.8249999999998</c:v>
                      </c:pt>
                      <c:pt idx="34">
                        <c:v>5907.95</c:v>
                      </c:pt>
                      <c:pt idx="35">
                        <c:v>4174.9229999999998</c:v>
                      </c:pt>
                      <c:pt idx="36">
                        <c:v>4715.0079999999998</c:v>
                      </c:pt>
                      <c:pt idx="37">
                        <c:v>3416.78</c:v>
                      </c:pt>
                      <c:pt idx="38">
                        <c:v>3429.0990000000002</c:v>
                      </c:pt>
                      <c:pt idx="39">
                        <c:v>2696.32</c:v>
                      </c:pt>
                      <c:pt idx="40">
                        <c:v>1662.521</c:v>
                      </c:pt>
                      <c:pt idx="41">
                        <c:v>1758.16</c:v>
                      </c:pt>
                      <c:pt idx="42">
                        <c:v>1907.3320000000001</c:v>
                      </c:pt>
                      <c:pt idx="43">
                        <c:v>2266.7759999999998</c:v>
                      </c:pt>
                      <c:pt idx="44">
                        <c:v>2358.3310000000001</c:v>
                      </c:pt>
                      <c:pt idx="45">
                        <c:v>4506.8090000000002</c:v>
                      </c:pt>
                      <c:pt idx="46">
                        <c:v>2627.5070000000001</c:v>
                      </c:pt>
                      <c:pt idx="47">
                        <c:v>2968.8679999999999</c:v>
                      </c:pt>
                      <c:pt idx="48">
                        <c:v>3613.4520000000002</c:v>
                      </c:pt>
                      <c:pt idx="49">
                        <c:v>2796.145</c:v>
                      </c:pt>
                      <c:pt idx="50">
                        <c:v>2449.6019999999999</c:v>
                      </c:pt>
                      <c:pt idx="51">
                        <c:v>1585.212</c:v>
                      </c:pt>
                      <c:pt idx="52">
                        <c:v>1402.538</c:v>
                      </c:pt>
                      <c:pt idx="53">
                        <c:v>1085.7349999999999</c:v>
                      </c:pt>
                      <c:pt idx="54">
                        <c:v>1373.5129999999999</c:v>
                      </c:pt>
                      <c:pt idx="55">
                        <c:v>1605.95</c:v>
                      </c:pt>
                      <c:pt idx="56">
                        <c:v>2160.3820000000001</c:v>
                      </c:pt>
                      <c:pt idx="57">
                        <c:v>3093.6089999999999</c:v>
                      </c:pt>
                      <c:pt idx="58">
                        <c:v>2732.924</c:v>
                      </c:pt>
                      <c:pt idx="59">
                        <c:v>3976.68</c:v>
                      </c:pt>
                      <c:pt idx="60">
                        <c:v>3084.3389999999999</c:v>
                      </c:pt>
                      <c:pt idx="61">
                        <c:v>2172.6849999999999</c:v>
                      </c:pt>
                      <c:pt idx="62">
                        <c:v>1972.7170000000001</c:v>
                      </c:pt>
                      <c:pt idx="63">
                        <c:v>1557.9680000000001</c:v>
                      </c:pt>
                      <c:pt idx="64">
                        <c:v>1170.4100000000001</c:v>
                      </c:pt>
                      <c:pt idx="65">
                        <c:v>1619.1030000000001</c:v>
                      </c:pt>
                      <c:pt idx="66">
                        <c:v>1396.048</c:v>
                      </c:pt>
                      <c:pt idx="67">
                        <c:v>1400.7619999999999</c:v>
                      </c:pt>
                      <c:pt idx="68">
                        <c:v>1378.93</c:v>
                      </c:pt>
                      <c:pt idx="69">
                        <c:v>2514.855</c:v>
                      </c:pt>
                      <c:pt idx="70">
                        <c:v>2422.1579999999999</c:v>
                      </c:pt>
                      <c:pt idx="71">
                        <c:v>1909.1420000000001</c:v>
                      </c:pt>
                      <c:pt idx="72">
                        <c:v>1388.663</c:v>
                      </c:pt>
                      <c:pt idx="73">
                        <c:v>2188.5010000000002</c:v>
                      </c:pt>
                      <c:pt idx="74">
                        <c:v>1340.8520000000001</c:v>
                      </c:pt>
                      <c:pt idx="75">
                        <c:v>953.06299999999999</c:v>
                      </c:pt>
                      <c:pt idx="76">
                        <c:v>1134.4459999999999</c:v>
                      </c:pt>
                      <c:pt idx="77">
                        <c:v>974.32899999999995</c:v>
                      </c:pt>
                      <c:pt idx="78">
                        <c:v>1025.0239999999999</c:v>
                      </c:pt>
                      <c:pt idx="79">
                        <c:v>1480.6489999999999</c:v>
                      </c:pt>
                      <c:pt idx="80">
                        <c:v>1603.6369999999999</c:v>
                      </c:pt>
                      <c:pt idx="81">
                        <c:v>2334.085</c:v>
                      </c:pt>
                      <c:pt idx="82">
                        <c:v>2748.6129999999998</c:v>
                      </c:pt>
                      <c:pt idx="83">
                        <c:v>2716.194</c:v>
                      </c:pt>
                      <c:pt idx="84">
                        <c:v>2527.0549999999998</c:v>
                      </c:pt>
                      <c:pt idx="85">
                        <c:v>2433.6120000000001</c:v>
                      </c:pt>
                      <c:pt idx="86">
                        <c:v>1218.133</c:v>
                      </c:pt>
                      <c:pt idx="87">
                        <c:v>1585.6030000000001</c:v>
                      </c:pt>
                      <c:pt idx="88">
                        <c:v>1076.5160000000001</c:v>
                      </c:pt>
                      <c:pt idx="89">
                        <c:v>1338.682</c:v>
                      </c:pt>
                      <c:pt idx="90">
                        <c:v>1199.77</c:v>
                      </c:pt>
                      <c:pt idx="91">
                        <c:v>1519.049</c:v>
                      </c:pt>
                      <c:pt idx="92">
                        <c:v>1378.05</c:v>
                      </c:pt>
                      <c:pt idx="93">
                        <c:v>1908.979</c:v>
                      </c:pt>
                      <c:pt idx="94">
                        <c:v>1808.5309999999999</c:v>
                      </c:pt>
                      <c:pt idx="95">
                        <c:v>2176.4430000000002</c:v>
                      </c:pt>
                      <c:pt idx="96">
                        <c:v>1958.883</c:v>
                      </c:pt>
                      <c:pt idx="97">
                        <c:v>1411.79</c:v>
                      </c:pt>
                      <c:pt idx="98">
                        <c:v>1209.845</c:v>
                      </c:pt>
                      <c:pt idx="99">
                        <c:v>678.46400000000006</c:v>
                      </c:pt>
                      <c:pt idx="100">
                        <c:v>933.67</c:v>
                      </c:pt>
                      <c:pt idx="101">
                        <c:v>910.97799999999995</c:v>
                      </c:pt>
                      <c:pt idx="102">
                        <c:v>902.47500000000002</c:v>
                      </c:pt>
                      <c:pt idx="103">
                        <c:v>1461.836</c:v>
                      </c:pt>
                      <c:pt idx="104">
                        <c:v>1006.282</c:v>
                      </c:pt>
                      <c:pt idx="105">
                        <c:v>1239.57</c:v>
                      </c:pt>
                      <c:pt idx="106">
                        <c:v>2357.192</c:v>
                      </c:pt>
                      <c:pt idx="107">
                        <c:v>2100.3339999999998</c:v>
                      </c:pt>
                      <c:pt idx="108">
                        <c:v>1916.751</c:v>
                      </c:pt>
                      <c:pt idx="109">
                        <c:v>1714.499</c:v>
                      </c:pt>
                      <c:pt idx="110">
                        <c:v>1543.6659999999999</c:v>
                      </c:pt>
                      <c:pt idx="111">
                        <c:v>899.81600000000003</c:v>
                      </c:pt>
                      <c:pt idx="112">
                        <c:v>705.577</c:v>
                      </c:pt>
                      <c:pt idx="113">
                        <c:v>829.66200000000003</c:v>
                      </c:pt>
                      <c:pt idx="114">
                        <c:v>1112.4179999999999</c:v>
                      </c:pt>
                      <c:pt idx="115">
                        <c:v>1112.6320000000001</c:v>
                      </c:pt>
                      <c:pt idx="116">
                        <c:v>1430.078</c:v>
                      </c:pt>
                      <c:pt idx="117">
                        <c:v>1294.3399999999999</c:v>
                      </c:pt>
                      <c:pt idx="118">
                        <c:v>1389.1510000000001</c:v>
                      </c:pt>
                      <c:pt idx="119">
                        <c:v>1263.8130000000001</c:v>
                      </c:pt>
                      <c:pt idx="120">
                        <c:v>2193.2739999999999</c:v>
                      </c:pt>
                      <c:pt idx="121">
                        <c:v>1249.2049999999999</c:v>
                      </c:pt>
                      <c:pt idx="122">
                        <c:v>1308.577</c:v>
                      </c:pt>
                      <c:pt idx="123">
                        <c:v>883.66899999999998</c:v>
                      </c:pt>
                      <c:pt idx="124">
                        <c:v>861.71900000000005</c:v>
                      </c:pt>
                      <c:pt idx="125">
                        <c:v>875.26199999999994</c:v>
                      </c:pt>
                      <c:pt idx="126">
                        <c:v>951.32799999999997</c:v>
                      </c:pt>
                      <c:pt idx="127">
                        <c:v>933.06299999999999</c:v>
                      </c:pt>
                      <c:pt idx="128">
                        <c:v>1502.9110000000001</c:v>
                      </c:pt>
                      <c:pt idx="129">
                        <c:v>938.77099999999996</c:v>
                      </c:pt>
                      <c:pt idx="130">
                        <c:v>1083.7639999999999</c:v>
                      </c:pt>
                      <c:pt idx="131">
                        <c:v>1520.9839999999999</c:v>
                      </c:pt>
                      <c:pt idx="132">
                        <c:v>1944.35</c:v>
                      </c:pt>
                      <c:pt idx="133">
                        <c:v>909.16399999999999</c:v>
                      </c:pt>
                      <c:pt idx="134">
                        <c:v>1035.1859999999999</c:v>
                      </c:pt>
                      <c:pt idx="135">
                        <c:v>821.14800000000002</c:v>
                      </c:pt>
                      <c:pt idx="136">
                        <c:v>664.12</c:v>
                      </c:pt>
                      <c:pt idx="137">
                        <c:v>809.14599999999996</c:v>
                      </c:pt>
                      <c:pt idx="138">
                        <c:v>853.154</c:v>
                      </c:pt>
                      <c:pt idx="139">
                        <c:v>727.13099999999997</c:v>
                      </c:pt>
                      <c:pt idx="140">
                        <c:v>668.12</c:v>
                      </c:pt>
                      <c:pt idx="141">
                        <c:v>1094.1969999999999</c:v>
                      </c:pt>
                      <c:pt idx="142">
                        <c:v>871.15700000000004</c:v>
                      </c:pt>
                      <c:pt idx="143">
                        <c:v>1229.221</c:v>
                      </c:pt>
                      <c:pt idx="144">
                        <c:v>950.17100000000005</c:v>
                      </c:pt>
                      <c:pt idx="145">
                        <c:v>969.17399999999998</c:v>
                      </c:pt>
                      <c:pt idx="146">
                        <c:v>1034.1859999999999</c:v>
                      </c:pt>
                      <c:pt idx="147">
                        <c:v>548.09900000000005</c:v>
                      </c:pt>
                      <c:pt idx="148">
                        <c:v>668.12</c:v>
                      </c:pt>
                      <c:pt idx="149">
                        <c:v>479.08600000000001</c:v>
                      </c:pt>
                      <c:pt idx="150">
                        <c:v>566.10199999999998</c:v>
                      </c:pt>
                      <c:pt idx="151">
                        <c:v>725.13099999999997</c:v>
                      </c:pt>
                      <c:pt idx="152">
                        <c:v>707.12699999999995</c:v>
                      </c:pt>
                      <c:pt idx="153">
                        <c:v>1149.2070000000001</c:v>
                      </c:pt>
                      <c:pt idx="154">
                        <c:v>949.17100000000005</c:v>
                      </c:pt>
                      <c:pt idx="155">
                        <c:v>668.12</c:v>
                      </c:pt>
                      <c:pt idx="156">
                        <c:v>940.16899999999998</c:v>
                      </c:pt>
                      <c:pt idx="157">
                        <c:v>1296.2329999999999</c:v>
                      </c:pt>
                      <c:pt idx="158">
                        <c:v>632.11400000000003</c:v>
                      </c:pt>
                      <c:pt idx="159">
                        <c:v>542.09799999999996</c:v>
                      </c:pt>
                      <c:pt idx="160">
                        <c:v>355.06400000000002</c:v>
                      </c:pt>
                      <c:pt idx="161">
                        <c:v>538.09699999999998</c:v>
                      </c:pt>
                      <c:pt idx="162">
                        <c:v>405.07299999999998</c:v>
                      </c:pt>
                      <c:pt idx="163">
                        <c:v>539.09699999999998</c:v>
                      </c:pt>
                      <c:pt idx="164">
                        <c:v>464.084</c:v>
                      </c:pt>
                      <c:pt idx="165">
                        <c:v>741.13300000000004</c:v>
                      </c:pt>
                      <c:pt idx="166">
                        <c:v>494.089</c:v>
                      </c:pt>
                      <c:pt idx="167">
                        <c:v>649.11699999999996</c:v>
                      </c:pt>
                      <c:pt idx="168">
                        <c:v>660.11900000000003</c:v>
                      </c:pt>
                      <c:pt idx="169">
                        <c:v>637.11500000000001</c:v>
                      </c:pt>
                      <c:pt idx="170">
                        <c:v>475.08600000000001</c:v>
                      </c:pt>
                      <c:pt idx="171">
                        <c:v>464.084</c:v>
                      </c:pt>
                      <c:pt idx="172">
                        <c:v>407.07299999999998</c:v>
                      </c:pt>
                      <c:pt idx="173">
                        <c:v>347.06200000000001</c:v>
                      </c:pt>
                      <c:pt idx="174">
                        <c:v>283.05099999999999</c:v>
                      </c:pt>
                      <c:pt idx="175">
                        <c:v>282.05099999999999</c:v>
                      </c:pt>
                      <c:pt idx="176">
                        <c:v>416.07499999999999</c:v>
                      </c:pt>
                      <c:pt idx="177">
                        <c:v>697.125</c:v>
                      </c:pt>
                      <c:pt idx="178">
                        <c:v>428.077</c:v>
                      </c:pt>
                      <c:pt idx="179">
                        <c:v>614.11099999999999</c:v>
                      </c:pt>
                      <c:pt idx="180">
                        <c:v>584.10500000000002</c:v>
                      </c:pt>
                      <c:pt idx="181">
                        <c:v>434.07799999999997</c:v>
                      </c:pt>
                      <c:pt idx="182">
                        <c:v>283.05099999999999</c:v>
                      </c:pt>
                      <c:pt idx="183">
                        <c:v>277.05</c:v>
                      </c:pt>
                      <c:pt idx="184">
                        <c:v>285.05099999999999</c:v>
                      </c:pt>
                      <c:pt idx="185">
                        <c:v>338.06099999999998</c:v>
                      </c:pt>
                      <c:pt idx="186">
                        <c:v>241.04300000000001</c:v>
                      </c:pt>
                      <c:pt idx="187">
                        <c:v>361.065</c:v>
                      </c:pt>
                      <c:pt idx="188">
                        <c:v>186.03299999999999</c:v>
                      </c:pt>
                      <c:pt idx="189">
                        <c:v>363.065</c:v>
                      </c:pt>
                      <c:pt idx="190">
                        <c:v>361.065</c:v>
                      </c:pt>
                      <c:pt idx="191">
                        <c:v>427.077</c:v>
                      </c:pt>
                      <c:pt idx="192">
                        <c:v>324.05799999999999</c:v>
                      </c:pt>
                      <c:pt idx="193">
                        <c:v>299.05399999999997</c:v>
                      </c:pt>
                      <c:pt idx="194">
                        <c:v>237.04300000000001</c:v>
                      </c:pt>
                      <c:pt idx="195">
                        <c:v>152.02699999999999</c:v>
                      </c:pt>
                      <c:pt idx="196">
                        <c:v>191.03399999999999</c:v>
                      </c:pt>
                      <c:pt idx="197">
                        <c:v>94.016999999999996</c:v>
                      </c:pt>
                      <c:pt idx="198">
                        <c:v>99.018000000000001</c:v>
                      </c:pt>
                      <c:pt idx="199">
                        <c:v>166.03</c:v>
                      </c:pt>
                      <c:pt idx="200">
                        <c:v>145.02600000000001</c:v>
                      </c:pt>
                      <c:pt idx="201">
                        <c:v>196.035</c:v>
                      </c:pt>
                      <c:pt idx="202">
                        <c:v>137.02500000000001</c:v>
                      </c:pt>
                      <c:pt idx="203">
                        <c:v>129.023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EAA-4128-B5CF-A63C6CD436D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Production!$D$1</c15:sqref>
                        </c15:formulaRef>
                      </c:ext>
                    </c:extLst>
                    <c:strCache>
                      <c:ptCount val="1"/>
                      <c:pt idx="0">
                        <c:v>Solaire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Production!$D$2:$D$205</c15:sqref>
                        </c15:formulaRef>
                      </c:ext>
                    </c:extLst>
                    <c:numCache>
                      <c:formatCode>General</c:formatCode>
                      <c:ptCount val="204"/>
                      <c:pt idx="0">
                        <c:v>604.49699999999996</c:v>
                      </c:pt>
                      <c:pt idx="1">
                        <c:v>848.82399999999996</c:v>
                      </c:pt>
                      <c:pt idx="2">
                        <c:v>1319.37</c:v>
                      </c:pt>
                      <c:pt idx="3">
                        <c:v>1838.6089999999999</c:v>
                      </c:pt>
                      <c:pt idx="4">
                        <c:v>2302.8539999999998</c:v>
                      </c:pt>
                      <c:pt idx="5">
                        <c:v>2592.2370000000001</c:v>
                      </c:pt>
                      <c:pt idx="6">
                        <c:v>2230.2069999999999</c:v>
                      </c:pt>
                      <c:pt idx="7">
                        <c:v>2263.87</c:v>
                      </c:pt>
                      <c:pt idx="8">
                        <c:v>1795.845</c:v>
                      </c:pt>
                      <c:pt idx="9">
                        <c:v>1390.713</c:v>
                      </c:pt>
                      <c:pt idx="10">
                        <c:v>1029.124</c:v>
                      </c:pt>
                      <c:pt idx="11">
                        <c:v>784.95600000000002</c:v>
                      </c:pt>
                      <c:pt idx="12">
                        <c:v>588.28599999999994</c:v>
                      </c:pt>
                      <c:pt idx="13">
                        <c:v>704.46</c:v>
                      </c:pt>
                      <c:pt idx="14">
                        <c:v>1248.9770000000001</c:v>
                      </c:pt>
                      <c:pt idx="15">
                        <c:v>1466.2729999999999</c:v>
                      </c:pt>
                      <c:pt idx="16">
                        <c:v>1749.93</c:v>
                      </c:pt>
                      <c:pt idx="17">
                        <c:v>1718.223</c:v>
                      </c:pt>
                      <c:pt idx="18">
                        <c:v>1676.3050000000001</c:v>
                      </c:pt>
                      <c:pt idx="19">
                        <c:v>1621.2909999999999</c:v>
                      </c:pt>
                      <c:pt idx="20">
                        <c:v>1580.027</c:v>
                      </c:pt>
                      <c:pt idx="21">
                        <c:v>1304.153</c:v>
                      </c:pt>
                      <c:pt idx="22">
                        <c:v>673.73099999999999</c:v>
                      </c:pt>
                      <c:pt idx="23">
                        <c:v>480.38499999999999</c:v>
                      </c:pt>
                      <c:pt idx="24">
                        <c:v>374.11500000000001</c:v>
                      </c:pt>
                      <c:pt idx="25">
                        <c:v>697.01300000000003</c:v>
                      </c:pt>
                      <c:pt idx="26">
                        <c:v>809.23400000000004</c:v>
                      </c:pt>
                      <c:pt idx="27">
                        <c:v>1273.5</c:v>
                      </c:pt>
                      <c:pt idx="28">
                        <c:v>1556.403</c:v>
                      </c:pt>
                      <c:pt idx="29">
                        <c:v>1742.078</c:v>
                      </c:pt>
                      <c:pt idx="30">
                        <c:v>1554.798</c:v>
                      </c:pt>
                      <c:pt idx="31">
                        <c:v>1633.665</c:v>
                      </c:pt>
                      <c:pt idx="32">
                        <c:v>1351.3230000000001</c:v>
                      </c:pt>
                      <c:pt idx="33">
                        <c:v>1101.644</c:v>
                      </c:pt>
                      <c:pt idx="34">
                        <c:v>782.66800000000001</c:v>
                      </c:pt>
                      <c:pt idx="35">
                        <c:v>524.25699999999995</c:v>
                      </c:pt>
                      <c:pt idx="36">
                        <c:v>490.09699999999998</c:v>
                      </c:pt>
                      <c:pt idx="37">
                        <c:v>559.28300000000002</c:v>
                      </c:pt>
                      <c:pt idx="38">
                        <c:v>822.01900000000001</c:v>
                      </c:pt>
                      <c:pt idx="39">
                        <c:v>1200.6199999999999</c:v>
                      </c:pt>
                      <c:pt idx="40">
                        <c:v>1407.7429999999999</c:v>
                      </c:pt>
                      <c:pt idx="41">
                        <c:v>1484.086</c:v>
                      </c:pt>
                      <c:pt idx="42">
                        <c:v>1396.056</c:v>
                      </c:pt>
                      <c:pt idx="43">
                        <c:v>1299.751</c:v>
                      </c:pt>
                      <c:pt idx="44">
                        <c:v>1080.3240000000001</c:v>
                      </c:pt>
                      <c:pt idx="45">
                        <c:v>1068.5129999999999</c:v>
                      </c:pt>
                      <c:pt idx="46">
                        <c:v>782.28700000000003</c:v>
                      </c:pt>
                      <c:pt idx="47">
                        <c:v>501.226</c:v>
                      </c:pt>
                      <c:pt idx="48">
                        <c:v>370.54899999999998</c:v>
                      </c:pt>
                      <c:pt idx="49">
                        <c:v>499.14400000000001</c:v>
                      </c:pt>
                      <c:pt idx="50">
                        <c:v>810.06700000000001</c:v>
                      </c:pt>
                      <c:pt idx="51">
                        <c:v>1177.0060000000001</c:v>
                      </c:pt>
                      <c:pt idx="52">
                        <c:v>1326.5619999999999</c:v>
                      </c:pt>
                      <c:pt idx="53">
                        <c:v>1432.732</c:v>
                      </c:pt>
                      <c:pt idx="54">
                        <c:v>1283.9749999999999</c:v>
                      </c:pt>
                      <c:pt idx="55">
                        <c:v>1144.258</c:v>
                      </c:pt>
                      <c:pt idx="56">
                        <c:v>1011.24</c:v>
                      </c:pt>
                      <c:pt idx="57">
                        <c:v>774.30899999999997</c:v>
                      </c:pt>
                      <c:pt idx="58">
                        <c:v>534.43799999999999</c:v>
                      </c:pt>
                      <c:pt idx="59">
                        <c:v>331.25099999999998</c:v>
                      </c:pt>
                      <c:pt idx="60">
                        <c:v>295.327</c:v>
                      </c:pt>
                      <c:pt idx="61">
                        <c:v>400.92599999999999</c:v>
                      </c:pt>
                      <c:pt idx="62">
                        <c:v>652.53399999999999</c:v>
                      </c:pt>
                      <c:pt idx="63">
                        <c:v>792.77200000000005</c:v>
                      </c:pt>
                      <c:pt idx="64">
                        <c:v>1000.546</c:v>
                      </c:pt>
                      <c:pt idx="65">
                        <c:v>1059.8620000000001</c:v>
                      </c:pt>
                      <c:pt idx="66">
                        <c:v>1049.4939999999999</c:v>
                      </c:pt>
                      <c:pt idx="67">
                        <c:v>1015.797</c:v>
                      </c:pt>
                      <c:pt idx="68">
                        <c:v>931.16099999999994</c:v>
                      </c:pt>
                      <c:pt idx="69">
                        <c:v>678.52</c:v>
                      </c:pt>
                      <c:pt idx="70">
                        <c:v>412.99799999999999</c:v>
                      </c:pt>
                      <c:pt idx="71">
                        <c:v>317.89299999999997</c:v>
                      </c:pt>
                      <c:pt idx="72">
                        <c:v>251.57</c:v>
                      </c:pt>
                      <c:pt idx="73">
                        <c:v>315.50599999999997</c:v>
                      </c:pt>
                      <c:pt idx="74">
                        <c:v>551.00199999999995</c:v>
                      </c:pt>
                      <c:pt idx="75">
                        <c:v>759.49599999999998</c:v>
                      </c:pt>
                      <c:pt idx="76">
                        <c:v>962.98800000000006</c:v>
                      </c:pt>
                      <c:pt idx="77">
                        <c:v>1006.566</c:v>
                      </c:pt>
                      <c:pt idx="78">
                        <c:v>911.02300000000002</c:v>
                      </c:pt>
                      <c:pt idx="79">
                        <c:v>896.36199999999997</c:v>
                      </c:pt>
                      <c:pt idx="80">
                        <c:v>760.26900000000001</c:v>
                      </c:pt>
                      <c:pt idx="81">
                        <c:v>622.24900000000002</c:v>
                      </c:pt>
                      <c:pt idx="82">
                        <c:v>380.45299999999997</c:v>
                      </c:pt>
                      <c:pt idx="83">
                        <c:v>248.315</c:v>
                      </c:pt>
                      <c:pt idx="84">
                        <c:v>211.76</c:v>
                      </c:pt>
                      <c:pt idx="85">
                        <c:v>323.54300000000001</c:v>
                      </c:pt>
                      <c:pt idx="86">
                        <c:v>478.99799999999999</c:v>
                      </c:pt>
                      <c:pt idx="87">
                        <c:v>648.55499999999995</c:v>
                      </c:pt>
                      <c:pt idx="88">
                        <c:v>791.31100000000004</c:v>
                      </c:pt>
                      <c:pt idx="89">
                        <c:v>872.39099999999996</c:v>
                      </c:pt>
                      <c:pt idx="90">
                        <c:v>850.68200000000002</c:v>
                      </c:pt>
                      <c:pt idx="91">
                        <c:v>787.32500000000005</c:v>
                      </c:pt>
                      <c:pt idx="92">
                        <c:v>697.72</c:v>
                      </c:pt>
                      <c:pt idx="93">
                        <c:v>516.31100000000004</c:v>
                      </c:pt>
                      <c:pt idx="94">
                        <c:v>332.70299999999997</c:v>
                      </c:pt>
                      <c:pt idx="95">
                        <c:v>228.00399999999999</c:v>
                      </c:pt>
                      <c:pt idx="96">
                        <c:v>181.53299999999999</c:v>
                      </c:pt>
                      <c:pt idx="97">
                        <c:v>227.435</c:v>
                      </c:pt>
                      <c:pt idx="98">
                        <c:v>428.78399999999999</c:v>
                      </c:pt>
                      <c:pt idx="99">
                        <c:v>565.38800000000003</c:v>
                      </c:pt>
                      <c:pt idx="100">
                        <c:v>659.89300000000003</c:v>
                      </c:pt>
                      <c:pt idx="101">
                        <c:v>681.44200000000001</c:v>
                      </c:pt>
                      <c:pt idx="102">
                        <c:v>685.63</c:v>
                      </c:pt>
                      <c:pt idx="103">
                        <c:v>635.38199999999995</c:v>
                      </c:pt>
                      <c:pt idx="104">
                        <c:v>543.93100000000004</c:v>
                      </c:pt>
                      <c:pt idx="105">
                        <c:v>464.56400000000002</c:v>
                      </c:pt>
                      <c:pt idx="106">
                        <c:v>248.23099999999999</c:v>
                      </c:pt>
                      <c:pt idx="107">
                        <c:v>164.98099999999999</c:v>
                      </c:pt>
                      <c:pt idx="108">
                        <c:v>160.041</c:v>
                      </c:pt>
                      <c:pt idx="109">
                        <c:v>176.309</c:v>
                      </c:pt>
                      <c:pt idx="110">
                        <c:v>306.16500000000002</c:v>
                      </c:pt>
                      <c:pt idx="111">
                        <c:v>426.28</c:v>
                      </c:pt>
                      <c:pt idx="112">
                        <c:v>541.73599999999999</c:v>
                      </c:pt>
                      <c:pt idx="113">
                        <c:v>586.91800000000001</c:v>
                      </c:pt>
                      <c:pt idx="114">
                        <c:v>537.26300000000003</c:v>
                      </c:pt>
                      <c:pt idx="115">
                        <c:v>489.255</c:v>
                      </c:pt>
                      <c:pt idx="116">
                        <c:v>419.76100000000002</c:v>
                      </c:pt>
                      <c:pt idx="117">
                        <c:v>337.68200000000002</c:v>
                      </c:pt>
                      <c:pt idx="118">
                        <c:v>216.31700000000001</c:v>
                      </c:pt>
                      <c:pt idx="119">
                        <c:v>139.12899999999999</c:v>
                      </c:pt>
                      <c:pt idx="120">
                        <c:v>121.908</c:v>
                      </c:pt>
                      <c:pt idx="121">
                        <c:v>159.749</c:v>
                      </c:pt>
                      <c:pt idx="122">
                        <c:v>268.863</c:v>
                      </c:pt>
                      <c:pt idx="123">
                        <c:v>373.91800000000001</c:v>
                      </c:pt>
                      <c:pt idx="124">
                        <c:v>468.33800000000002</c:v>
                      </c:pt>
                      <c:pt idx="125">
                        <c:v>499.42599999999999</c:v>
                      </c:pt>
                      <c:pt idx="126">
                        <c:v>453.637</c:v>
                      </c:pt>
                      <c:pt idx="127">
                        <c:v>422.47500000000002</c:v>
                      </c:pt>
                      <c:pt idx="128">
                        <c:v>330.06200000000001</c:v>
                      </c:pt>
                      <c:pt idx="129">
                        <c:v>299.61500000000001</c:v>
                      </c:pt>
                      <c:pt idx="130">
                        <c:v>180.39699999999999</c:v>
                      </c:pt>
                      <c:pt idx="131">
                        <c:v>108.69</c:v>
                      </c:pt>
                      <c:pt idx="132">
                        <c:v>82.69</c:v>
                      </c:pt>
                      <c:pt idx="133">
                        <c:v>105.379</c:v>
                      </c:pt>
                      <c:pt idx="134">
                        <c:v>182.74</c:v>
                      </c:pt>
                      <c:pt idx="135">
                        <c:v>229.17099999999999</c:v>
                      </c:pt>
                      <c:pt idx="136">
                        <c:v>256.13400000000001</c:v>
                      </c:pt>
                      <c:pt idx="137">
                        <c:v>256.15699999999998</c:v>
                      </c:pt>
                      <c:pt idx="138">
                        <c:v>220.39699999999999</c:v>
                      </c:pt>
                      <c:pt idx="139">
                        <c:v>205.304</c:v>
                      </c:pt>
                      <c:pt idx="140">
                        <c:v>168.58099999999999</c:v>
                      </c:pt>
                      <c:pt idx="141">
                        <c:v>120.04600000000001</c:v>
                      </c:pt>
                      <c:pt idx="142">
                        <c:v>67.528999999999996</c:v>
                      </c:pt>
                      <c:pt idx="143">
                        <c:v>42.411000000000001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AA-4128-B5CF-A63C6CD436D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Production!$E$1</c15:sqref>
                        </c15:formulaRef>
                      </c:ext>
                    </c:extLst>
                    <c:strCache>
                      <c:ptCount val="1"/>
                      <c:pt idx="0">
                        <c:v>Nucléaire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Production!$A:$A</c15:sqref>
                        </c15:formulaRef>
                      </c:ext>
                    </c:extLst>
                    <c:strCache>
                      <c:ptCount val="205"/>
                      <c:pt idx="0">
                        <c:v>Période</c:v>
                      </c:pt>
                      <c:pt idx="1">
                        <c:v>2022-12</c:v>
                      </c:pt>
                      <c:pt idx="2">
                        <c:v>2022-11</c:v>
                      </c:pt>
                      <c:pt idx="3">
                        <c:v>2022-10</c:v>
                      </c:pt>
                      <c:pt idx="4">
                        <c:v>2022-09</c:v>
                      </c:pt>
                      <c:pt idx="5">
                        <c:v>2022-08</c:v>
                      </c:pt>
                      <c:pt idx="6">
                        <c:v>2022-07</c:v>
                      </c:pt>
                      <c:pt idx="7">
                        <c:v>2022-06</c:v>
                      </c:pt>
                      <c:pt idx="8">
                        <c:v>2022-05</c:v>
                      </c:pt>
                      <c:pt idx="9">
                        <c:v>2022-04</c:v>
                      </c:pt>
                      <c:pt idx="10">
                        <c:v>2022-03</c:v>
                      </c:pt>
                      <c:pt idx="11">
                        <c:v>2022-02</c:v>
                      </c:pt>
                      <c:pt idx="12">
                        <c:v>2022-01</c:v>
                      </c:pt>
                      <c:pt idx="13">
                        <c:v>2021-12</c:v>
                      </c:pt>
                      <c:pt idx="14">
                        <c:v>2021-11</c:v>
                      </c:pt>
                      <c:pt idx="15">
                        <c:v>2021-10</c:v>
                      </c:pt>
                      <c:pt idx="16">
                        <c:v>2021-09</c:v>
                      </c:pt>
                      <c:pt idx="17">
                        <c:v>2021-08</c:v>
                      </c:pt>
                      <c:pt idx="18">
                        <c:v>2021-07</c:v>
                      </c:pt>
                      <c:pt idx="19">
                        <c:v>2021-06</c:v>
                      </c:pt>
                      <c:pt idx="20">
                        <c:v>2021-05</c:v>
                      </c:pt>
                      <c:pt idx="21">
                        <c:v>2021-04</c:v>
                      </c:pt>
                      <c:pt idx="22">
                        <c:v>2021-03</c:v>
                      </c:pt>
                      <c:pt idx="23">
                        <c:v>2021-02</c:v>
                      </c:pt>
                      <c:pt idx="24">
                        <c:v>2021-01</c:v>
                      </c:pt>
                      <c:pt idx="25">
                        <c:v>2020-12</c:v>
                      </c:pt>
                      <c:pt idx="26">
                        <c:v>2020-11</c:v>
                      </c:pt>
                      <c:pt idx="27">
                        <c:v>2020-10</c:v>
                      </c:pt>
                      <c:pt idx="28">
                        <c:v>2020-09</c:v>
                      </c:pt>
                      <c:pt idx="29">
                        <c:v>2020-08</c:v>
                      </c:pt>
                      <c:pt idx="30">
                        <c:v>2020-07</c:v>
                      </c:pt>
                      <c:pt idx="31">
                        <c:v>2020-06</c:v>
                      </c:pt>
                      <c:pt idx="32">
                        <c:v>2020-05</c:v>
                      </c:pt>
                      <c:pt idx="33">
                        <c:v>2020-04</c:v>
                      </c:pt>
                      <c:pt idx="34">
                        <c:v>2020-03</c:v>
                      </c:pt>
                      <c:pt idx="35">
                        <c:v>2020-02</c:v>
                      </c:pt>
                      <c:pt idx="36">
                        <c:v>2020-01</c:v>
                      </c:pt>
                      <c:pt idx="37">
                        <c:v>2019-12</c:v>
                      </c:pt>
                      <c:pt idx="38">
                        <c:v>2019-11</c:v>
                      </c:pt>
                      <c:pt idx="39">
                        <c:v>2019-10</c:v>
                      </c:pt>
                      <c:pt idx="40">
                        <c:v>2019-09</c:v>
                      </c:pt>
                      <c:pt idx="41">
                        <c:v>2019-08</c:v>
                      </c:pt>
                      <c:pt idx="42">
                        <c:v>2019-07</c:v>
                      </c:pt>
                      <c:pt idx="43">
                        <c:v>2019-06</c:v>
                      </c:pt>
                      <c:pt idx="44">
                        <c:v>2019-05</c:v>
                      </c:pt>
                      <c:pt idx="45">
                        <c:v>2019-04</c:v>
                      </c:pt>
                      <c:pt idx="46">
                        <c:v>2019-03</c:v>
                      </c:pt>
                      <c:pt idx="47">
                        <c:v>2019-02</c:v>
                      </c:pt>
                      <c:pt idx="48">
                        <c:v>2019-01</c:v>
                      </c:pt>
                      <c:pt idx="49">
                        <c:v>2018-12</c:v>
                      </c:pt>
                      <c:pt idx="50">
                        <c:v>2018-11</c:v>
                      </c:pt>
                      <c:pt idx="51">
                        <c:v>2018-10</c:v>
                      </c:pt>
                      <c:pt idx="52">
                        <c:v>2018-09</c:v>
                      </c:pt>
                      <c:pt idx="53">
                        <c:v>2018-08</c:v>
                      </c:pt>
                      <c:pt idx="54">
                        <c:v>2018-07</c:v>
                      </c:pt>
                      <c:pt idx="55">
                        <c:v>2018-06</c:v>
                      </c:pt>
                      <c:pt idx="56">
                        <c:v>2018-05</c:v>
                      </c:pt>
                      <c:pt idx="57">
                        <c:v>2018-04</c:v>
                      </c:pt>
                      <c:pt idx="58">
                        <c:v>2018-03</c:v>
                      </c:pt>
                      <c:pt idx="59">
                        <c:v>2018-02</c:v>
                      </c:pt>
                      <c:pt idx="60">
                        <c:v>2018-01</c:v>
                      </c:pt>
                      <c:pt idx="61">
                        <c:v>2017-12</c:v>
                      </c:pt>
                      <c:pt idx="62">
                        <c:v>2017-11</c:v>
                      </c:pt>
                      <c:pt idx="63">
                        <c:v>2017-10</c:v>
                      </c:pt>
                      <c:pt idx="64">
                        <c:v>2017-09</c:v>
                      </c:pt>
                      <c:pt idx="65">
                        <c:v>2017-08</c:v>
                      </c:pt>
                      <c:pt idx="66">
                        <c:v>2017-07</c:v>
                      </c:pt>
                      <c:pt idx="67">
                        <c:v>2017-06</c:v>
                      </c:pt>
                      <c:pt idx="68">
                        <c:v>2017-05</c:v>
                      </c:pt>
                      <c:pt idx="69">
                        <c:v>2017-04</c:v>
                      </c:pt>
                      <c:pt idx="70">
                        <c:v>2017-03</c:v>
                      </c:pt>
                      <c:pt idx="71">
                        <c:v>2017-02</c:v>
                      </c:pt>
                      <c:pt idx="72">
                        <c:v>2017-01</c:v>
                      </c:pt>
                      <c:pt idx="73">
                        <c:v>2016-12</c:v>
                      </c:pt>
                      <c:pt idx="74">
                        <c:v>2016-11</c:v>
                      </c:pt>
                      <c:pt idx="75">
                        <c:v>2016-10</c:v>
                      </c:pt>
                      <c:pt idx="76">
                        <c:v>2016-09</c:v>
                      </c:pt>
                      <c:pt idx="77">
                        <c:v>2016-08</c:v>
                      </c:pt>
                      <c:pt idx="78">
                        <c:v>2016-07</c:v>
                      </c:pt>
                      <c:pt idx="79">
                        <c:v>2016-06</c:v>
                      </c:pt>
                      <c:pt idx="80">
                        <c:v>2016-05</c:v>
                      </c:pt>
                      <c:pt idx="81">
                        <c:v>2016-04</c:v>
                      </c:pt>
                      <c:pt idx="82">
                        <c:v>2016-03</c:v>
                      </c:pt>
                      <c:pt idx="83">
                        <c:v>2016-02</c:v>
                      </c:pt>
                      <c:pt idx="84">
                        <c:v>2016-01</c:v>
                      </c:pt>
                      <c:pt idx="85">
                        <c:v>2015-12</c:v>
                      </c:pt>
                      <c:pt idx="86">
                        <c:v>2015-11</c:v>
                      </c:pt>
                      <c:pt idx="87">
                        <c:v>2015-10</c:v>
                      </c:pt>
                      <c:pt idx="88">
                        <c:v>2015-09</c:v>
                      </c:pt>
                      <c:pt idx="89">
                        <c:v>2015-08</c:v>
                      </c:pt>
                      <c:pt idx="90">
                        <c:v>2015-07</c:v>
                      </c:pt>
                      <c:pt idx="91">
                        <c:v>2015-06</c:v>
                      </c:pt>
                      <c:pt idx="92">
                        <c:v>2015-05</c:v>
                      </c:pt>
                      <c:pt idx="93">
                        <c:v>2015-04</c:v>
                      </c:pt>
                      <c:pt idx="94">
                        <c:v>2015-03</c:v>
                      </c:pt>
                      <c:pt idx="95">
                        <c:v>2015-02</c:v>
                      </c:pt>
                      <c:pt idx="96">
                        <c:v>2015-01</c:v>
                      </c:pt>
                      <c:pt idx="97">
                        <c:v>2014-12</c:v>
                      </c:pt>
                      <c:pt idx="98">
                        <c:v>2014-11</c:v>
                      </c:pt>
                      <c:pt idx="99">
                        <c:v>2014-10</c:v>
                      </c:pt>
                      <c:pt idx="100">
                        <c:v>2014-09</c:v>
                      </c:pt>
                      <c:pt idx="101">
                        <c:v>2014-08</c:v>
                      </c:pt>
                      <c:pt idx="102">
                        <c:v>2014-07</c:v>
                      </c:pt>
                      <c:pt idx="103">
                        <c:v>2014-06</c:v>
                      </c:pt>
                      <c:pt idx="104">
                        <c:v>2014-05</c:v>
                      </c:pt>
                      <c:pt idx="105">
                        <c:v>2014-04</c:v>
                      </c:pt>
                      <c:pt idx="106">
                        <c:v>2014-03</c:v>
                      </c:pt>
                      <c:pt idx="107">
                        <c:v>2014-02</c:v>
                      </c:pt>
                      <c:pt idx="108">
                        <c:v>2014-01</c:v>
                      </c:pt>
                      <c:pt idx="109">
                        <c:v>2013-12</c:v>
                      </c:pt>
                      <c:pt idx="110">
                        <c:v>2013-11</c:v>
                      </c:pt>
                      <c:pt idx="111">
                        <c:v>2013-10</c:v>
                      </c:pt>
                      <c:pt idx="112">
                        <c:v>2013-09</c:v>
                      </c:pt>
                      <c:pt idx="113">
                        <c:v>2013-08</c:v>
                      </c:pt>
                      <c:pt idx="114">
                        <c:v>2013-07</c:v>
                      </c:pt>
                      <c:pt idx="115">
                        <c:v>2013-06</c:v>
                      </c:pt>
                      <c:pt idx="116">
                        <c:v>2013-05</c:v>
                      </c:pt>
                      <c:pt idx="117">
                        <c:v>2013-04</c:v>
                      </c:pt>
                      <c:pt idx="118">
                        <c:v>2013-03</c:v>
                      </c:pt>
                      <c:pt idx="119">
                        <c:v>2013-02</c:v>
                      </c:pt>
                      <c:pt idx="120">
                        <c:v>2013-01</c:v>
                      </c:pt>
                      <c:pt idx="121">
                        <c:v>2012-12</c:v>
                      </c:pt>
                      <c:pt idx="122">
                        <c:v>2012-11</c:v>
                      </c:pt>
                      <c:pt idx="123">
                        <c:v>2012-10</c:v>
                      </c:pt>
                      <c:pt idx="124">
                        <c:v>2012-09</c:v>
                      </c:pt>
                      <c:pt idx="125">
                        <c:v>2012-08</c:v>
                      </c:pt>
                      <c:pt idx="126">
                        <c:v>2012-07</c:v>
                      </c:pt>
                      <c:pt idx="127">
                        <c:v>2012-06</c:v>
                      </c:pt>
                      <c:pt idx="128">
                        <c:v>2012-05</c:v>
                      </c:pt>
                      <c:pt idx="129">
                        <c:v>2012-04</c:v>
                      </c:pt>
                      <c:pt idx="130">
                        <c:v>2012-03</c:v>
                      </c:pt>
                      <c:pt idx="131">
                        <c:v>2012-02</c:v>
                      </c:pt>
                      <c:pt idx="132">
                        <c:v>2012-01</c:v>
                      </c:pt>
                      <c:pt idx="133">
                        <c:v>2011-12</c:v>
                      </c:pt>
                      <c:pt idx="134">
                        <c:v>2011-11</c:v>
                      </c:pt>
                      <c:pt idx="135">
                        <c:v>2011-10</c:v>
                      </c:pt>
                      <c:pt idx="136">
                        <c:v>2011-09</c:v>
                      </c:pt>
                      <c:pt idx="137">
                        <c:v>2011-08</c:v>
                      </c:pt>
                      <c:pt idx="138">
                        <c:v>2011-07</c:v>
                      </c:pt>
                      <c:pt idx="139">
                        <c:v>2011-06</c:v>
                      </c:pt>
                      <c:pt idx="140">
                        <c:v>2011-05</c:v>
                      </c:pt>
                      <c:pt idx="141">
                        <c:v>2011-04</c:v>
                      </c:pt>
                      <c:pt idx="142">
                        <c:v>2011-03</c:v>
                      </c:pt>
                      <c:pt idx="143">
                        <c:v>2011-02</c:v>
                      </c:pt>
                      <c:pt idx="144">
                        <c:v>2011-01</c:v>
                      </c:pt>
                      <c:pt idx="145">
                        <c:v>2010-12</c:v>
                      </c:pt>
                      <c:pt idx="146">
                        <c:v>2010-11</c:v>
                      </c:pt>
                      <c:pt idx="147">
                        <c:v>2010-10</c:v>
                      </c:pt>
                      <c:pt idx="148">
                        <c:v>2010-09</c:v>
                      </c:pt>
                      <c:pt idx="149">
                        <c:v>2010-08</c:v>
                      </c:pt>
                      <c:pt idx="150">
                        <c:v>2010-07</c:v>
                      </c:pt>
                      <c:pt idx="151">
                        <c:v>2010-06</c:v>
                      </c:pt>
                      <c:pt idx="152">
                        <c:v>2010-05</c:v>
                      </c:pt>
                      <c:pt idx="153">
                        <c:v>2010-04</c:v>
                      </c:pt>
                      <c:pt idx="154">
                        <c:v>2010-03</c:v>
                      </c:pt>
                      <c:pt idx="155">
                        <c:v>2010-02</c:v>
                      </c:pt>
                      <c:pt idx="156">
                        <c:v>2010-01</c:v>
                      </c:pt>
                      <c:pt idx="157">
                        <c:v>2009-12</c:v>
                      </c:pt>
                      <c:pt idx="158">
                        <c:v>2009-11</c:v>
                      </c:pt>
                      <c:pt idx="159">
                        <c:v>2009-10</c:v>
                      </c:pt>
                      <c:pt idx="160">
                        <c:v>2009-09</c:v>
                      </c:pt>
                      <c:pt idx="161">
                        <c:v>2009-08</c:v>
                      </c:pt>
                      <c:pt idx="162">
                        <c:v>2009-07</c:v>
                      </c:pt>
                      <c:pt idx="163">
                        <c:v>2009-06</c:v>
                      </c:pt>
                      <c:pt idx="164">
                        <c:v>2009-05</c:v>
                      </c:pt>
                      <c:pt idx="165">
                        <c:v>2009-04</c:v>
                      </c:pt>
                      <c:pt idx="166">
                        <c:v>2009-03</c:v>
                      </c:pt>
                      <c:pt idx="167">
                        <c:v>2009-02</c:v>
                      </c:pt>
                      <c:pt idx="168">
                        <c:v>2009-01</c:v>
                      </c:pt>
                      <c:pt idx="169">
                        <c:v>2008-12</c:v>
                      </c:pt>
                      <c:pt idx="170">
                        <c:v>2008-11</c:v>
                      </c:pt>
                      <c:pt idx="171">
                        <c:v>2008-10</c:v>
                      </c:pt>
                      <c:pt idx="172">
                        <c:v>2008-09</c:v>
                      </c:pt>
                      <c:pt idx="173">
                        <c:v>2008-08</c:v>
                      </c:pt>
                      <c:pt idx="174">
                        <c:v>2008-07</c:v>
                      </c:pt>
                      <c:pt idx="175">
                        <c:v>2008-06</c:v>
                      </c:pt>
                      <c:pt idx="176">
                        <c:v>2008-05</c:v>
                      </c:pt>
                      <c:pt idx="177">
                        <c:v>2008-04</c:v>
                      </c:pt>
                      <c:pt idx="178">
                        <c:v>2008-03</c:v>
                      </c:pt>
                      <c:pt idx="179">
                        <c:v>2008-02</c:v>
                      </c:pt>
                      <c:pt idx="180">
                        <c:v>2008-01</c:v>
                      </c:pt>
                      <c:pt idx="181">
                        <c:v>2007-12</c:v>
                      </c:pt>
                      <c:pt idx="182">
                        <c:v>2007-11</c:v>
                      </c:pt>
                      <c:pt idx="183">
                        <c:v>2007-10</c:v>
                      </c:pt>
                      <c:pt idx="184">
                        <c:v>2007-09</c:v>
                      </c:pt>
                      <c:pt idx="185">
                        <c:v>2007-08</c:v>
                      </c:pt>
                      <c:pt idx="186">
                        <c:v>2007-07</c:v>
                      </c:pt>
                      <c:pt idx="187">
                        <c:v>2007-06</c:v>
                      </c:pt>
                      <c:pt idx="188">
                        <c:v>2007-05</c:v>
                      </c:pt>
                      <c:pt idx="189">
                        <c:v>2007-04</c:v>
                      </c:pt>
                      <c:pt idx="190">
                        <c:v>2007-03</c:v>
                      </c:pt>
                      <c:pt idx="191">
                        <c:v>2007-02</c:v>
                      </c:pt>
                      <c:pt idx="192">
                        <c:v>2007-01</c:v>
                      </c:pt>
                      <c:pt idx="193">
                        <c:v>2006-12</c:v>
                      </c:pt>
                      <c:pt idx="194">
                        <c:v>2006-11</c:v>
                      </c:pt>
                      <c:pt idx="195">
                        <c:v>2006-10</c:v>
                      </c:pt>
                      <c:pt idx="196">
                        <c:v>2006-09</c:v>
                      </c:pt>
                      <c:pt idx="197">
                        <c:v>2006-08</c:v>
                      </c:pt>
                      <c:pt idx="198">
                        <c:v>2006-07</c:v>
                      </c:pt>
                      <c:pt idx="199">
                        <c:v>2006-06</c:v>
                      </c:pt>
                      <c:pt idx="200">
                        <c:v>2006-05</c:v>
                      </c:pt>
                      <c:pt idx="201">
                        <c:v>2006-04</c:v>
                      </c:pt>
                      <c:pt idx="202">
                        <c:v>2006-03</c:v>
                      </c:pt>
                      <c:pt idx="203">
                        <c:v>2006-02</c:v>
                      </c:pt>
                      <c:pt idx="204">
                        <c:v>2006-01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Production!$E$2:$E$205</c15:sqref>
                        </c15:formulaRef>
                      </c:ext>
                    </c:extLst>
                    <c:numCache>
                      <c:formatCode>General</c:formatCode>
                      <c:ptCount val="204"/>
                      <c:pt idx="0">
                        <c:v>89307.744000000006</c:v>
                      </c:pt>
                      <c:pt idx="1">
                        <c:v>69562.288</c:v>
                      </c:pt>
                      <c:pt idx="2">
                        <c:v>65057.226000000002</c:v>
                      </c:pt>
                      <c:pt idx="3">
                        <c:v>58600.02</c:v>
                      </c:pt>
                      <c:pt idx="4">
                        <c:v>58554.053999999996</c:v>
                      </c:pt>
                      <c:pt idx="5">
                        <c:v>60385.593000000001</c:v>
                      </c:pt>
                      <c:pt idx="6">
                        <c:v>64482.038</c:v>
                      </c:pt>
                      <c:pt idx="7">
                        <c:v>65809.978000000003</c:v>
                      </c:pt>
                      <c:pt idx="8">
                        <c:v>69785.578999999998</c:v>
                      </c:pt>
                      <c:pt idx="9">
                        <c:v>85750.866999999998</c:v>
                      </c:pt>
                      <c:pt idx="10">
                        <c:v>94127.123999999996</c:v>
                      </c:pt>
                      <c:pt idx="11">
                        <c:v>111862.39999999999</c:v>
                      </c:pt>
                      <c:pt idx="12">
                        <c:v>100376.851</c:v>
                      </c:pt>
                      <c:pt idx="13">
                        <c:v>96607.448999999993</c:v>
                      </c:pt>
                      <c:pt idx="14">
                        <c:v>97571.430999999997</c:v>
                      </c:pt>
                      <c:pt idx="15">
                        <c:v>92746.183999999994</c:v>
                      </c:pt>
                      <c:pt idx="16">
                        <c:v>93107.481</c:v>
                      </c:pt>
                      <c:pt idx="17">
                        <c:v>91149.167000000001</c:v>
                      </c:pt>
                      <c:pt idx="18">
                        <c:v>88324.864000000001</c:v>
                      </c:pt>
                      <c:pt idx="19">
                        <c:v>87953.998999999996</c:v>
                      </c:pt>
                      <c:pt idx="20">
                        <c:v>86700.854999999996</c:v>
                      </c:pt>
                      <c:pt idx="21">
                        <c:v>100674.872</c:v>
                      </c:pt>
                      <c:pt idx="22">
                        <c:v>96487.993000000002</c:v>
                      </c:pt>
                      <c:pt idx="23">
                        <c:v>118085.182</c:v>
                      </c:pt>
                      <c:pt idx="24">
                        <c:v>109533.554</c:v>
                      </c:pt>
                      <c:pt idx="25">
                        <c:v>100429.253</c:v>
                      </c:pt>
                      <c:pt idx="26">
                        <c:v>90211.445999999996</c:v>
                      </c:pt>
                      <c:pt idx="27">
                        <c:v>69877.497000000003</c:v>
                      </c:pt>
                      <c:pt idx="28">
                        <c:v>73715.968999999997</c:v>
                      </c:pt>
                      <c:pt idx="29">
                        <c:v>72325.808000000005</c:v>
                      </c:pt>
                      <c:pt idx="30">
                        <c:v>68777.752999999997</c:v>
                      </c:pt>
                      <c:pt idx="31">
                        <c:v>79563.073000000004</c:v>
                      </c:pt>
                      <c:pt idx="32">
                        <c:v>85870.558999999994</c:v>
                      </c:pt>
                      <c:pt idx="33">
                        <c:v>97714.37</c:v>
                      </c:pt>
                      <c:pt idx="34">
                        <c:v>105638.334</c:v>
                      </c:pt>
                      <c:pt idx="35">
                        <c:v>118755.94100000001</c:v>
                      </c:pt>
                      <c:pt idx="36">
                        <c:v>105413.8</c:v>
                      </c:pt>
                      <c:pt idx="37">
                        <c:v>93100.702000000005</c:v>
                      </c:pt>
                      <c:pt idx="38">
                        <c:v>92959.701000000001</c:v>
                      </c:pt>
                      <c:pt idx="39">
                        <c:v>88010.441000000006</c:v>
                      </c:pt>
                      <c:pt idx="40">
                        <c:v>88794.004000000001</c:v>
                      </c:pt>
                      <c:pt idx="41">
                        <c:v>93226.275999999998</c:v>
                      </c:pt>
                      <c:pt idx="42">
                        <c:v>91228.342000000004</c:v>
                      </c:pt>
                      <c:pt idx="43">
                        <c:v>100989.601</c:v>
                      </c:pt>
                      <c:pt idx="44">
                        <c:v>101109.583</c:v>
                      </c:pt>
                      <c:pt idx="45">
                        <c:v>112901.594</c:v>
                      </c:pt>
                      <c:pt idx="46">
                        <c:v>114250.76300000001</c:v>
                      </c:pt>
                      <c:pt idx="47">
                        <c:v>127358.57399999999</c:v>
                      </c:pt>
                      <c:pt idx="48">
                        <c:v>123406.02</c:v>
                      </c:pt>
                      <c:pt idx="49">
                        <c:v>103937.52099999999</c:v>
                      </c:pt>
                      <c:pt idx="50">
                        <c:v>100772.212</c:v>
                      </c:pt>
                      <c:pt idx="51">
                        <c:v>96104.597999999998</c:v>
                      </c:pt>
                      <c:pt idx="52">
                        <c:v>87546.407999999996</c:v>
                      </c:pt>
                      <c:pt idx="53">
                        <c:v>95721.775999999998</c:v>
                      </c:pt>
                      <c:pt idx="54">
                        <c:v>91391.126000000004</c:v>
                      </c:pt>
                      <c:pt idx="55">
                        <c:v>97495.217999999993</c:v>
                      </c:pt>
                      <c:pt idx="56">
                        <c:v>97451.630999999994</c:v>
                      </c:pt>
                      <c:pt idx="57">
                        <c:v>113291.10799999999</c:v>
                      </c:pt>
                      <c:pt idx="58">
                        <c:v>115269.05</c:v>
                      </c:pt>
                      <c:pt idx="59">
                        <c:v>129237.35799999999</c:v>
                      </c:pt>
                      <c:pt idx="60">
                        <c:v>118870.359</c:v>
                      </c:pt>
                      <c:pt idx="61">
                        <c:v>96864.569000000003</c:v>
                      </c:pt>
                      <c:pt idx="62">
                        <c:v>89679.724000000002</c:v>
                      </c:pt>
                      <c:pt idx="63">
                        <c:v>93701.03</c:v>
                      </c:pt>
                      <c:pt idx="64">
                        <c:v>91336.843999999997</c:v>
                      </c:pt>
                      <c:pt idx="65">
                        <c:v>90039.040999999997</c:v>
                      </c:pt>
                      <c:pt idx="66">
                        <c:v>86043.752999999997</c:v>
                      </c:pt>
                      <c:pt idx="67">
                        <c:v>95666.748999999996</c:v>
                      </c:pt>
                      <c:pt idx="68">
                        <c:v>101042.997</c:v>
                      </c:pt>
                      <c:pt idx="69">
                        <c:v>108798.41899999999</c:v>
                      </c:pt>
                      <c:pt idx="70">
                        <c:v>107040.272</c:v>
                      </c:pt>
                      <c:pt idx="71">
                        <c:v>128272.379</c:v>
                      </c:pt>
                      <c:pt idx="72">
                        <c:v>116283.806</c:v>
                      </c:pt>
                      <c:pt idx="73">
                        <c:v>99125.531000000003</c:v>
                      </c:pt>
                      <c:pt idx="74">
                        <c:v>92610.347999999998</c:v>
                      </c:pt>
                      <c:pt idx="75">
                        <c:v>84673.304000000004</c:v>
                      </c:pt>
                      <c:pt idx="76">
                        <c:v>86803.210999999996</c:v>
                      </c:pt>
                      <c:pt idx="77">
                        <c:v>90469.67</c:v>
                      </c:pt>
                      <c:pt idx="78">
                        <c:v>91412.76</c:v>
                      </c:pt>
                      <c:pt idx="79">
                        <c:v>94016.725000000006</c:v>
                      </c:pt>
                      <c:pt idx="80">
                        <c:v>98619.127999999997</c:v>
                      </c:pt>
                      <c:pt idx="81">
                        <c:v>117876.299</c:v>
                      </c:pt>
                      <c:pt idx="82">
                        <c:v>118312.262</c:v>
                      </c:pt>
                      <c:pt idx="83">
                        <c:v>131863.546</c:v>
                      </c:pt>
                      <c:pt idx="84">
                        <c:v>127974.03200000001</c:v>
                      </c:pt>
                      <c:pt idx="85">
                        <c:v>113490.519</c:v>
                      </c:pt>
                      <c:pt idx="86">
                        <c:v>109641.58500000001</c:v>
                      </c:pt>
                      <c:pt idx="87">
                        <c:v>97679.616999999998</c:v>
                      </c:pt>
                      <c:pt idx="88">
                        <c:v>102283.505</c:v>
                      </c:pt>
                      <c:pt idx="89">
                        <c:v>106076.09600000001</c:v>
                      </c:pt>
                      <c:pt idx="90">
                        <c:v>97938.391000000003</c:v>
                      </c:pt>
                      <c:pt idx="91">
                        <c:v>96932.331000000006</c:v>
                      </c:pt>
                      <c:pt idx="92">
                        <c:v>99393.986000000004</c:v>
                      </c:pt>
                      <c:pt idx="93">
                        <c:v>117108.442</c:v>
                      </c:pt>
                      <c:pt idx="94">
                        <c:v>118645.628</c:v>
                      </c:pt>
                      <c:pt idx="95">
                        <c:v>138614.247</c:v>
                      </c:pt>
                      <c:pt idx="96">
                        <c:v>131968.568</c:v>
                      </c:pt>
                      <c:pt idx="97">
                        <c:v>115390.43700000001</c:v>
                      </c:pt>
                      <c:pt idx="98">
                        <c:v>104464.23</c:v>
                      </c:pt>
                      <c:pt idx="99">
                        <c:v>101569.77099999999</c:v>
                      </c:pt>
                      <c:pt idx="100">
                        <c:v>99057.198000000004</c:v>
                      </c:pt>
                      <c:pt idx="101">
                        <c:v>106619.163</c:v>
                      </c:pt>
                      <c:pt idx="102">
                        <c:v>98890.501000000004</c:v>
                      </c:pt>
                      <c:pt idx="103">
                        <c:v>99269.357000000004</c:v>
                      </c:pt>
                      <c:pt idx="104">
                        <c:v>99323.913</c:v>
                      </c:pt>
                      <c:pt idx="105">
                        <c:v>113702.254</c:v>
                      </c:pt>
                      <c:pt idx="106">
                        <c:v>115457.11500000001</c:v>
                      </c:pt>
                      <c:pt idx="107">
                        <c:v>135384.93900000001</c:v>
                      </c:pt>
                      <c:pt idx="108">
                        <c:v>128204.861</c:v>
                      </c:pt>
                      <c:pt idx="109">
                        <c:v>110128.88499999999</c:v>
                      </c:pt>
                      <c:pt idx="110">
                        <c:v>99163.126000000004</c:v>
                      </c:pt>
                      <c:pt idx="111">
                        <c:v>94817.042000000001</c:v>
                      </c:pt>
                      <c:pt idx="112">
                        <c:v>95377.111999999994</c:v>
                      </c:pt>
                      <c:pt idx="113">
                        <c:v>98138.305999999997</c:v>
                      </c:pt>
                      <c:pt idx="114">
                        <c:v>91415.824999999997</c:v>
                      </c:pt>
                      <c:pt idx="115">
                        <c:v>99269.63</c:v>
                      </c:pt>
                      <c:pt idx="116">
                        <c:v>100186.098</c:v>
                      </c:pt>
                      <c:pt idx="117">
                        <c:v>116706.88499999999</c:v>
                      </c:pt>
                      <c:pt idx="118">
                        <c:v>116396.587</c:v>
                      </c:pt>
                      <c:pt idx="119">
                        <c:v>134319.11199999999</c:v>
                      </c:pt>
                      <c:pt idx="120">
                        <c:v>126634.73</c:v>
                      </c:pt>
                      <c:pt idx="121">
                        <c:v>118091.255</c:v>
                      </c:pt>
                      <c:pt idx="122">
                        <c:v>104797.89599999999</c:v>
                      </c:pt>
                      <c:pt idx="123">
                        <c:v>96273.91</c:v>
                      </c:pt>
                      <c:pt idx="124">
                        <c:v>90827.354999999996</c:v>
                      </c:pt>
                      <c:pt idx="125">
                        <c:v>92115.646999999997</c:v>
                      </c:pt>
                      <c:pt idx="126">
                        <c:v>84994.337</c:v>
                      </c:pt>
                      <c:pt idx="127">
                        <c:v>92837.989000000001</c:v>
                      </c:pt>
                      <c:pt idx="128">
                        <c:v>105259.43399999999</c:v>
                      </c:pt>
                      <c:pt idx="129">
                        <c:v>119245.978</c:v>
                      </c:pt>
                      <c:pt idx="130">
                        <c:v>122565.787</c:v>
                      </c:pt>
                      <c:pt idx="131">
                        <c:v>135687.63</c:v>
                      </c:pt>
                      <c:pt idx="132">
                        <c:v>126664.766</c:v>
                      </c:pt>
                      <c:pt idx="133">
                        <c:v>107339.353</c:v>
                      </c:pt>
                      <c:pt idx="134">
                        <c:v>104447.591</c:v>
                      </c:pt>
                      <c:pt idx="135">
                        <c:v>100278.478</c:v>
                      </c:pt>
                      <c:pt idx="136">
                        <c:v>100293.784</c:v>
                      </c:pt>
                      <c:pt idx="137">
                        <c:v>106785.193</c:v>
                      </c:pt>
                      <c:pt idx="138">
                        <c:v>103918.02899999999</c:v>
                      </c:pt>
                      <c:pt idx="139">
                        <c:v>105566.541</c:v>
                      </c:pt>
                      <c:pt idx="140">
                        <c:v>104735.57</c:v>
                      </c:pt>
                      <c:pt idx="141">
                        <c:v>119591.671</c:v>
                      </c:pt>
                      <c:pt idx="142">
                        <c:v>121352.736</c:v>
                      </c:pt>
                      <c:pt idx="143">
                        <c:v>138909.815</c:v>
                      </c:pt>
                      <c:pt idx="144">
                        <c:v>132842.122</c:v>
                      </c:pt>
                      <c:pt idx="145">
                        <c:v>112760.29700000001</c:v>
                      </c:pt>
                      <c:pt idx="146">
                        <c:v>101708.371</c:v>
                      </c:pt>
                      <c:pt idx="147">
                        <c:v>100872.091</c:v>
                      </c:pt>
                      <c:pt idx="148">
                        <c:v>103451.927</c:v>
                      </c:pt>
                      <c:pt idx="149">
                        <c:v>101295.785</c:v>
                      </c:pt>
                      <c:pt idx="150">
                        <c:v>94335.046000000002</c:v>
                      </c:pt>
                      <c:pt idx="151">
                        <c:v>93362.235000000001</c:v>
                      </c:pt>
                      <c:pt idx="152">
                        <c:v>99668.426000000007</c:v>
                      </c:pt>
                      <c:pt idx="153">
                        <c:v>114382.671</c:v>
                      </c:pt>
                      <c:pt idx="154">
                        <c:v>115196.484</c:v>
                      </c:pt>
                      <c:pt idx="155">
                        <c:v>128292.75599999999</c:v>
                      </c:pt>
                      <c:pt idx="156">
                        <c:v>120193.633</c:v>
                      </c:pt>
                      <c:pt idx="157">
                        <c:v>100247.048</c:v>
                      </c:pt>
                      <c:pt idx="158">
                        <c:v>98785.998000000007</c:v>
                      </c:pt>
                      <c:pt idx="159">
                        <c:v>91803.258000000002</c:v>
                      </c:pt>
                      <c:pt idx="160">
                        <c:v>90316.490999999995</c:v>
                      </c:pt>
                      <c:pt idx="161">
                        <c:v>92456.012000000002</c:v>
                      </c:pt>
                      <c:pt idx="162">
                        <c:v>86803.48</c:v>
                      </c:pt>
                      <c:pt idx="163">
                        <c:v>95638.402000000002</c:v>
                      </c:pt>
                      <c:pt idx="164">
                        <c:v>98544.985000000001</c:v>
                      </c:pt>
                      <c:pt idx="165">
                        <c:v>114347.825</c:v>
                      </c:pt>
                      <c:pt idx="166">
                        <c:v>117351.395</c:v>
                      </c:pt>
                      <c:pt idx="167">
                        <c:v>136557.878</c:v>
                      </c:pt>
                      <c:pt idx="168">
                        <c:v>131144.783</c:v>
                      </c:pt>
                      <c:pt idx="169">
                        <c:v>114784.26700000001</c:v>
                      </c:pt>
                      <c:pt idx="170">
                        <c:v>108061.84699999999</c:v>
                      </c:pt>
                      <c:pt idx="171">
                        <c:v>99626.997000000003</c:v>
                      </c:pt>
                      <c:pt idx="172">
                        <c:v>102460.84</c:v>
                      </c:pt>
                      <c:pt idx="173">
                        <c:v>101837.054</c:v>
                      </c:pt>
                      <c:pt idx="174">
                        <c:v>91410.369000000006</c:v>
                      </c:pt>
                      <c:pt idx="175">
                        <c:v>102006.213</c:v>
                      </c:pt>
                      <c:pt idx="176">
                        <c:v>109092.33500000001</c:v>
                      </c:pt>
                      <c:pt idx="177">
                        <c:v>118281.86500000001</c:v>
                      </c:pt>
                      <c:pt idx="178">
                        <c:v>123370.659</c:v>
                      </c:pt>
                      <c:pt idx="179">
                        <c:v>129923.352</c:v>
                      </c:pt>
                      <c:pt idx="180">
                        <c:v>126925.84299999999</c:v>
                      </c:pt>
                      <c:pt idx="181">
                        <c:v>114099.296</c:v>
                      </c:pt>
                      <c:pt idx="182">
                        <c:v>117287.747</c:v>
                      </c:pt>
                      <c:pt idx="183">
                        <c:v>106219.091</c:v>
                      </c:pt>
                      <c:pt idx="184">
                        <c:v>104203.57799999999</c:v>
                      </c:pt>
                      <c:pt idx="185">
                        <c:v>101666.758</c:v>
                      </c:pt>
                      <c:pt idx="186">
                        <c:v>98523.769</c:v>
                      </c:pt>
                      <c:pt idx="187">
                        <c:v>101563.709</c:v>
                      </c:pt>
                      <c:pt idx="188">
                        <c:v>101333.36500000001</c:v>
                      </c:pt>
                      <c:pt idx="189">
                        <c:v>116790.68799999999</c:v>
                      </c:pt>
                      <c:pt idx="190">
                        <c:v>114708.496</c:v>
                      </c:pt>
                      <c:pt idx="191">
                        <c:v>129735.439</c:v>
                      </c:pt>
                      <c:pt idx="192">
                        <c:v>128223.046</c:v>
                      </c:pt>
                      <c:pt idx="193">
                        <c:v>118378.853</c:v>
                      </c:pt>
                      <c:pt idx="194">
                        <c:v>113681.039</c:v>
                      </c:pt>
                      <c:pt idx="195">
                        <c:v>107807.25599999999</c:v>
                      </c:pt>
                      <c:pt idx="196">
                        <c:v>104570.31</c:v>
                      </c:pt>
                      <c:pt idx="197">
                        <c:v>105161.325</c:v>
                      </c:pt>
                      <c:pt idx="198">
                        <c:v>104758.223</c:v>
                      </c:pt>
                      <c:pt idx="199">
                        <c:v>108225.51300000001</c:v>
                      </c:pt>
                      <c:pt idx="200">
                        <c:v>114187.19</c:v>
                      </c:pt>
                      <c:pt idx="201">
                        <c:v>112414.144</c:v>
                      </c:pt>
                      <c:pt idx="202">
                        <c:v>111416.995</c:v>
                      </c:pt>
                      <c:pt idx="203">
                        <c:v>135581.94500000001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AA-4128-B5CF-A63C6CD436D8}"/>
                  </c:ext>
                </c:extLst>
              </c15:ser>
            </c15:filteredLineSeries>
          </c:ext>
        </c:extLst>
      </c:lineChart>
      <c:catAx>
        <c:axId val="1298908240"/>
        <c:scaling>
          <c:orientation val="minMax"/>
        </c:scaling>
        <c:delete val="0"/>
        <c:axPos val="b"/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905840"/>
        <c:crosses val="autoZero"/>
        <c:auto val="1"/>
        <c:lblAlgn val="ctr"/>
        <c:lblOffset val="100"/>
        <c:noMultiLvlLbl val="0"/>
      </c:catAx>
      <c:valAx>
        <c:axId val="1298905840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90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[Prod.xlsx]Graphiques!Tableau croisé dynamique3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Graphiques!$B$20</c:f>
              <c:strCache>
                <c:ptCount val="1"/>
                <c:pt idx="0">
                  <c:v>Somme de Hydraulique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Graphiques!$A$21:$A$38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Graphiques!$B$21:$B$38</c:f>
              <c:numCache>
                <c:formatCode>General</c:formatCode>
                <c:ptCount val="17"/>
                <c:pt idx="0">
                  <c:v>62440.582000000009</c:v>
                </c:pt>
                <c:pt idx="1">
                  <c:v>64442.74</c:v>
                </c:pt>
                <c:pt idx="2">
                  <c:v>69221.323000000004</c:v>
                </c:pt>
                <c:pt idx="3">
                  <c:v>62741.931000000004</c:v>
                </c:pt>
                <c:pt idx="4">
                  <c:v>68558.691999999995</c:v>
                </c:pt>
                <c:pt idx="5">
                  <c:v>51084.694000000003</c:v>
                </c:pt>
                <c:pt idx="6">
                  <c:v>64450.890999999996</c:v>
                </c:pt>
                <c:pt idx="7">
                  <c:v>75357.467000000004</c:v>
                </c:pt>
                <c:pt idx="8">
                  <c:v>68247.724000000002</c:v>
                </c:pt>
                <c:pt idx="9">
                  <c:v>59337.802999999993</c:v>
                </c:pt>
                <c:pt idx="10">
                  <c:v>64358.935000000005</c:v>
                </c:pt>
                <c:pt idx="11">
                  <c:v>53911.704999999987</c:v>
                </c:pt>
                <c:pt idx="12">
                  <c:v>70334.986999999994</c:v>
                </c:pt>
                <c:pt idx="13">
                  <c:v>61645.132000000005</c:v>
                </c:pt>
                <c:pt idx="14">
                  <c:v>66786.862999999998</c:v>
                </c:pt>
                <c:pt idx="15">
                  <c:v>64222.131999999998</c:v>
                </c:pt>
                <c:pt idx="16">
                  <c:v>51089.892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6-4A5E-B2B5-E8507B92E9A4}"/>
            </c:ext>
          </c:extLst>
        </c:ser>
        <c:ser>
          <c:idx val="1"/>
          <c:order val="1"/>
          <c:tx>
            <c:strRef>
              <c:f>Graphiques!$C$20</c:f>
              <c:strCache>
                <c:ptCount val="1"/>
                <c:pt idx="0">
                  <c:v>Somme de Éolien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Graphiques!$A$21:$A$38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Graphiques!$C$21:$C$38</c:f>
              <c:numCache>
                <c:formatCode>General</c:formatCode>
                <c:ptCount val="17"/>
                <c:pt idx="0">
                  <c:v>2169.3900000000003</c:v>
                </c:pt>
                <c:pt idx="1">
                  <c:v>4140.7439999999997</c:v>
                </c:pt>
                <c:pt idx="2">
                  <c:v>5711.0289999999995</c:v>
                </c:pt>
                <c:pt idx="3">
                  <c:v>7596.3679999999995</c:v>
                </c:pt>
                <c:pt idx="4">
                  <c:v>9413.6940000000013</c:v>
                </c:pt>
                <c:pt idx="5">
                  <c:v>11626.093999999999</c:v>
                </c:pt>
                <c:pt idx="6">
                  <c:v>14302.527</c:v>
                </c:pt>
                <c:pt idx="7">
                  <c:v>15212.403</c:v>
                </c:pt>
                <c:pt idx="8">
                  <c:v>16171.319</c:v>
                </c:pt>
                <c:pt idx="9">
                  <c:v>20170.422999999999</c:v>
                </c:pt>
                <c:pt idx="10">
                  <c:v>19888.056</c:v>
                </c:pt>
                <c:pt idx="11">
                  <c:v>22599.117000000002</c:v>
                </c:pt>
                <c:pt idx="12">
                  <c:v>27875.742000000002</c:v>
                </c:pt>
                <c:pt idx="13">
                  <c:v>34313.510999999999</c:v>
                </c:pt>
                <c:pt idx="14">
                  <c:v>39733.923999999999</c:v>
                </c:pt>
                <c:pt idx="15">
                  <c:v>36931.260000000009</c:v>
                </c:pt>
                <c:pt idx="16">
                  <c:v>38038.797999999995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6-4A5E-B2B5-E8507B92E9A4}"/>
            </c:ext>
          </c:extLst>
        </c:ser>
        <c:ser>
          <c:idx val="2"/>
          <c:order val="2"/>
          <c:tx>
            <c:strRef>
              <c:f>Graphiques!$D$20</c:f>
              <c:strCache>
                <c:ptCount val="1"/>
                <c:pt idx="0">
                  <c:v>Somme de Solaire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Graphiques!$A$21:$A$38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Graphiques!$D$21:$D$38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1936.539</c:v>
                </c:pt>
                <c:pt idx="6">
                  <c:v>3687.078</c:v>
                </c:pt>
                <c:pt idx="7">
                  <c:v>4336.8559999999998</c:v>
                </c:pt>
                <c:pt idx="8">
                  <c:v>5487.1939999999995</c:v>
                </c:pt>
                <c:pt idx="9">
                  <c:v>6739.302999999999</c:v>
                </c:pt>
                <c:pt idx="10">
                  <c:v>7665.799</c:v>
                </c:pt>
                <c:pt idx="11">
                  <c:v>8607.83</c:v>
                </c:pt>
                <c:pt idx="12">
                  <c:v>10695.530999999999</c:v>
                </c:pt>
                <c:pt idx="13">
                  <c:v>12092.005000000003</c:v>
                </c:pt>
                <c:pt idx="14">
                  <c:v>13400.698</c:v>
                </c:pt>
                <c:pt idx="15">
                  <c:v>14812.040999999999</c:v>
                </c:pt>
                <c:pt idx="16">
                  <c:v>19001.106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76-4A5E-B2B5-E8507B92E9A4}"/>
            </c:ext>
          </c:extLst>
        </c:ser>
        <c:ser>
          <c:idx val="3"/>
          <c:order val="3"/>
          <c:tx>
            <c:strRef>
              <c:f>Graphiques!$E$20</c:f>
              <c:strCache>
                <c:ptCount val="1"/>
                <c:pt idx="0">
                  <c:v>Somme de Nucléaire_Elec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Graphiques!$A$21:$A$38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Graphiques!$E$21:$E$38</c:f>
              <c:numCache>
                <c:formatCode>General</c:formatCode>
                <c:ptCount val="17"/>
                <c:pt idx="0">
                  <c:v>454801.94633333338</c:v>
                </c:pt>
                <c:pt idx="1">
                  <c:v>444352.59299999994</c:v>
                </c:pt>
                <c:pt idx="2">
                  <c:v>444000.19366666669</c:v>
                </c:pt>
                <c:pt idx="3">
                  <c:v>414348.80166666664</c:v>
                </c:pt>
                <c:pt idx="4">
                  <c:v>432722.73699999996</c:v>
                </c:pt>
                <c:pt idx="5">
                  <c:v>446627.84233333339</c:v>
                </c:pt>
                <c:pt idx="6">
                  <c:v>429777.31599999999</c:v>
                </c:pt>
                <c:pt idx="7">
                  <c:v>428041.15633333329</c:v>
                </c:pt>
                <c:pt idx="8">
                  <c:v>440365.81533333333</c:v>
                </c:pt>
                <c:pt idx="9">
                  <c:v>441926.12633333332</c:v>
                </c:pt>
                <c:pt idx="10">
                  <c:v>407355.52999999997</c:v>
                </c:pt>
                <c:pt idx="11">
                  <c:v>402452.04533333337</c:v>
                </c:pt>
                <c:pt idx="12">
                  <c:v>417208.00866666663</c:v>
                </c:pt>
                <c:pt idx="13">
                  <c:v>403114.46033333335</c:v>
                </c:pt>
                <c:pt idx="14">
                  <c:v>357471.18566666672</c:v>
                </c:pt>
                <c:pt idx="15">
                  <c:v>383262.10933333338</c:v>
                </c:pt>
                <c:pt idx="16">
                  <c:v>297761.63699999999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2E6-AA99-06165695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3969232"/>
        <c:axId val="1420203072"/>
      </c:barChart>
      <c:catAx>
        <c:axId val="14139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203072"/>
        <c:crosses val="autoZero"/>
        <c:auto val="1"/>
        <c:lblAlgn val="ctr"/>
        <c:lblOffset val="100"/>
        <c:noMultiLvlLbl val="0"/>
      </c:catAx>
      <c:valAx>
        <c:axId val="142020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96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share of each source in the french electricity mix</a:t>
            </a:r>
            <a:r>
              <a:rPr lang="en-US"/>
              <a:t>(2006-2026)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Graphiques!$B$40</c:f>
              <c:strCache>
                <c:ptCount val="1"/>
                <c:pt idx="0">
                  <c:v>Moyenne (GWh)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20-48C3-893B-F880C9666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620-48C3-893B-F880C96660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20-48C3-893B-F880C96660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620-48C3-893B-F880C966607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620-48C3-893B-F880C966607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620-48C3-893B-F880C966607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620-48C3-893B-F880C966607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B620-48C3-893B-F880C966607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Graphiques!$A$41:$A$44</c:f>
              <c:strCache>
                <c:ptCount val="4"/>
                <c:pt idx="0">
                  <c:v>Nucléaire</c:v>
                </c:pt>
                <c:pt idx="1">
                  <c:v>Hydraulique</c:v>
                </c:pt>
                <c:pt idx="2">
                  <c:v>Éolien</c:v>
                </c:pt>
                <c:pt idx="3">
                  <c:v>Solaire</c:v>
                </c:pt>
              </c:strCache>
            </c:strRef>
          </c:cat>
          <c:val>
            <c:numRef>
              <c:f>Graphiques!$B$41:$B$44</c:f>
              <c:numCache>
                <c:formatCode>General</c:formatCode>
                <c:ptCount val="4"/>
                <c:pt idx="0">
                  <c:v>34537.203452614391</c:v>
                </c:pt>
                <c:pt idx="1">
                  <c:v>5285.4582990196095</c:v>
                </c:pt>
                <c:pt idx="2">
                  <c:v>1302.405</c:v>
                </c:pt>
                <c:pt idx="3">
                  <c:v>753.20819444444464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0-48C3-893B-F880C966607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1</xdr:row>
      <xdr:rowOff>53340</xdr:rowOff>
    </xdr:from>
    <xdr:to>
      <xdr:col>5</xdr:col>
      <xdr:colOff>693420</xdr:colOff>
      <xdr:row>16</xdr:row>
      <xdr:rowOff>97155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E798BCB-E07B-41A3-8C5B-09C3C2FB5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1</xdr:row>
      <xdr:rowOff>47625</xdr:rowOff>
    </xdr:from>
    <xdr:to>
      <xdr:col>11</xdr:col>
      <xdr:colOff>733425</xdr:colOff>
      <xdr:row>16</xdr:row>
      <xdr:rowOff>83820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D961C9D-68B1-48A3-B482-2EC869336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452658</xdr:colOff>
      <xdr:row>18</xdr:row>
      <xdr:rowOff>181268</xdr:rowOff>
    </xdr:from>
    <xdr:to>
      <xdr:col>10</xdr:col>
      <xdr:colOff>169986</xdr:colOff>
      <xdr:row>35</xdr:row>
      <xdr:rowOff>173574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0B39480-DCDC-9716-FD9D-6DF5E2FBB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236220</xdr:colOff>
      <xdr:row>38</xdr:row>
      <xdr:rowOff>147637</xdr:rowOff>
    </xdr:from>
    <xdr:to>
      <xdr:col>6</xdr:col>
      <xdr:colOff>260985</xdr:colOff>
      <xdr:row>55</xdr:row>
      <xdr:rowOff>45720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9B45CB6-BEA6-C73B-AB7D-81C1D2A63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209550</xdr:colOff>
      <xdr:row>34</xdr:row>
      <xdr:rowOff>34290</xdr:rowOff>
    </xdr:from>
    <xdr:to>
      <xdr:col>9</xdr:col>
      <xdr:colOff>304800</xdr:colOff>
      <xdr:row>35</xdr:row>
      <xdr:rowOff>129540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259A616B-CC1C-4DD9-176C-7480BEACFB40}"/>
            </a:ext>
          </a:extLst>
        </xdr:cNvPr>
        <xdr:cNvSpPr txBox="1"/>
      </xdr:nvSpPr>
      <xdr:spPr>
        <a:xfrm>
          <a:off x="8058150" y="6187440"/>
          <a:ext cx="28384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Mix de</a:t>
          </a:r>
          <a:r>
            <a:rPr lang="fr-FR" sz="1100" baseline="0"/>
            <a:t> </a:t>
          </a:r>
          <a:r>
            <a:rPr lang="fr-FR" sz="1100" baseline="0">
              <a:latin typeface="+mn-lt"/>
            </a:rPr>
            <a:t>production</a:t>
          </a:r>
          <a:r>
            <a:rPr lang="fr-FR" sz="1100" baseline="0"/>
            <a:t> électrique par année</a:t>
          </a:r>
        </a:p>
        <a:p>
          <a:endParaRPr lang="fr-FR" sz="1100"/>
        </a:p>
      </xdr:txBody>
    </xdr:sp>
    <xdr:clientData/>
  </xdr:twoCellAnchor>
  <xdr:twoCellAnchor editAs="oneCell">
    <xdr:from>
      <xdr:col>0</xdr:col>
      <xdr:colOff>182880</xdr:colOff>
      <xdr:row>55</xdr:row>
      <xdr:rowOff>137160</xdr:rowOff>
    </xdr:from>
    <xdr:to>
      <xdr:col>4</xdr:col>
      <xdr:colOff>1150620</xdr:colOff>
      <xdr:row>72</xdr:row>
      <xdr:rowOff>2675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6C9903E-94AD-BCF4-4F48-1056DF18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" y="10195560"/>
          <a:ext cx="5882640" cy="2974475"/>
        </a:xfrm>
        <a:prstGeom prst="rect">
          <a:avLst/>
        </a:prstGeom>
      </xdr:spPr>
    </xdr:pic>
    <xdr:clientData/>
  </xdr:twoCellAnchor>
  <xdr:twoCellAnchor editAs="oneCell">
    <xdr:from>
      <xdr:col>4</xdr:col>
      <xdr:colOff>1158241</xdr:colOff>
      <xdr:row>55</xdr:row>
      <xdr:rowOff>90010</xdr:rowOff>
    </xdr:from>
    <xdr:to>
      <xdr:col>9</xdr:col>
      <xdr:colOff>481966</xdr:colOff>
      <xdr:row>71</xdr:row>
      <xdr:rowOff>19474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747F279-60A9-EA22-9F24-247963621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47461" y="10148410"/>
          <a:ext cx="5280660" cy="284411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72</xdr:row>
      <xdr:rowOff>83820</xdr:rowOff>
    </xdr:from>
    <xdr:to>
      <xdr:col>3</xdr:col>
      <xdr:colOff>929640</xdr:colOff>
      <xdr:row>94</xdr:row>
      <xdr:rowOff>133580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D4A08CF-C7FE-2C87-89F5-C7CF642DB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1" y="13251180"/>
          <a:ext cx="4511039" cy="406550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71</xdr:row>
      <xdr:rowOff>141515</xdr:rowOff>
    </xdr:from>
    <xdr:to>
      <xdr:col>8</xdr:col>
      <xdr:colOff>604974</xdr:colOff>
      <xdr:row>98</xdr:row>
      <xdr:rowOff>153067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2B63E18-8C37-3B1D-ABA3-4134F6E44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25886" y="13280572"/>
          <a:ext cx="5225143" cy="500809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rmania AAAAAAAAAAAAAAAAAAA" refreshedDate="46148.727328703702" createdVersion="8" refreshedVersion="8" minRefreshableVersion="3" recordCount="205" xr:uid="{543EDD41-EE71-4553-83C0-409523FAB689}">
  <cacheSource type="worksheet">
    <worksheetSource ref="A1:L1048576" sheet="Production"/>
  </cacheSource>
  <cacheFields count="11">
    <cacheField name="Période" numFmtId="0">
      <sharedItems containsBlank="1"/>
    </cacheField>
    <cacheField name="Hydraulique" numFmtId="0">
      <sharedItems containsString="0" containsBlank="1" containsNumber="1" minValue="2541.154" maxValue="8578.86"/>
    </cacheField>
    <cacheField name="Éolien" numFmtId="0">
      <sharedItems containsString="0" containsBlank="1" containsNumber="1" minValue="94.016999999999996" maxValue="5907.95"/>
    </cacheField>
    <cacheField name="Solaire" numFmtId="0">
      <sharedItems containsBlank="1" containsMixedTypes="1" containsNumber="1" minValue="42.411000000000001" maxValue="2592.2370000000001" count="146">
        <n v="604.49699999999996"/>
        <n v="848.82399999999996"/>
        <n v="1319.37"/>
        <n v="1838.6089999999999"/>
        <n v="2302.8539999999998"/>
        <n v="2592.2370000000001"/>
        <n v="2230.2069999999999"/>
        <n v="2263.87"/>
        <n v="1795.845"/>
        <n v="1390.713"/>
        <n v="1029.124"/>
        <n v="784.95600000000002"/>
        <n v="588.28599999999994"/>
        <n v="704.46"/>
        <n v="1248.9770000000001"/>
        <n v="1466.2729999999999"/>
        <n v="1749.93"/>
        <n v="1718.223"/>
        <n v="1676.3050000000001"/>
        <n v="1621.2909999999999"/>
        <n v="1580.027"/>
        <n v="1304.153"/>
        <n v="673.73099999999999"/>
        <n v="480.38499999999999"/>
        <n v="374.11500000000001"/>
        <n v="697.01300000000003"/>
        <n v="809.23400000000004"/>
        <n v="1273.5"/>
        <n v="1556.403"/>
        <n v="1742.078"/>
        <n v="1554.798"/>
        <n v="1633.665"/>
        <n v="1351.3230000000001"/>
        <n v="1101.644"/>
        <n v="782.66800000000001"/>
        <n v="524.25699999999995"/>
        <n v="490.09699999999998"/>
        <n v="559.28300000000002"/>
        <n v="822.01900000000001"/>
        <n v="1200.6199999999999"/>
        <n v="1407.7429999999999"/>
        <n v="1484.086"/>
        <n v="1396.056"/>
        <n v="1299.751"/>
        <n v="1080.3240000000001"/>
        <n v="1068.5129999999999"/>
        <n v="782.28700000000003"/>
        <n v="501.226"/>
        <n v="370.54899999999998"/>
        <n v="499.14400000000001"/>
        <n v="810.06700000000001"/>
        <n v="1177.0060000000001"/>
        <n v="1326.5619999999999"/>
        <n v="1432.732"/>
        <n v="1283.9749999999999"/>
        <n v="1144.258"/>
        <n v="1011.24"/>
        <n v="774.30899999999997"/>
        <n v="534.43799999999999"/>
        <n v="331.25099999999998"/>
        <n v="295.327"/>
        <n v="400.92599999999999"/>
        <n v="652.53399999999999"/>
        <n v="792.77200000000005"/>
        <n v="1000.546"/>
        <n v="1059.8620000000001"/>
        <n v="1049.4939999999999"/>
        <n v="1015.797"/>
        <n v="931.16099999999994"/>
        <n v="678.52"/>
        <n v="412.99799999999999"/>
        <n v="317.89299999999997"/>
        <n v="251.57"/>
        <n v="315.50599999999997"/>
        <n v="551.00199999999995"/>
        <n v="759.49599999999998"/>
        <n v="962.98800000000006"/>
        <n v="1006.566"/>
        <n v="911.02300000000002"/>
        <n v="896.36199999999997"/>
        <n v="760.26900000000001"/>
        <n v="622.24900000000002"/>
        <n v="380.45299999999997"/>
        <n v="248.315"/>
        <n v="211.76"/>
        <n v="323.54300000000001"/>
        <n v="478.99799999999999"/>
        <n v="648.55499999999995"/>
        <n v="791.31100000000004"/>
        <n v="872.39099999999996"/>
        <n v="850.68200000000002"/>
        <n v="787.32500000000005"/>
        <n v="697.72"/>
        <n v="516.31100000000004"/>
        <n v="332.70299999999997"/>
        <n v="228.00399999999999"/>
        <n v="181.53299999999999"/>
        <n v="227.435"/>
        <n v="428.78399999999999"/>
        <n v="565.38800000000003"/>
        <n v="659.89300000000003"/>
        <n v="681.44200000000001"/>
        <n v="685.63"/>
        <n v="635.38199999999995"/>
        <n v="543.93100000000004"/>
        <n v="464.56400000000002"/>
        <n v="248.23099999999999"/>
        <n v="164.98099999999999"/>
        <n v="160.041"/>
        <n v="176.309"/>
        <n v="306.16500000000002"/>
        <n v="426.28"/>
        <n v="541.73599999999999"/>
        <n v="586.91800000000001"/>
        <n v="537.26300000000003"/>
        <n v="489.255"/>
        <n v="419.76100000000002"/>
        <n v="337.68200000000002"/>
        <n v="216.31700000000001"/>
        <n v="139.12899999999999"/>
        <n v="121.908"/>
        <n v="159.749"/>
        <n v="268.863"/>
        <n v="373.91800000000001"/>
        <n v="468.33800000000002"/>
        <n v="499.42599999999999"/>
        <n v="453.637"/>
        <n v="422.47500000000002"/>
        <n v="330.06200000000001"/>
        <n v="299.61500000000001"/>
        <n v="180.39699999999999"/>
        <n v="108.69"/>
        <n v="82.69"/>
        <n v="105.379"/>
        <n v="182.74"/>
        <n v="229.17099999999999"/>
        <n v="256.13400000000001"/>
        <n v="256.15699999999998"/>
        <n v="220.39699999999999"/>
        <n v="205.304"/>
        <n v="168.58099999999999"/>
        <n v="120.04600000000001"/>
        <n v="67.528999999999996"/>
        <n v="42.411000000000001"/>
        <s v="0"/>
        <m/>
      </sharedItems>
    </cacheField>
    <cacheField name="Nucléaire" numFmtId="0">
      <sharedItems containsString="0" containsBlank="1" containsNumber="1" minValue="58554.053999999996" maxValue="138909.815"/>
    </cacheField>
    <cacheField name="Année" numFmtId="0">
      <sharedItems containsString="0" containsBlank="1" containsNumber="1" containsInteger="1" minValue="2006" maxValue="2022" count="18"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m/>
      </sharedItems>
    </cacheField>
    <cacheField name="Mois" numFmtId="0">
      <sharedItems containsString="0" containsBlank="1" containsNumber="1" containsInteger="1" minValue="1" maxValue="12" count="13"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Total_EnR" numFmtId="0">
      <sharedItems containsString="0" containsBlank="1" containsNumber="1" minValue="3536.9650000000001" maxValue="13257.323999999999"/>
    </cacheField>
    <cacheField name="Total_Production" numFmtId="0">
      <sharedItems containsString="0" containsBlank="1" containsNumber="1" minValue="65273.619999999995" maxValue="147255.538"/>
    </cacheField>
    <cacheField name="Part_Nucléaire en %" numFmtId="0">
      <sharedItems containsString="0" containsBlank="1" containsNumber="1" minValue="6.5914897994035071" maxValue="30.586404337531174"/>
    </cacheField>
    <cacheField name="Part_EnR en %" numFmtId="0">
      <sharedItems containsString="0" containsBlank="1" containsNumber="1" minValue="8.3786738285336241E-5" maxValue="2.8860740629573444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rmania AAAAAAAAAAAAAAAAAAA" refreshedDate="46149.797716666668" createdVersion="8" refreshedVersion="8" minRefreshableVersion="3" recordCount="204" xr:uid="{91EFCFD4-34D9-4E43-B1A8-C1F7E252BA56}">
  <cacheSource type="worksheet">
    <worksheetSource name="Tableau3"/>
  </cacheSource>
  <cacheFields count="12">
    <cacheField name="Période" numFmtId="0">
      <sharedItems/>
    </cacheField>
    <cacheField name="Hydraulique" numFmtId="0">
      <sharedItems containsSemiMixedTypes="0" containsString="0" containsNumber="1" minValue="2541.154" maxValue="8578.86"/>
    </cacheField>
    <cacheField name="Éolien" numFmtId="0">
      <sharedItems containsSemiMixedTypes="0" containsString="0" containsNumber="1" minValue="94.016999999999996" maxValue="5907.95"/>
    </cacheField>
    <cacheField name="Solaire" numFmtId="0">
      <sharedItems containsMixedTypes="1" containsNumber="1" minValue="42.411000000000001" maxValue="2592.2370000000001"/>
    </cacheField>
    <cacheField name="Nucléaire" numFmtId="0">
      <sharedItems containsSemiMixedTypes="0" containsString="0" containsNumber="1" minValue="58554.053999999996" maxValue="138909.815"/>
    </cacheField>
    <cacheField name="Nucléaire_Elec" numFmtId="0">
      <sharedItems containsSemiMixedTypes="0" containsString="0" containsNumber="1" minValue="19518.018" maxValue="46303.271666666667"/>
    </cacheField>
    <cacheField name="Année" numFmtId="0">
      <sharedItems containsSemiMixedTypes="0" containsString="0" containsNumber="1" containsInteger="1" minValue="2006" maxValue="2022" count="17"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</sharedItems>
    </cacheField>
    <cacheField name="Mois" numFmtId="0">
      <sharedItems containsSemiMixedTypes="0" containsString="0" containsNumber="1" containsInteger="1" minValue="1" maxValue="12"/>
    </cacheField>
    <cacheField name="Total_EnR" numFmtId="0">
      <sharedItems containsSemiMixedTypes="0" containsString="0" containsNumber="1" minValue="3536.9650000000001" maxValue="13257.323999999999"/>
    </cacheField>
    <cacheField name="Total_Production" numFmtId="0">
      <sharedItems containsSemiMixedTypes="0" containsString="0" containsNumber="1" minValue="26206.940000000002" maxValue="54910.898333333331"/>
    </cacheField>
    <cacheField name="Part_Nucléaire en %" numFmtId="0">
      <sharedItems containsSemiMixedTypes="0" containsString="0" containsNumber="1" minValue="0.68722272944641316" maxValue="0.91067814316021778"/>
    </cacheField>
    <cacheField name="Part_EnR en %" numFmtId="0">
      <sharedItems containsSemiMixedTypes="0" containsString="0" containsNumber="1" minValue="8.9321856839782221E-2" maxValue="0.31277727055358695"/>
    </cacheField>
  </cacheFields>
  <extLst>
    <ext xmlns:x14="http://schemas.microsoft.com/office/spreadsheetml/2009/9/main" uri="{725AE2AE-9491-48be-B2B4-4EB974FC3084}">
      <x14:pivotCacheDefinition pivotCacheId="1039368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2022-12"/>
    <n v="5234.5219999999999"/>
    <n v="4364.634"/>
    <x v="0"/>
    <n v="89307.744000000006"/>
    <x v="0"/>
    <x v="0"/>
    <n v="10203.652999999998"/>
    <n v="99511.396999999997"/>
    <n v="8.7525265706311277"/>
    <n v="1.1760494011311441E-3"/>
  </r>
  <r>
    <s v="2022-11"/>
    <n v="3949.0450000000001"/>
    <n v="4626.7579999999998"/>
    <x v="1"/>
    <n v="69562.288"/>
    <x v="0"/>
    <x v="1"/>
    <n v="9424.6270000000004"/>
    <n v="78986.915000000008"/>
    <n v="7.3809062151743507"/>
    <n v="1.1671549441691432E-3"/>
  </r>
  <r>
    <s v="2022-10"/>
    <n v="3152.902"/>
    <n v="3432.3760000000002"/>
    <x v="2"/>
    <n v="65057.226000000002"/>
    <x v="0"/>
    <x v="2"/>
    <n v="7904.6480000000001"/>
    <n v="72961.873999999996"/>
    <n v="8.2302495949218741"/>
    <n v="1.2650784702873551E-3"/>
  </r>
  <r>
    <s v="2022-09"/>
    <n v="2541.154"/>
    <n v="2293.837"/>
    <x v="3"/>
    <n v="58600.02"/>
    <x v="0"/>
    <x v="3"/>
    <n v="6673.6"/>
    <n v="65273.619999999995"/>
    <n v="8.7808708942699578"/>
    <n v="1.3485974586430111E-3"/>
  </r>
  <r>
    <s v="2022-08"/>
    <n v="2778.7089999999998"/>
    <n v="2077.6019999999999"/>
    <x v="4"/>
    <n v="58554.053999999996"/>
    <x v="0"/>
    <x v="4"/>
    <n v="7159.1649999999991"/>
    <n v="65713.218999999997"/>
    <n v="8.1788943263634799"/>
    <n v="1.1174487527525908E-3"/>
  </r>
  <r>
    <s v="2022-07"/>
    <n v="3588.9290000000001"/>
    <n v="1885.33"/>
    <x v="5"/>
    <n v="60385.593000000001"/>
    <x v="0"/>
    <x v="5"/>
    <n v="8066.4960000000001"/>
    <n v="68452.089000000007"/>
    <n v="7.4859756950229688"/>
    <n v="8.6778695483144107E-4"/>
  </r>
  <r>
    <s v="2022-06"/>
    <n v="4157.1779999999999"/>
    <n v="1849.9390000000001"/>
    <x v="6"/>
    <n v="64482.038"/>
    <x v="0"/>
    <x v="6"/>
    <n v="8237.3240000000005"/>
    <n v="72719.361999999994"/>
    <n v="7.8280322590200404"/>
    <n v="7.2839189037604926E-4"/>
  </r>
  <r>
    <s v="2022-05"/>
    <n v="5157.2550000000001"/>
    <n v="2076.2759999999998"/>
    <x v="7"/>
    <n v="65809.978000000003"/>
    <x v="0"/>
    <x v="7"/>
    <n v="9497.4009999999998"/>
    <n v="75307.379000000001"/>
    <n v="6.9292618054139234"/>
    <n v="5.2645981779646874E-4"/>
  </r>
  <r>
    <s v="2022-04"/>
    <n v="5231.0889999999999"/>
    <n v="3560.29"/>
    <x v="8"/>
    <n v="69785.578999999998"/>
    <x v="0"/>
    <x v="8"/>
    <n v="10587.224"/>
    <n v="80372.803"/>
    <n v="6.5914897994035071"/>
    <n v="3.7781386319964513E-4"/>
  </r>
  <r>
    <s v="2022-03"/>
    <n v="4712.4319999999998"/>
    <n v="3461.02"/>
    <x v="9"/>
    <n v="85750.866999999998"/>
    <x v="0"/>
    <x v="9"/>
    <n v="9564.1649999999991"/>
    <n v="95315.031999999992"/>
    <n v="8.9658498154308308"/>
    <n v="3.1367087456144892E-4"/>
  </r>
  <r>
    <s v="2022-02"/>
    <n v="4511.357"/>
    <n v="5265.7830000000004"/>
    <x v="10"/>
    <n v="94127.123999999996"/>
    <x v="0"/>
    <x v="10"/>
    <n v="10806.263999999999"/>
    <n v="104933.38799999999"/>
    <n v="8.7104223994527619"/>
    <n v="1.8507784003796317E-4"/>
  </r>
  <r>
    <s v="2022-01"/>
    <n v="6075.32"/>
    <n v="3144.953"/>
    <x v="11"/>
    <n v="111862.39999999999"/>
    <x v="0"/>
    <x v="11"/>
    <n v="10005.228999999999"/>
    <n v="121867.62899999999"/>
    <n v="11.18039377209657"/>
    <n v="9.9947737328151114E-5"/>
  </r>
  <r>
    <s v="2021-12"/>
    <n v="5461.2179999999998"/>
    <n v="4331.1279999999997"/>
    <x v="12"/>
    <n v="100376.851"/>
    <x v="1"/>
    <x v="0"/>
    <n v="10380.632"/>
    <n v="110757.48299999999"/>
    <n v="9.6696281112749212"/>
    <n v="1.1559989796382339E-3"/>
  </r>
  <r>
    <s v="2021-11"/>
    <n v="4141.7160000000003"/>
    <n v="2710.3870000000002"/>
    <x v="13"/>
    <n v="96607.448999999993"/>
    <x v="1"/>
    <x v="1"/>
    <n v="7556.563000000001"/>
    <n v="104164.01199999999"/>
    <n v="12.784575341990793"/>
    <n v="1.4556882540382443E-3"/>
  </r>
  <r>
    <s v="2021-10"/>
    <n v="3162.1219999999998"/>
    <n v="3489.4850000000001"/>
    <x v="14"/>
    <n v="97571.430999999997"/>
    <x v="1"/>
    <x v="2"/>
    <n v="7900.5839999999998"/>
    <n v="105472.015"/>
    <n v="12.349901095918986"/>
    <n v="1.2657292169794031E-3"/>
  </r>
  <r>
    <s v="2021-09"/>
    <n v="3538.607"/>
    <n v="1657.3920000000001"/>
    <x v="15"/>
    <n v="92746.183999999994"/>
    <x v="1"/>
    <x v="3"/>
    <n v="6662.2719999999999"/>
    <n v="99408.455999999991"/>
    <n v="13.921104392015216"/>
    <n v="1.3508905070222291E-3"/>
  </r>
  <r>
    <s v="2021-08"/>
    <n v="4522.3289999999997"/>
    <n v="2225.5639999999999"/>
    <x v="16"/>
    <n v="93107.481"/>
    <x v="1"/>
    <x v="4"/>
    <n v="8497.8230000000003"/>
    <n v="101605.304"/>
    <n v="10.956627479767464"/>
    <n v="9.4141758424481187E-4"/>
  </r>
  <r>
    <s v="2021-07"/>
    <n v="5773.3670000000002"/>
    <n v="2315.1030000000001"/>
    <x v="17"/>
    <n v="91149.167000000001"/>
    <x v="1"/>
    <x v="5"/>
    <n v="9806.6929999999993"/>
    <n v="100955.86"/>
    <n v="9.2945875842141703"/>
    <n v="7.1379821923659695E-4"/>
  </r>
  <r>
    <s v="2021-06"/>
    <n v="6375.2939999999999"/>
    <n v="1359.5050000000001"/>
    <x v="18"/>
    <n v="88324.864000000001"/>
    <x v="1"/>
    <x v="6"/>
    <n v="9411.1039999999994"/>
    <n v="97735.967999999993"/>
    <n v="9.3851756393298817"/>
    <n v="6.3754475564184606E-4"/>
  </r>
  <r>
    <s v="2021-05"/>
    <n v="6436.8209999999999"/>
    <n v="3964.355"/>
    <x v="19"/>
    <n v="87953.998999999996"/>
    <x v="1"/>
    <x v="7"/>
    <n v="12022.466999999999"/>
    <n v="99976.466"/>
    <n v="7.3158029046783835"/>
    <n v="4.1588802032062143E-4"/>
  </r>
  <r>
    <s v="2021-04"/>
    <n v="4170.2759999999998"/>
    <n v="2949.2350000000001"/>
    <x v="20"/>
    <n v="86700.854999999996"/>
    <x v="1"/>
    <x v="8"/>
    <n v="8699.5380000000005"/>
    <n v="95400.392999999996"/>
    <n v="9.9661447538938273"/>
    <n v="4.5979453161765601E-4"/>
  </r>
  <r>
    <s v="2021-03"/>
    <n v="6089.1260000000002"/>
    <n v="3714.4169999999999"/>
    <x v="21"/>
    <n v="100674.872"/>
    <x v="1"/>
    <x v="9"/>
    <n v="11107.696"/>
    <n v="111782.568"/>
    <n v="9.0635242448118856"/>
    <n v="2.70083012714788E-4"/>
  </r>
  <r>
    <s v="2021-02"/>
    <n v="7057.5519999999997"/>
    <n v="4253.7150000000001"/>
    <x v="22"/>
    <n v="96487.993000000002"/>
    <x v="1"/>
    <x v="10"/>
    <n v="11984.998"/>
    <n v="108472.99100000001"/>
    <n v="8.0507308386701446"/>
    <n v="1.6687528858995221E-4"/>
  </r>
  <r>
    <s v="2021-01"/>
    <n v="7493.7039999999997"/>
    <n v="3960.9740000000002"/>
    <x v="23"/>
    <n v="118085.182"/>
    <x v="1"/>
    <x v="11"/>
    <n v="11935.063"/>
    <n v="130020.245"/>
    <n v="9.8939722396102976"/>
    <n v="8.3786738285336241E-5"/>
  </r>
  <r>
    <s v="2020-12"/>
    <n v="5860.8119999999999"/>
    <n v="4383.9110000000001"/>
    <x v="24"/>
    <n v="109533.554"/>
    <x v="2"/>
    <x v="0"/>
    <n v="10618.838"/>
    <n v="120152.39200000001"/>
    <n v="10.315022604168178"/>
    <n v="1.1300671504735264E-3"/>
  </r>
  <r>
    <s v="2020-11"/>
    <n v="4622.3190000000004"/>
    <n v="3154.7910000000002"/>
    <x v="25"/>
    <n v="100429.253"/>
    <x v="2"/>
    <x v="1"/>
    <n v="8474.1230000000014"/>
    <n v="108903.376"/>
    <n v="11.851285731868652"/>
    <n v="1.2980694285414547E-3"/>
  </r>
  <r>
    <s v="2020-10"/>
    <n v="5275.9639999999999"/>
    <n v="4320.308"/>
    <x v="26"/>
    <n v="90211.445999999996"/>
    <x v="2"/>
    <x v="2"/>
    <n v="10405.506000000001"/>
    <n v="100616.95199999999"/>
    <n v="8.6695876202464337"/>
    <n v="9.6102967025342152E-4"/>
  </r>
  <r>
    <s v="2020-09"/>
    <n v="3466.232"/>
    <n v="2145.0859999999998"/>
    <x v="27"/>
    <n v="69877.497000000003"/>
    <x v="2"/>
    <x v="3"/>
    <n v="6884.8179999999993"/>
    <n v="76762.315000000002"/>
    <n v="10.149505331876602"/>
    <n v="1.3072240980081102E-3"/>
  </r>
  <r>
    <s v="2020-08"/>
    <n v="3795.92"/>
    <n v="2047.002"/>
    <x v="28"/>
    <n v="73715.968999999997"/>
    <x v="2"/>
    <x v="4"/>
    <n v="7399.3250000000007"/>
    <n v="81115.293999999994"/>
    <n v="9.9625261763741957"/>
    <n v="1.0811797022025657E-3"/>
  </r>
  <r>
    <s v="2020-07"/>
    <n v="4741.8670000000002"/>
    <n v="2105.002"/>
    <x v="29"/>
    <n v="72325.808000000005"/>
    <x v="2"/>
    <x v="5"/>
    <n v="8588.9470000000001"/>
    <n v="80914.755000000005"/>
    <n v="8.420800361208423"/>
    <n v="8.1500095413325989E-4"/>
  </r>
  <r>
    <s v="2020-06"/>
    <n v="6527.5039999999999"/>
    <n v="2051.3090000000002"/>
    <x v="30"/>
    <n v="68777.752999999997"/>
    <x v="2"/>
    <x v="6"/>
    <n v="10133.611000000001"/>
    <n v="78911.364000000001"/>
    <n v="6.7870922813200538"/>
    <n v="5.9208903913915781E-4"/>
  </r>
  <r>
    <s v="2020-05"/>
    <n v="6858.0069999999996"/>
    <n v="2662.7860000000001"/>
    <x v="31"/>
    <n v="79563.073000000004"/>
    <x v="2"/>
    <x v="7"/>
    <n v="11154.457999999999"/>
    <n v="90717.531000000003"/>
    <n v="7.132849753883157"/>
    <n v="4.4825127316809122E-4"/>
  </r>
  <r>
    <s v="2020-04"/>
    <n v="5225.5060000000003"/>
    <n v="2282.0309999999999"/>
    <x v="32"/>
    <n v="85870.558999999994"/>
    <x v="2"/>
    <x v="8"/>
    <n v="8858.86"/>
    <n v="94729.418999999994"/>
    <n v="9.6931838859627515"/>
    <n v="4.5152536556622409E-4"/>
  </r>
  <r>
    <s v="2020-03"/>
    <n v="7508.6210000000001"/>
    <n v="4498.8249999999998"/>
    <x v="33"/>
    <n v="97714.37"/>
    <x v="2"/>
    <x v="9"/>
    <n v="13109.09"/>
    <n v="110823.45999999999"/>
    <n v="7.4539399760013847"/>
    <n v="2.2884883695206912E-4"/>
  </r>
  <r>
    <s v="2020-02"/>
    <n v="6432.0010000000002"/>
    <n v="5907.95"/>
    <x v="34"/>
    <n v="105638.334"/>
    <x v="2"/>
    <x v="10"/>
    <n v="13122.619000000001"/>
    <n v="118760.95300000001"/>
    <n v="8.0500953353899849"/>
    <n v="1.5240860075263938E-4"/>
  </r>
  <r>
    <s v="2020-01"/>
    <n v="6472.11"/>
    <n v="4174.9229999999998"/>
    <x v="35"/>
    <n v="118755.94100000001"/>
    <x v="2"/>
    <x v="11"/>
    <n v="11171.289999999999"/>
    <n v="129927.231"/>
    <n v="10.630459060681444"/>
    <n v="8.9515176850659157E-5"/>
  </r>
  <r>
    <s v="2019-12"/>
    <n v="8052.2190000000001"/>
    <n v="4715.0079999999998"/>
    <x v="36"/>
    <n v="105413.8"/>
    <x v="3"/>
    <x v="0"/>
    <n v="13257.323999999999"/>
    <n v="118671.124"/>
    <n v="7.9513633369750947"/>
    <n v="9.0516004587351117E-4"/>
  </r>
  <r>
    <s v="2019-11"/>
    <n v="6644.6210000000001"/>
    <n v="3416.78"/>
    <x v="37"/>
    <n v="93100.702000000005"/>
    <x v="3"/>
    <x v="1"/>
    <n v="10620.683999999999"/>
    <n v="103721.386"/>
    <n v="8.7659798559113522"/>
    <n v="1.0357148371988095E-3"/>
  </r>
  <r>
    <s v="2019-10"/>
    <n v="3922.9119999999998"/>
    <n v="3429.0990000000002"/>
    <x v="38"/>
    <n v="92959.701000000001"/>
    <x v="3"/>
    <x v="2"/>
    <n v="8174.0300000000007"/>
    <n v="101133.731"/>
    <n v="11.372566653168633"/>
    <n v="1.2233867504768149E-3"/>
  </r>
  <r>
    <s v="2019-09"/>
    <n v="2693.82"/>
    <n v="2696.32"/>
    <x v="39"/>
    <n v="88010.441000000006"/>
    <x v="3"/>
    <x v="3"/>
    <n v="6590.76"/>
    <n v="94601.201000000001"/>
    <n v="13.353610357530847"/>
    <n v="1.3655481310197912E-3"/>
  </r>
  <r>
    <s v="2019-08"/>
    <n v="3881.36"/>
    <n v="1662.521"/>
    <x v="40"/>
    <n v="88794.004000000001"/>
    <x v="3"/>
    <x v="4"/>
    <n v="6951.6239999999998"/>
    <n v="95745.627999999997"/>
    <n v="12.773130997879058"/>
    <n v="1.1508102279409818E-3"/>
  </r>
  <r>
    <s v="2019-07"/>
    <n v="4553.2640000000001"/>
    <n v="1758.16"/>
    <x v="41"/>
    <n v="93226.275999999998"/>
    <x v="3"/>
    <x v="5"/>
    <n v="7795.51"/>
    <n v="101021.78599999999"/>
    <n v="11.958970740849539"/>
    <n v="8.9795279590430897E-4"/>
  </r>
  <r>
    <s v="2019-06"/>
    <n v="5919.2640000000001"/>
    <n v="1907.3320000000001"/>
    <x v="42"/>
    <n v="91228.342000000004"/>
    <x v="3"/>
    <x v="6"/>
    <n v="9222.652"/>
    <n v="100450.99400000001"/>
    <n v="9.8917688751565169"/>
    <n v="6.5057209141145087E-4"/>
  </r>
  <r>
    <s v="2019-05"/>
    <n v="5696.6049999999996"/>
    <n v="2266.7759999999998"/>
    <x v="43"/>
    <n v="100989.601"/>
    <x v="3"/>
    <x v="7"/>
    <n v="9263.1319999999996"/>
    <n v="110252.73299999999"/>
    <n v="10.90231694852238"/>
    <n v="5.3977423618706939E-4"/>
  </r>
  <r>
    <s v="2019-04"/>
    <n v="4622.4970000000003"/>
    <n v="2358.3310000000001"/>
    <x v="44"/>
    <n v="101109.583"/>
    <x v="3"/>
    <x v="8"/>
    <n v="8061.152"/>
    <n v="109170.735"/>
    <n v="12.542820554680025"/>
    <n v="4.9620699373985257E-4"/>
  </r>
  <r>
    <s v="2019-03"/>
    <n v="5309.3620000000001"/>
    <n v="4506.8090000000002"/>
    <x v="45"/>
    <n v="112901.594"/>
    <x v="3"/>
    <x v="9"/>
    <n v="10884.684000000001"/>
    <n v="123786.27799999999"/>
    <n v="10.372519220585549"/>
    <n v="2.7561663710218873E-4"/>
  </r>
  <r>
    <s v="2019-02"/>
    <n v="5202.4660000000003"/>
    <n v="2627.5070000000001"/>
    <x v="46"/>
    <n v="114250.76300000001"/>
    <x v="3"/>
    <x v="10"/>
    <n v="8612.26"/>
    <n v="122863.023"/>
    <n v="13.266060592689957"/>
    <n v="2.3222708092881543E-4"/>
  </r>
  <r>
    <s v="2019-01"/>
    <n v="5146.7420000000002"/>
    <n v="2968.8679999999999"/>
    <x v="47"/>
    <n v="127358.57399999999"/>
    <x v="3"/>
    <x v="11"/>
    <n v="8616.8360000000011"/>
    <n v="135975.41"/>
    <n v="14.780201688879767"/>
    <n v="1.1605187797469974E-4"/>
  </r>
  <r>
    <s v="2018-12"/>
    <n v="5311.143"/>
    <n v="3613.4520000000002"/>
    <x v="48"/>
    <n v="123406.02"/>
    <x v="4"/>
    <x v="0"/>
    <n v="9295.1440000000002"/>
    <n v="132701.16399999999"/>
    <n v="13.27639679385279"/>
    <n v="1.290996675253229E-3"/>
  </r>
  <r>
    <s v="2018-11"/>
    <n v="4123.8059999999996"/>
    <n v="2796.145"/>
    <x v="49"/>
    <n v="103937.52099999999"/>
    <x v="4"/>
    <x v="1"/>
    <n v="7419.0949999999993"/>
    <n v="111356.61599999999"/>
    <n v="14.009460857422637"/>
    <n v="1.4826606210056618E-3"/>
  </r>
  <r>
    <s v="2018-10"/>
    <n v="3074.4259999999999"/>
    <n v="2449.6019999999999"/>
    <x v="50"/>
    <n v="100772.212"/>
    <x v="4"/>
    <x v="2"/>
    <n v="6334.0950000000003"/>
    <n v="107106.307"/>
    <n v="15.909488569400995"/>
    <n v="1.5787575020583049E-3"/>
  </r>
  <r>
    <s v="2018-09"/>
    <n v="3175.1019999999999"/>
    <n v="1585.212"/>
    <x v="51"/>
    <n v="96104.597999999998"/>
    <x v="4"/>
    <x v="3"/>
    <n v="5937.3200000000006"/>
    <n v="102041.91800000001"/>
    <n v="16.186528265277936"/>
    <n v="1.5158354274319051E-3"/>
  </r>
  <r>
    <s v="2018-08"/>
    <n v="4064.8449999999998"/>
    <n v="1402.538"/>
    <x v="52"/>
    <n v="87546.407999999996"/>
    <x v="4"/>
    <x v="4"/>
    <n v="6793.9449999999997"/>
    <n v="94340.353000000003"/>
    <n v="12.88594594157003"/>
    <n v="1.1775190997277724E-3"/>
  </r>
  <r>
    <s v="2018-07"/>
    <n v="5465.7420000000002"/>
    <n v="1085.7349999999999"/>
    <x v="53"/>
    <n v="95721.775999999998"/>
    <x v="4"/>
    <x v="5"/>
    <n v="7984.2089999999998"/>
    <n v="103705.985"/>
    <n v="11.98888656346546"/>
    <n v="8.7673055652726529E-4"/>
  </r>
  <r>
    <s v="2018-06"/>
    <n v="7803.665"/>
    <n v="1373.5129999999999"/>
    <x v="54"/>
    <n v="91391.126000000004"/>
    <x v="4"/>
    <x v="6"/>
    <n v="10461.153"/>
    <n v="101852.27900000001"/>
    <n v="8.7362383477232388"/>
    <n v="5.7355054457190334E-4"/>
  </r>
  <r>
    <s v="2018-05"/>
    <n v="7938.8519999999999"/>
    <n v="1605.95"/>
    <x v="55"/>
    <n v="97495.217999999993"/>
    <x v="4"/>
    <x v="7"/>
    <n v="10689.06"/>
    <n v="108184.27799999999"/>
    <n v="9.1210282288620323"/>
    <n v="4.6776797959783184E-4"/>
  </r>
  <r>
    <s v="2018-04"/>
    <n v="7162.3819999999996"/>
    <n v="2160.3820000000001"/>
    <x v="56"/>
    <n v="97451.630999999994"/>
    <x v="4"/>
    <x v="8"/>
    <n v="10334.003999999999"/>
    <n v="107785.63499999999"/>
    <n v="9.4301909501873631"/>
    <n v="3.8707165199471571E-4"/>
  </r>
  <r>
    <s v="2018-03"/>
    <n v="7323.9870000000001"/>
    <n v="3093.6089999999999"/>
    <x v="57"/>
    <n v="113291.10799999999"/>
    <x v="4"/>
    <x v="9"/>
    <n v="11191.904999999999"/>
    <n v="124483.01299999999"/>
    <n v="10.122593785419015"/>
    <n v="2.6805088141831083E-4"/>
  </r>
  <r>
    <s v="2018-02"/>
    <n v="7367.1890000000003"/>
    <n v="2732.924"/>
    <x v="58"/>
    <n v="115269.05"/>
    <x v="4"/>
    <x v="10"/>
    <n v="10634.551000000001"/>
    <n v="125903.60100000001"/>
    <n v="10.839108298977548"/>
    <n v="1.8806623805744124E-4"/>
  </r>
  <r>
    <s v="2018-01"/>
    <n v="7523.848"/>
    <n v="3976.68"/>
    <x v="59"/>
    <n v="129237.35799999999"/>
    <x v="4"/>
    <x v="11"/>
    <n v="11831.779"/>
    <n v="141069.13699999999"/>
    <n v="10.922901619443703"/>
    <n v="8.451814389028057E-5"/>
  </r>
  <r>
    <s v="2017-12"/>
    <n v="5344.4610000000002"/>
    <n v="3084.3389999999999"/>
    <x v="60"/>
    <n v="118870.359"/>
    <x v="5"/>
    <x v="0"/>
    <n v="8724.1269999999986"/>
    <n v="127594.48599999999"/>
    <n v="13.625473242193747"/>
    <n v="1.3754957945935453E-3"/>
  </r>
  <r>
    <s v="2017-11"/>
    <n v="3930.395"/>
    <n v="2172.6849999999999"/>
    <x v="61"/>
    <n v="96864.569000000003"/>
    <x v="5"/>
    <x v="1"/>
    <n v="6504.0060000000003"/>
    <n v="103368.575"/>
    <n v="14.893062675526437"/>
    <n v="1.6912653524612368E-3"/>
  </r>
  <r>
    <s v="2017-10"/>
    <n v="2732.8150000000001"/>
    <n v="1972.7170000000001"/>
    <x v="62"/>
    <n v="89679.724000000002"/>
    <x v="5"/>
    <x v="2"/>
    <n v="5358.0659999999998"/>
    <n v="95037.790000000008"/>
    <n v="16.737330969793952"/>
    <n v="1.8663450580862573E-3"/>
  </r>
  <r>
    <s v="2017-09"/>
    <n v="3098.5259999999998"/>
    <n v="1557.9680000000001"/>
    <x v="63"/>
    <n v="93701.03"/>
    <x v="5"/>
    <x v="3"/>
    <n v="5449.2659999999996"/>
    <n v="99150.296000000002"/>
    <n v="17.195165367225606"/>
    <n v="1.6515985822677772E-3"/>
  </r>
  <r>
    <s v="2017-08"/>
    <n v="3531.8139999999999"/>
    <n v="1170.4100000000001"/>
    <x v="64"/>
    <n v="91336.843999999997"/>
    <x v="5"/>
    <x v="4"/>
    <n v="5702.77"/>
    <n v="97039.614000000001"/>
    <n v="16.016224396214469"/>
    <n v="1.4028270472068835E-3"/>
  </r>
  <r>
    <s v="2017-07"/>
    <n v="3939.3409999999999"/>
    <n v="1619.1030000000001"/>
    <x v="65"/>
    <n v="90039.040999999997"/>
    <x v="5"/>
    <x v="5"/>
    <n v="6618.3059999999996"/>
    <n v="96657.346999999994"/>
    <n v="13.604544879006804"/>
    <n v="1.0576724618051811E-3"/>
  </r>
  <r>
    <s v="2017-06"/>
    <n v="5157.8940000000002"/>
    <n v="1396.048"/>
    <x v="66"/>
    <n v="86043.752999999997"/>
    <x v="5"/>
    <x v="6"/>
    <n v="7603.4359999999997"/>
    <n v="93647.188999999998"/>
    <n v="11.316430229701414"/>
    <n v="7.8911692029761283E-4"/>
  </r>
  <r>
    <s v="2017-05"/>
    <n v="5757.9650000000001"/>
    <n v="1400.7619999999999"/>
    <x v="67"/>
    <n v="95666.748999999996"/>
    <x v="5"/>
    <x v="7"/>
    <n v="8174.5239999999994"/>
    <n v="103841.273"/>
    <n v="11.70303604222093"/>
    <n v="6.1165640959644869E-4"/>
  </r>
  <r>
    <s v="2017-04"/>
    <n v="4239.9049999999997"/>
    <n v="1378.93"/>
    <x v="68"/>
    <n v="101042.997"/>
    <x v="5"/>
    <x v="8"/>
    <n v="6549.9960000000001"/>
    <n v="107592.993"/>
    <n v="15.426421176440414"/>
    <n v="6.1068739583963099E-4"/>
  </r>
  <r>
    <s v="2017-03"/>
    <n v="6308.38"/>
    <n v="2514.855"/>
    <x v="69"/>
    <n v="108798.41899999999"/>
    <x v="5"/>
    <x v="9"/>
    <n v="9501.755000000001"/>
    <n v="118300.174"/>
    <n v="11.450349856421258"/>
    <n v="3.1573114650925007E-4"/>
  </r>
  <r>
    <s v="2017-02"/>
    <n v="4583.5389999999998"/>
    <n v="2422.1579999999999"/>
    <x v="70"/>
    <n v="107040.272"/>
    <x v="5"/>
    <x v="10"/>
    <n v="7418.6949999999997"/>
    <n v="114458.967"/>
    <n v="14.428450286741805"/>
    <n v="2.6958919324759949E-4"/>
  </r>
  <r>
    <s v="2017-01"/>
    <n v="5286.67"/>
    <n v="1909.1420000000001"/>
    <x v="71"/>
    <n v="128272.379"/>
    <x v="5"/>
    <x v="11"/>
    <n v="7513.7049999999999"/>
    <n v="135786.084"/>
    <n v="17.071788019359293"/>
    <n v="1.3309013329642301E-4"/>
  </r>
  <r>
    <s v="2016-12"/>
    <n v="4597.3379999999997"/>
    <n v="1388.663"/>
    <x v="72"/>
    <n v="116283.806"/>
    <x v="6"/>
    <x v="0"/>
    <n v="6237.5709999999999"/>
    <n v="122521.37699999999"/>
    <n v="18.642482145694213"/>
    <n v="1.9238257969328126E-3"/>
  </r>
  <r>
    <s v="2016-11"/>
    <n v="4228.7659999999996"/>
    <n v="2188.5010000000002"/>
    <x v="73"/>
    <n v="99125.531000000003"/>
    <x v="6"/>
    <x v="1"/>
    <n v="6732.7730000000001"/>
    <n v="105858.304"/>
    <n v="14.722838717419998"/>
    <n v="1.6337993275579023E-3"/>
  </r>
  <r>
    <s v="2016-10"/>
    <n v="3081.4839999999999"/>
    <n v="1340.8520000000001"/>
    <x v="74"/>
    <n v="92610.347999999998"/>
    <x v="6"/>
    <x v="2"/>
    <n v="4973.3379999999997"/>
    <n v="97583.686000000002"/>
    <n v="18.621366172980803"/>
    <n v="2.010721973853376E-3"/>
  </r>
  <r>
    <s v="2016-09"/>
    <n v="3403.33"/>
    <n v="953.06299999999999"/>
    <x v="75"/>
    <n v="84673.304000000004"/>
    <x v="6"/>
    <x v="3"/>
    <n v="5115.8890000000001"/>
    <n v="89789.192999999999"/>
    <n v="16.551044012096433"/>
    <n v="1.7592250340067973E-3"/>
  </r>
  <r>
    <s v="2016-08"/>
    <n v="3918.2109999999998"/>
    <n v="1134.4459999999999"/>
    <x v="76"/>
    <n v="86803.210999999996"/>
    <x v="6"/>
    <x v="4"/>
    <n v="6015.6449999999995"/>
    <n v="92818.856"/>
    <n v="14.429576712056646"/>
    <n v="1.3298657084984237E-3"/>
  </r>
  <r>
    <s v="2016-07"/>
    <n v="5356.7070000000003"/>
    <n v="974.32899999999995"/>
    <x v="77"/>
    <n v="90469.67"/>
    <x v="6"/>
    <x v="5"/>
    <n v="7337.6019999999999"/>
    <n v="97807.271999999997"/>
    <n v="12.329596235936481"/>
    <n v="9.5399014555436505E-4"/>
  </r>
  <r>
    <s v="2016-06"/>
    <n v="7231.335"/>
    <n v="1025.0239999999999"/>
    <x v="78"/>
    <n v="91412.76"/>
    <x v="6"/>
    <x v="6"/>
    <n v="9167.3819999999996"/>
    <n v="100580.14199999999"/>
    <n v="9.9715229495181941"/>
    <n v="6.5449438018400454E-4"/>
  </r>
  <r>
    <s v="2016-05"/>
    <n v="6570.1490000000003"/>
    <n v="1480.6489999999999"/>
    <x v="79"/>
    <n v="94016.725000000006"/>
    <x v="6"/>
    <x v="7"/>
    <n v="8947.16"/>
    <n v="102963.88500000001"/>
    <n v="10.507996392151254"/>
    <n v="5.5883654701603636E-4"/>
  </r>
  <r>
    <s v="2016-04"/>
    <n v="6538.2520000000004"/>
    <n v="1603.6369999999999"/>
    <x v="80"/>
    <n v="98619.127999999997"/>
    <x v="6"/>
    <x v="8"/>
    <n v="8902.1579999999994"/>
    <n v="107521.28599999999"/>
    <n v="11.078114767228351"/>
    <n v="4.4932925252506194E-4"/>
  </r>
  <r>
    <s v="2016-03"/>
    <n v="6684.6540000000005"/>
    <n v="2334.085"/>
    <x v="81"/>
    <n v="117876.299"/>
    <x v="6"/>
    <x v="9"/>
    <n v="9640.9880000000012"/>
    <n v="127517.287"/>
    <n v="12.226578748982986"/>
    <n v="3.1117142765865903E-4"/>
  </r>
  <r>
    <s v="2016-02"/>
    <n v="7016.7479999999996"/>
    <n v="2748.6129999999998"/>
    <x v="82"/>
    <n v="118312.262"/>
    <x v="6"/>
    <x v="10"/>
    <n v="10145.813999999998"/>
    <n v="128458.076"/>
    <n v="11.661189728098703"/>
    <n v="1.9712563230510634E-4"/>
  </r>
  <r>
    <s v="2016-01"/>
    <n v="5731.9610000000002"/>
    <n v="2716.194"/>
    <x v="83"/>
    <n v="131863.546"/>
    <x v="6"/>
    <x v="11"/>
    <n v="8696.4700000000012"/>
    <n v="140560.016"/>
    <n v="15.162881720974141"/>
    <n v="1.1498918526712561E-4"/>
  </r>
  <r>
    <s v="2015-12"/>
    <n v="3688.393"/>
    <n v="2527.0549999999998"/>
    <x v="84"/>
    <n v="127974.03200000001"/>
    <x v="7"/>
    <x v="0"/>
    <n v="6427.2080000000005"/>
    <n v="134401.24000000002"/>
    <n v="19.911294608794364"/>
    <n v="1.8670626499095718E-3"/>
  </r>
  <r>
    <s v="2015-11"/>
    <n v="3557.6280000000002"/>
    <n v="2433.6120000000001"/>
    <x v="85"/>
    <n v="113490.519"/>
    <x v="7"/>
    <x v="1"/>
    <n v="6314.7829999999994"/>
    <n v="119805.302"/>
    <n v="17.972196194231856"/>
    <n v="1.7419442600007001E-3"/>
  </r>
  <r>
    <s v="2015-10"/>
    <n v="3893.2840000000001"/>
    <n v="1218.133"/>
    <x v="86"/>
    <n v="109641.58500000001"/>
    <x v="7"/>
    <x v="2"/>
    <n v="5590.415"/>
    <n v="115232"/>
    <n v="19.612423227971448"/>
    <n v="1.7887759674371222E-3"/>
  </r>
  <r>
    <s v="2015-09"/>
    <n v="3442.721"/>
    <n v="1585.6030000000001"/>
    <x v="87"/>
    <n v="97679.616999999998"/>
    <x v="7"/>
    <x v="3"/>
    <n v="5676.8790000000008"/>
    <n v="103356.496"/>
    <n v="17.20657019464392"/>
    <n v="1.5853781628954922E-3"/>
  </r>
  <r>
    <s v="2015-08"/>
    <n v="3458.6060000000002"/>
    <n v="1076.5160000000001"/>
    <x v="88"/>
    <n v="102283.505"/>
    <x v="7"/>
    <x v="4"/>
    <n v="5326.433"/>
    <n v="107609.93800000001"/>
    <n v="19.203002271876883"/>
    <n v="1.501943232929054E-3"/>
  </r>
  <r>
    <s v="2015-07"/>
    <n v="4092.741"/>
    <n v="1338.682"/>
    <x v="89"/>
    <n v="106076.09600000001"/>
    <x v="7"/>
    <x v="5"/>
    <n v="6303.8139999999994"/>
    <n v="112379.91"/>
    <n v="16.827288368597173"/>
    <n v="1.1104388549535251E-3"/>
  </r>
  <r>
    <s v="2015-06"/>
    <n v="5693.893"/>
    <n v="1199.77"/>
    <x v="90"/>
    <n v="97938.391000000003"/>
    <x v="7"/>
    <x v="6"/>
    <n v="7744.3450000000003"/>
    <n v="105682.736"/>
    <n v="12.646439563320074"/>
    <n v="7.7475887244176235E-4"/>
  </r>
  <r>
    <s v="2015-05"/>
    <n v="6515.7860000000001"/>
    <n v="1519.049"/>
    <x v="91"/>
    <n v="96932.331000000006"/>
    <x v="7"/>
    <x v="7"/>
    <n v="8822.16"/>
    <n v="105754.49100000001"/>
    <n v="10.987369419733943"/>
    <n v="5.6675462698477469E-4"/>
  </r>
  <r>
    <s v="2015-04"/>
    <n v="5809.6239999999998"/>
    <n v="1378.05"/>
    <x v="92"/>
    <n v="99393.986000000004"/>
    <x v="7"/>
    <x v="8"/>
    <n v="7885.3940000000002"/>
    <n v="107279.38"/>
    <n v="12.604821775551102"/>
    <n v="5.0726697993784455E-4"/>
  </r>
  <r>
    <s v="2015-03"/>
    <n v="6525.1080000000002"/>
    <n v="1908.979"/>
    <x v="93"/>
    <n v="117108.442"/>
    <x v="7"/>
    <x v="9"/>
    <n v="8950.3979999999992"/>
    <n v="126058.84"/>
    <n v="13.084160279799848"/>
    <n v="3.3518062548726889E-4"/>
  </r>
  <r>
    <s v="2015-02"/>
    <n v="6423.1750000000002"/>
    <n v="1808.5309999999999"/>
    <x v="94"/>
    <n v="118645.628"/>
    <x v="7"/>
    <x v="10"/>
    <n v="8564.4089999999997"/>
    <n v="127210.037"/>
    <n v="13.853335122131604"/>
    <n v="2.3352457828672125E-4"/>
  </r>
  <r>
    <s v="2015-01"/>
    <n v="6236.8440000000001"/>
    <n v="2176.4430000000002"/>
    <x v="95"/>
    <n v="138614.247"/>
    <x v="7"/>
    <x v="11"/>
    <n v="8641.2910000000011"/>
    <n v="147255.538"/>
    <n v="16.040918770123582"/>
    <n v="1.1572344919295043E-4"/>
  </r>
  <r>
    <s v="2014-12"/>
    <n v="5745.2969999999996"/>
    <n v="1958.883"/>
    <x v="96"/>
    <n v="131968.568"/>
    <x v="8"/>
    <x v="0"/>
    <n v="7885.7129999999997"/>
    <n v="139854.28099999999"/>
    <n v="16.735147221310235"/>
    <n v="1.521739378544464E-3"/>
  </r>
  <r>
    <s v="2014-11"/>
    <n v="4897.2709999999997"/>
    <n v="1411.79"/>
    <x v="97"/>
    <n v="115390.43700000001"/>
    <x v="8"/>
    <x v="1"/>
    <n v="6536.4960000000001"/>
    <n v="121926.933"/>
    <n v="17.653255964663636"/>
    <n v="1.6828588283386084E-3"/>
  </r>
  <r>
    <s v="2014-10"/>
    <n v="3783.4229999999998"/>
    <n v="1209.845"/>
    <x v="98"/>
    <n v="104464.23"/>
    <x v="8"/>
    <x v="2"/>
    <n v="5422.0519999999997"/>
    <n v="109886.28199999999"/>
    <n v="19.266548900674504"/>
    <n v="1.8443201946421763E-3"/>
  </r>
  <r>
    <s v="2014-09"/>
    <n v="3786.2370000000001"/>
    <n v="678.46400000000006"/>
    <x v="99"/>
    <n v="101569.77099999999"/>
    <x v="8"/>
    <x v="3"/>
    <n v="5030.0889999999999"/>
    <n v="106599.85999999999"/>
    <n v="20.192440133763039"/>
    <n v="1.7892327551262016E-3"/>
  </r>
  <r>
    <s v="2014-08"/>
    <n v="5334.1189999999997"/>
    <n v="933.67"/>
    <x v="100"/>
    <n v="99057.198000000004"/>
    <x v="8"/>
    <x v="4"/>
    <n v="6927.6819999999998"/>
    <n v="105984.88"/>
    <n v="14.298750722103007"/>
    <n v="1.1547874166279572E-3"/>
  </r>
  <r>
    <s v="2014-07"/>
    <n v="6232.79"/>
    <n v="910.97799999999995"/>
    <x v="101"/>
    <n v="106619.163"/>
    <x v="8"/>
    <x v="5"/>
    <n v="7825.21"/>
    <n v="114444.37300000001"/>
    <n v="13.625086483302045"/>
    <n v="8.9454468314588366E-4"/>
  </r>
  <r>
    <s v="2014-06"/>
    <n v="5111.2259999999997"/>
    <n v="902.47500000000002"/>
    <x v="102"/>
    <n v="98890.501000000004"/>
    <x v="8"/>
    <x v="6"/>
    <n v="6699.3310000000001"/>
    <n v="105589.83200000001"/>
    <n v="14.761250190504096"/>
    <n v="8.9561181556785299E-4"/>
  </r>
  <r>
    <s v="2014-05"/>
    <n v="6221.3680000000004"/>
    <n v="1461.836"/>
    <x v="103"/>
    <n v="99269.357000000004"/>
    <x v="8"/>
    <x v="7"/>
    <n v="8318.5860000000011"/>
    <n v="107587.943"/>
    <n v="11.933441212244484"/>
    <n v="6.0106369039161214E-4"/>
  </r>
  <r>
    <s v="2014-04"/>
    <n v="5905.107"/>
    <n v="1006.282"/>
    <x v="104"/>
    <n v="99323.913"/>
    <x v="8"/>
    <x v="8"/>
    <n v="7455.32"/>
    <n v="106779.23300000001"/>
    <n v="13.322555302790491"/>
    <n v="5.3652961911762338E-4"/>
  </r>
  <r>
    <s v="2014-03"/>
    <n v="7065.4380000000001"/>
    <n v="1239.57"/>
    <x v="105"/>
    <n v="113702.254"/>
    <x v="8"/>
    <x v="9"/>
    <n v="8769.5720000000001"/>
    <n v="122471.826"/>
    <n v="12.965541989962565"/>
    <n v="3.4209195157984903E-4"/>
  </r>
  <r>
    <s v="2014-02"/>
    <n v="7112.3649999999998"/>
    <n v="2357.192"/>
    <x v="106"/>
    <n v="115457.11500000001"/>
    <x v="8"/>
    <x v="10"/>
    <n v="9717.7880000000005"/>
    <n v="125174.90300000001"/>
    <n v="11.881007797247687"/>
    <n v="2.058081530488214E-4"/>
  </r>
  <r>
    <s v="2014-01"/>
    <n v="7053.0829999999996"/>
    <n v="2100.3339999999998"/>
    <x v="107"/>
    <n v="135384.93900000001"/>
    <x v="8"/>
    <x v="11"/>
    <n v="9318.3979999999992"/>
    <n v="144703.337"/>
    <n v="14.528778337220627"/>
    <n v="1.0731458347239515E-4"/>
  </r>
  <r>
    <s v="2013-12"/>
    <n v="5711.1809999999996"/>
    <n v="1916.751"/>
    <x v="108"/>
    <n v="128204.861"/>
    <x v="9"/>
    <x v="0"/>
    <n v="7787.973"/>
    <n v="135992.834"/>
    <n v="16.461903630123011"/>
    <n v="1.5408373911928047E-3"/>
  </r>
  <r>
    <s v="2013-11"/>
    <n v="6321.4960000000001"/>
    <n v="1714.499"/>
    <x v="109"/>
    <n v="110128.88499999999"/>
    <x v="9"/>
    <x v="1"/>
    <n v="8212.3040000000001"/>
    <n v="118341.189"/>
    <n v="13.410229942778543"/>
    <n v="1.3394535808708495E-3"/>
  </r>
  <r>
    <s v="2013-10"/>
    <n v="4825.201"/>
    <n v="1543.6659999999999"/>
    <x v="110"/>
    <n v="99163.126000000004"/>
    <x v="9"/>
    <x v="2"/>
    <n v="6675.0320000000002"/>
    <n v="105838.15800000001"/>
    <n v="14.855827807267442"/>
    <n v="1.4981201588247068E-3"/>
  </r>
  <r>
    <s v="2013-09"/>
    <n v="4108.625"/>
    <n v="899.81600000000003"/>
    <x v="111"/>
    <n v="94817.042000000001"/>
    <x v="9"/>
    <x v="3"/>
    <n v="5434.7209999999995"/>
    <n v="100251.76300000001"/>
    <n v="17.446533501903779"/>
    <n v="1.6560187726288066E-3"/>
  </r>
  <r>
    <s v="2013-08"/>
    <n v="4547.1019999999999"/>
    <n v="705.577"/>
    <x v="112"/>
    <n v="95377.111999999994"/>
    <x v="9"/>
    <x v="4"/>
    <n v="5794.415"/>
    <n v="101171.52699999999"/>
    <n v="16.460179673012718"/>
    <n v="1.3806398057439793E-3"/>
  </r>
  <r>
    <s v="2013-07"/>
    <n v="6406.0119999999997"/>
    <n v="829.66200000000003"/>
    <x v="113"/>
    <n v="98138.305999999997"/>
    <x v="9"/>
    <x v="5"/>
    <n v="7822.5919999999996"/>
    <n v="105960.898"/>
    <n v="12.545497195814379"/>
    <n v="8.9484406191707303E-4"/>
  </r>
  <r>
    <s v="2013-06"/>
    <n v="7377.3339999999998"/>
    <n v="1112.4179999999999"/>
    <x v="114"/>
    <n v="91415.824999999997"/>
    <x v="9"/>
    <x v="6"/>
    <n v="9027.0150000000012"/>
    <n v="100442.84"/>
    <n v="10.12691626190939"/>
    <n v="6.646715442480154E-4"/>
  </r>
  <r>
    <s v="2013-05"/>
    <n v="8578.86"/>
    <n v="1112.6320000000001"/>
    <x v="115"/>
    <n v="99269.63"/>
    <x v="9"/>
    <x v="7"/>
    <n v="10180.746999999999"/>
    <n v="109450.37700000001"/>
    <n v="9.7507216317230956"/>
    <n v="4.9112309735228671E-4"/>
  </r>
  <r>
    <s v="2013-04"/>
    <n v="7247.3760000000002"/>
    <n v="1430.078"/>
    <x v="116"/>
    <n v="100186.098"/>
    <x v="9"/>
    <x v="8"/>
    <n v="9097.2150000000001"/>
    <n v="109283.31299999999"/>
    <n v="11.012831729270991"/>
    <n v="4.396950055593937E-4"/>
  </r>
  <r>
    <s v="2013-03"/>
    <n v="6473.4430000000002"/>
    <n v="1294.3399999999999"/>
    <x v="117"/>
    <n v="116706.88499999999"/>
    <x v="9"/>
    <x v="9"/>
    <n v="8105.4650000000001"/>
    <n v="124812.34999999999"/>
    <n v="14.398542834988492"/>
    <n v="3.7012065316425401E-4"/>
  </r>
  <r>
    <s v="2013-02"/>
    <n v="6870.56"/>
    <n v="1389.1510000000001"/>
    <x v="118"/>
    <n v="116396.587"/>
    <x v="9"/>
    <x v="10"/>
    <n v="8476.0280000000021"/>
    <n v="124872.61500000001"/>
    <n v="13.732444843268565"/>
    <n v="2.3595957918024805E-4"/>
  </r>
  <r>
    <s v="2013-01"/>
    <n v="6890.277"/>
    <n v="1263.8130000000001"/>
    <x v="119"/>
    <n v="134319.11199999999"/>
    <x v="9"/>
    <x v="11"/>
    <n v="8293.219000000001"/>
    <n v="142612.33100000001"/>
    <n v="16.196257689565414"/>
    <n v="1.2058044047793744E-4"/>
  </r>
  <r>
    <s v="2012-12"/>
    <n v="6482.4570000000003"/>
    <n v="2193.2739999999999"/>
    <x v="120"/>
    <n v="126634.73"/>
    <x v="10"/>
    <x v="0"/>
    <n v="8797.6389999999992"/>
    <n v="135432.36900000001"/>
    <n v="14.394172118223992"/>
    <n v="1.3640023192586102E-3"/>
  </r>
  <r>
    <s v="2012-11"/>
    <n v="4831.3239999999996"/>
    <n v="1249.2049999999999"/>
    <x v="121"/>
    <n v="118091.255"/>
    <x v="10"/>
    <x v="1"/>
    <n v="6240.2779999999993"/>
    <n v="124331.53300000001"/>
    <n v="18.92403751884131"/>
    <n v="1.7627419804053604E-3"/>
  </r>
  <r>
    <s v="2012-10"/>
    <n v="4484.3180000000002"/>
    <n v="1308.577"/>
    <x v="122"/>
    <n v="104797.89599999999"/>
    <x v="10"/>
    <x v="2"/>
    <n v="6061.7580000000007"/>
    <n v="110859.65399999999"/>
    <n v="17.288366840114698"/>
    <n v="1.6496864440975702E-3"/>
  </r>
  <r>
    <s v="2012-09"/>
    <n v="3663.7939999999999"/>
    <n v="883.66899999999998"/>
    <x v="123"/>
    <n v="96273.91"/>
    <x v="10"/>
    <x v="3"/>
    <n v="4921.3809999999994"/>
    <n v="101195.291"/>
    <n v="19.56237690193058"/>
    <n v="1.8287549775154578E-3"/>
  </r>
  <r>
    <s v="2012-08"/>
    <n v="3616.866"/>
    <n v="861.71900000000005"/>
    <x v="124"/>
    <n v="90827.354999999996"/>
    <x v="10"/>
    <x v="4"/>
    <n v="4946.9229999999998"/>
    <n v="95774.277999999991"/>
    <n v="18.360373711092734"/>
    <n v="1.6171668732260437E-3"/>
  </r>
  <r>
    <s v="2012-07"/>
    <n v="5001.7089999999998"/>
    <n v="875.26199999999994"/>
    <x v="125"/>
    <n v="92115.646999999997"/>
    <x v="10"/>
    <x v="5"/>
    <n v="6376.3969999999999"/>
    <n v="98492.043999999994"/>
    <n v="14.446347521962638"/>
    <n v="1.0977986471043129E-3"/>
  </r>
  <r>
    <s v="2012-06"/>
    <n v="6966.5649999999996"/>
    <n v="951.32799999999997"/>
    <x v="126"/>
    <n v="84994.337"/>
    <x v="10"/>
    <x v="6"/>
    <n v="8371.5300000000007"/>
    <n v="93365.866999999998"/>
    <n v="10.152784138622211"/>
    <n v="7.1671486574138767E-4"/>
  </r>
  <r>
    <s v="2012-05"/>
    <n v="7847.8389999999999"/>
    <n v="933.06299999999999"/>
    <x v="127"/>
    <n v="92837.989000000001"/>
    <x v="10"/>
    <x v="7"/>
    <n v="9203.3770000000004"/>
    <n v="102041.36600000001"/>
    <n v="10.087383033423492"/>
    <n v="5.4327884210328447E-4"/>
  </r>
  <r>
    <s v="2012-04"/>
    <n v="5470.6970000000001"/>
    <n v="1502.9110000000001"/>
    <x v="128"/>
    <n v="105259.43399999999"/>
    <x v="10"/>
    <x v="8"/>
    <n v="7303.67"/>
    <n v="112563.10399999999"/>
    <n v="14.411855135842664"/>
    <n v="5.4766987007901511E-4"/>
  </r>
  <r>
    <s v="2012-03"/>
    <n v="4001.2820000000002"/>
    <n v="938.77099999999996"/>
    <x v="129"/>
    <n v="119245.978"/>
    <x v="10"/>
    <x v="9"/>
    <n v="5239.6679999999997"/>
    <n v="124485.64600000001"/>
    <n v="22.758307969130872"/>
    <n v="5.7255536037779497E-4"/>
  </r>
  <r>
    <s v="2012-02"/>
    <n v="5250.7929999999997"/>
    <n v="1083.7639999999999"/>
    <x v="130"/>
    <n v="122565.787"/>
    <x v="10"/>
    <x v="10"/>
    <n v="6514.9539999999997"/>
    <n v="129080.74099999999"/>
    <n v="18.81299346089013"/>
    <n v="3.0698605086083494E-4"/>
  </r>
  <r>
    <s v="2012-01"/>
    <n v="6833.2470000000003"/>
    <n v="1520.9839999999999"/>
    <x v="131"/>
    <n v="135687.63"/>
    <x v="10"/>
    <x v="11"/>
    <n v="8462.9210000000003"/>
    <n v="144150.55100000001"/>
    <n v="16.033191140505743"/>
    <n v="1.1816251150164346E-4"/>
  </r>
  <r>
    <s v="2011-12"/>
    <n v="5747.0370000000003"/>
    <n v="1944.35"/>
    <x v="132"/>
    <n v="126664.766"/>
    <x v="11"/>
    <x v="0"/>
    <n v="7774.0770000000002"/>
    <n v="134438.84299999999"/>
    <n v="16.293222462293595"/>
    <n v="1.5435916057944885E-3"/>
  </r>
  <r>
    <s v="2011-11"/>
    <n v="3958.5320000000002"/>
    <n v="909.16399999999999"/>
    <x v="133"/>
    <n v="107339.353"/>
    <x v="11"/>
    <x v="1"/>
    <n v="4973.0749999999998"/>
    <n v="112312.428"/>
    <n v="21.584100983797754"/>
    <n v="2.2119111414969613E-3"/>
  </r>
  <r>
    <s v="2011-10"/>
    <n v="3280.9810000000002"/>
    <n v="1035.1859999999999"/>
    <x v="134"/>
    <n v="104447.591"/>
    <x v="11"/>
    <x v="2"/>
    <n v="4498.9070000000002"/>
    <n v="108946.49800000001"/>
    <n v="23.216214738379787"/>
    <n v="2.2227621064405197E-3"/>
  </r>
  <r>
    <s v="2011-09"/>
    <n v="3238.1390000000001"/>
    <n v="821.14800000000002"/>
    <x v="135"/>
    <n v="100278.478"/>
    <x v="11"/>
    <x v="3"/>
    <n v="4288.4580000000005"/>
    <n v="104566.936"/>
    <n v="23.383341518093449"/>
    <n v="2.0986564401470178E-3"/>
  </r>
  <r>
    <s v="2011-08"/>
    <n v="3911.1570000000002"/>
    <n v="664.12"/>
    <x v="136"/>
    <n v="100293.784"/>
    <x v="11"/>
    <x v="4"/>
    <n v="4831.4110000000001"/>
    <n v="105125.19500000001"/>
    <n v="20.758694302761658"/>
    <n v="1.6558309777412851E-3"/>
  </r>
  <r>
    <s v="2011-07"/>
    <n v="4260.8220000000001"/>
    <n v="809.14599999999996"/>
    <x v="137"/>
    <n v="106785.193"/>
    <x v="11"/>
    <x v="5"/>
    <n v="5326.125"/>
    <n v="112111.318"/>
    <n v="20.049321598723274"/>
    <n v="1.3142763265976672E-3"/>
  </r>
  <r>
    <s v="2011-06"/>
    <n v="4381.6819999999998"/>
    <n v="853.154"/>
    <x v="138"/>
    <n v="103918.02899999999"/>
    <x v="11"/>
    <x v="6"/>
    <n v="5455.2329999999993"/>
    <n v="109373.26199999999"/>
    <n v="19.04923749361393"/>
    <n v="1.0998613624752602E-3"/>
  </r>
  <r>
    <s v="2011-05"/>
    <n v="3481.64"/>
    <n v="727.13099999999997"/>
    <x v="139"/>
    <n v="105566.541"/>
    <x v="11"/>
    <x v="7"/>
    <n v="4414.0749999999998"/>
    <n v="109980.61599999999"/>
    <n v="23.915892004553616"/>
    <n v="1.1327401550721274E-3"/>
  </r>
  <r>
    <s v="2011-04"/>
    <n v="4130.2529999999997"/>
    <n v="668.12"/>
    <x v="140"/>
    <n v="104735.57"/>
    <x v="11"/>
    <x v="8"/>
    <n v="4966.9539999999997"/>
    <n v="109702.524"/>
    <n v="21.086478755390129"/>
    <n v="8.0532253771627442E-4"/>
  </r>
  <r>
    <s v="2011-03"/>
    <n v="4525.6390000000001"/>
    <n v="1094.1969999999999"/>
    <x v="141"/>
    <n v="119591.671"/>
    <x v="11"/>
    <x v="9"/>
    <n v="5739.8820000000005"/>
    <n v="125331.553"/>
    <n v="20.835214208236334"/>
    <n v="5.2265882817800085E-4"/>
  </r>
  <r>
    <s v="2011-02"/>
    <n v="4119.8950000000004"/>
    <n v="871.15700000000004"/>
    <x v="142"/>
    <n v="121352.736"/>
    <x v="11"/>
    <x v="10"/>
    <n v="5058.5810000000001"/>
    <n v="126411.31700000001"/>
    <n v="23.989481635264909"/>
    <n v="3.9536779187681286E-4"/>
  </r>
  <r>
    <s v="2011-01"/>
    <n v="6048.9170000000004"/>
    <n v="1229.221"/>
    <x v="143"/>
    <n v="138909.815"/>
    <x v="11"/>
    <x v="11"/>
    <n v="7320.5490000000009"/>
    <n v="146230.364"/>
    <n v="18.975327533495093"/>
    <n v="1.3660177672466912E-4"/>
  </r>
  <r>
    <s v="2010-12"/>
    <n v="7063.89"/>
    <n v="950.17100000000005"/>
    <x v="144"/>
    <n v="132842.122"/>
    <x v="12"/>
    <x v="0"/>
    <n v="8014.0610000000006"/>
    <n v="140856.18299999999"/>
    <n v="16.57613062840425"/>
    <n v="1.4973681882381477E-3"/>
  </r>
  <r>
    <s v="2010-11"/>
    <n v="5519.942"/>
    <n v="969.17399999999998"/>
    <x v="144"/>
    <n v="112760.29700000001"/>
    <x v="12"/>
    <x v="1"/>
    <n v="6489.116"/>
    <n v="119249.413"/>
    <n v="17.376834841602463"/>
    <n v="1.6951461493368281E-3"/>
  </r>
  <r>
    <s v="2010-10"/>
    <n v="4048.88"/>
    <n v="1034.1859999999999"/>
    <x v="144"/>
    <n v="101708.371"/>
    <x v="12"/>
    <x v="2"/>
    <n v="5083.0659999999998"/>
    <n v="106791.43700000001"/>
    <n v="20.00925642122294"/>
    <n v="1.9673165762553548E-3"/>
  </r>
  <r>
    <s v="2010-09"/>
    <n v="3608.2190000000001"/>
    <n v="548.09900000000005"/>
    <x v="144"/>
    <n v="100872.091"/>
    <x v="12"/>
    <x v="3"/>
    <n v="4156.3180000000002"/>
    <n v="105028.409"/>
    <n v="24.26957970973347"/>
    <n v="2.1653781062950426E-3"/>
  </r>
  <r>
    <s v="2010-08"/>
    <n v="4402.6949999999997"/>
    <n v="668.12"/>
    <x v="144"/>
    <n v="103451.927"/>
    <x v="12"/>
    <x v="4"/>
    <n v="5070.8149999999996"/>
    <n v="108522.742"/>
    <n v="20.401439807999306"/>
    <n v="1.5776556628470967E-3"/>
  </r>
  <r>
    <s v="2010-07"/>
    <n v="5512.0140000000001"/>
    <n v="479.08600000000001"/>
    <x v="144"/>
    <n v="101295.785"/>
    <x v="12"/>
    <x v="5"/>
    <n v="5991.1"/>
    <n v="107286.88500000001"/>
    <n v="16.907710604062693"/>
    <n v="1.1683997930263222E-3"/>
  </r>
  <r>
    <s v="2010-06"/>
    <n v="7408.098"/>
    <n v="566.10199999999998"/>
    <x v="144"/>
    <n v="94335.046000000002"/>
    <x v="12"/>
    <x v="6"/>
    <n v="7974.2"/>
    <n v="102309.246"/>
    <n v="11.830032605151615"/>
    <n v="7.5242657570665395E-4"/>
  </r>
  <r>
    <s v="2010-05"/>
    <n v="6574.8609999999999"/>
    <n v="725.13099999999997"/>
    <x v="144"/>
    <n v="93362.235000000001"/>
    <x v="12"/>
    <x v="7"/>
    <n v="7299.9920000000002"/>
    <n v="100662.227"/>
    <n v="12.789361276012357"/>
    <n v="6.8493225746000814E-4"/>
  </r>
  <r>
    <s v="2010-04"/>
    <n v="5834.1909999999998"/>
    <n v="707.12699999999995"/>
    <x v="144"/>
    <n v="99668.426000000007"/>
    <x v="12"/>
    <x v="8"/>
    <n v="6541.3179999999993"/>
    <n v="106209.74400000001"/>
    <n v="15.236749841545697"/>
    <n v="6.1149756058335655E-4"/>
  </r>
  <r>
    <s v="2010-03"/>
    <n v="6310.65"/>
    <n v="1149.2070000000001"/>
    <x v="144"/>
    <n v="114382.671"/>
    <x v="12"/>
    <x v="9"/>
    <n v="7459.857"/>
    <n v="121842.52800000001"/>
    <n v="15.33309163969229"/>
    <n v="4.0215248093897779E-4"/>
  </r>
  <r>
    <s v="2010-02"/>
    <n v="5903.5450000000001"/>
    <n v="949.17100000000005"/>
    <x v="144"/>
    <n v="115196.484"/>
    <x v="12"/>
    <x v="10"/>
    <n v="6852.7160000000003"/>
    <n v="122049.2"/>
    <n v="16.810339725154229"/>
    <n v="2.918550834442869E-4"/>
  </r>
  <r>
    <s v="2010-01"/>
    <n v="6371.7070000000003"/>
    <n v="668.12"/>
    <x v="144"/>
    <n v="128292.75599999999"/>
    <x v="12"/>
    <x v="11"/>
    <n v="7039.8270000000002"/>
    <n v="135332.58299999998"/>
    <n v="18.223850671330418"/>
    <n v="1.4204894523686448E-4"/>
  </r>
  <r>
    <s v="2009-12"/>
    <n v="5323.0720000000001"/>
    <n v="940.16899999999998"/>
    <x v="144"/>
    <n v="120193.633"/>
    <x v="13"/>
    <x v="0"/>
    <n v="6263.241"/>
    <n v="126456.874"/>
    <n v="19.190325424169373"/>
    <n v="1.9159409641110728E-3"/>
  </r>
  <r>
    <s v="2009-11"/>
    <n v="3794.3229999999999"/>
    <n v="1296.2329999999999"/>
    <x v="144"/>
    <n v="100247.048"/>
    <x v="13"/>
    <x v="1"/>
    <n v="5090.5559999999996"/>
    <n v="105337.60399999999"/>
    <n v="19.692750261464564"/>
    <n v="2.1608641570783232E-3"/>
  </r>
  <r>
    <s v="2009-10"/>
    <n v="3081.9050000000002"/>
    <n v="632.11400000000003"/>
    <x v="144"/>
    <n v="98785.998000000007"/>
    <x v="13"/>
    <x v="2"/>
    <n v="3714.0190000000002"/>
    <n v="102500.01700000001"/>
    <n v="26.598140181835365"/>
    <n v="2.6925010345935224E-3"/>
  </r>
  <r>
    <s v="2009-09"/>
    <n v="2994.8670000000002"/>
    <n v="542.09799999999996"/>
    <x v="144"/>
    <n v="91803.258000000002"/>
    <x v="13"/>
    <x v="3"/>
    <n v="3536.9650000000001"/>
    <n v="95340.222999999998"/>
    <n v="25.955376431488578"/>
    <n v="2.5445544414490952E-3"/>
  </r>
  <r>
    <s v="2009-08"/>
    <n v="3912.0050000000001"/>
    <n v="355.06400000000002"/>
    <x v="144"/>
    <n v="90316.490999999995"/>
    <x v="13"/>
    <x v="4"/>
    <n v="4267.0690000000004"/>
    <n v="94583.56"/>
    <n v="21.165931696909514"/>
    <n v="1.8748232100301164E-3"/>
  </r>
  <r>
    <s v="2009-07"/>
    <n v="4966.2039999999997"/>
    <n v="538.09699999999998"/>
    <x v="144"/>
    <n v="92456.012000000002"/>
    <x v="13"/>
    <x v="5"/>
    <n v="5504.3009999999995"/>
    <n v="97960.312999999995"/>
    <n v="16.797048707910417"/>
    <n v="1.2717327776951154E-3"/>
  </r>
  <r>
    <s v="2009-06"/>
    <n v="6444.1639999999998"/>
    <n v="405.07299999999998"/>
    <x v="144"/>
    <n v="86803.48"/>
    <x v="13"/>
    <x v="6"/>
    <n v="6849.2370000000001"/>
    <n v="93652.71699999999"/>
    <n v="12.673452532011959"/>
    <n v="8.7600998476180636E-4"/>
  </r>
  <r>
    <s v="2009-05"/>
    <n v="7209.6679999999997"/>
    <n v="539.09699999999998"/>
    <x v="144"/>
    <n v="95638.402000000002"/>
    <x v="13"/>
    <x v="7"/>
    <n v="7748.7649999999994"/>
    <n v="103387.167"/>
    <n v="12.342405789825865"/>
    <n v="6.4526411628175592E-4"/>
  </r>
  <r>
    <s v="2009-04"/>
    <n v="6743.0590000000002"/>
    <n v="464.084"/>
    <x v="144"/>
    <n v="98544.985000000001"/>
    <x v="13"/>
    <x v="8"/>
    <n v="7207.143"/>
    <n v="105752.128"/>
    <n v="13.67323848021331"/>
    <n v="5.5500494440029842E-4"/>
  </r>
  <r>
    <s v="2009-03"/>
    <n v="6315.0720000000001"/>
    <n v="741.13300000000004"/>
    <x v="144"/>
    <n v="114347.825"/>
    <x v="13"/>
    <x v="9"/>
    <n v="7056.2049999999999"/>
    <n v="121404.03"/>
    <n v="16.205286694476705"/>
    <n v="4.2515771579765613E-4"/>
  </r>
  <r>
    <s v="2009-02"/>
    <n v="5808.3990000000003"/>
    <n v="494.089"/>
    <x v="144"/>
    <n v="117351.395"/>
    <x v="13"/>
    <x v="10"/>
    <n v="6302.4880000000003"/>
    <n v="123653.883"/>
    <n v="18.619852191705878"/>
    <n v="3.1733499532248216E-4"/>
  </r>
  <r>
    <s v="2009-01"/>
    <n v="6149.1930000000002"/>
    <n v="649.11699999999996"/>
    <x v="144"/>
    <n v="136557.878"/>
    <x v="13"/>
    <x v="11"/>
    <n v="6798.31"/>
    <n v="143356.18799999999"/>
    <n v="20.087033100873597"/>
    <n v="1.4709538105793938E-4"/>
  </r>
  <r>
    <s v="2008-12"/>
    <n v="5663.6390000000001"/>
    <n v="660.11900000000003"/>
    <x v="144"/>
    <n v="131144.783"/>
    <x v="14"/>
    <x v="0"/>
    <n v="6323.7579999999998"/>
    <n v="137468.541"/>
    <n v="20.738425316085785"/>
    <n v="1.8976058223606912E-3"/>
  </r>
  <r>
    <s v="2008-11"/>
    <n v="5125.82"/>
    <n v="637.11500000000001"/>
    <x v="144"/>
    <n v="114784.26700000001"/>
    <x v="14"/>
    <x v="1"/>
    <n v="5762.9349999999995"/>
    <n v="120547.202"/>
    <n v="19.917675108256471"/>
    <n v="1.9087496215036263E-3"/>
  </r>
  <r>
    <s v="2008-10"/>
    <n v="3806.3789999999999"/>
    <n v="475.08600000000001"/>
    <x v="144"/>
    <n v="108061.84699999999"/>
    <x v="14"/>
    <x v="2"/>
    <n v="4281.4650000000001"/>
    <n v="112343.31199999999"/>
    <n v="25.239455887178803"/>
    <n v="2.3356491294451781E-3"/>
  </r>
  <r>
    <s v="2008-09"/>
    <n v="4879.2929999999997"/>
    <n v="464.084"/>
    <x v="144"/>
    <n v="99626.997000000003"/>
    <x v="14"/>
    <x v="3"/>
    <n v="5343.3769999999995"/>
    <n v="104970.374"/>
    <n v="18.64495000072052"/>
    <n v="1.6843280943867522E-3"/>
  </r>
  <r>
    <s v="2008-08"/>
    <n v="4329.0839999999998"/>
    <n v="407.07299999999998"/>
    <x v="144"/>
    <n v="102460.84"/>
    <x v="14"/>
    <x v="4"/>
    <n v="4736.1570000000002"/>
    <n v="107196.997"/>
    <n v="21.633750739259696"/>
    <n v="1.6891331938531599E-3"/>
  </r>
  <r>
    <s v="2008-07"/>
    <n v="6108.0659999999998"/>
    <n v="347.06200000000001"/>
    <x v="144"/>
    <n v="101837.054"/>
    <x v="14"/>
    <x v="5"/>
    <n v="6455.1279999999997"/>
    <n v="108292.182"/>
    <n v="15.776147893581662"/>
    <n v="1.0844091705075407E-3"/>
  </r>
  <r>
    <s v="2008-06"/>
    <n v="8493.0329999999994"/>
    <n v="283.05099999999999"/>
    <x v="144"/>
    <n v="91410.369000000006"/>
    <x v="14"/>
    <x v="6"/>
    <n v="8776.0839999999989"/>
    <n v="100186.45300000001"/>
    <n v="10.415849369718888"/>
    <n v="6.8367622734695802E-4"/>
  </r>
  <r>
    <s v="2008-05"/>
    <n v="7354.5550000000003"/>
    <n v="282.05099999999999"/>
    <x v="144"/>
    <n v="102006.213"/>
    <x v="14"/>
    <x v="7"/>
    <n v="7636.6060000000007"/>
    <n v="109642.819"/>
    <n v="13.357532521646396"/>
    <n v="6.5474112452573816E-4"/>
  </r>
  <r>
    <s v="2008-04"/>
    <n v="7152.1859999999997"/>
    <n v="416.07499999999999"/>
    <x v="144"/>
    <n v="109092.33500000001"/>
    <x v="14"/>
    <x v="8"/>
    <n v="7568.2609999999995"/>
    <n v="116660.59600000001"/>
    <n v="14.41445201215973"/>
    <n v="5.2852299887649228E-4"/>
  </r>
  <r>
    <s v="2008-03"/>
    <n v="5672.8850000000002"/>
    <n v="697.125"/>
    <x v="144"/>
    <n v="118281.86500000001"/>
    <x v="14"/>
    <x v="9"/>
    <n v="6370.01"/>
    <n v="124651.875"/>
    <n v="18.568552482649164"/>
    <n v="4.7095687447900393E-4"/>
  </r>
  <r>
    <s v="2008-02"/>
    <n v="4503.8220000000001"/>
    <n v="428.077"/>
    <x v="144"/>
    <n v="123370.659"/>
    <x v="14"/>
    <x v="10"/>
    <n v="4931.8990000000003"/>
    <n v="128302.558"/>
    <n v="25.014838908907095"/>
    <n v="4.05523308567349E-4"/>
  </r>
  <r>
    <s v="2008-01"/>
    <n v="6132.5609999999997"/>
    <n v="614.11099999999999"/>
    <x v="144"/>
    <n v="129923.352"/>
    <x v="14"/>
    <x v="11"/>
    <n v="6746.6719999999996"/>
    <n v="136670.024"/>
    <n v="19.257398610752087"/>
    <n v="1.4822122670258759E-4"/>
  </r>
  <r>
    <s v="2007-12"/>
    <n v="4679.2860000000001"/>
    <n v="584.10500000000002"/>
    <x v="144"/>
    <n v="126925.84299999999"/>
    <x v="15"/>
    <x v="0"/>
    <n v="5263.3909999999996"/>
    <n v="132189.234"/>
    <n v="24.114842123642344"/>
    <n v="2.2798990232722593E-3"/>
  </r>
  <r>
    <s v="2007-11"/>
    <n v="3377.328"/>
    <n v="434.07799999999997"/>
    <x v="144"/>
    <n v="114099.296"/>
    <x v="15"/>
    <x v="1"/>
    <n v="3811.4059999999999"/>
    <n v="117910.702"/>
    <n v="29.936274435208425"/>
    <n v="2.8860740629573444E-3"/>
  </r>
  <r>
    <s v="2007-10"/>
    <n v="3951.9259999999999"/>
    <n v="283.05099999999999"/>
    <x v="144"/>
    <n v="117287.747"/>
    <x v="15"/>
    <x v="2"/>
    <n v="4234.9769999999999"/>
    <n v="121522.724"/>
    <n v="27.695013928056753"/>
    <n v="2.361287912543563E-3"/>
  </r>
  <r>
    <s v="2007-09"/>
    <n v="4020.884"/>
    <n v="277.05"/>
    <x v="144"/>
    <n v="106219.091"/>
    <x v="15"/>
    <x v="3"/>
    <n v="4297.9340000000002"/>
    <n v="110517.02499999999"/>
    <n v="24.713988395354605"/>
    <n v="2.0940293638757597E-3"/>
  </r>
  <r>
    <s v="2007-08"/>
    <n v="5118.4859999999999"/>
    <n v="285.05099999999999"/>
    <x v="144"/>
    <n v="104203.57799999999"/>
    <x v="15"/>
    <x v="4"/>
    <n v="5403.5370000000003"/>
    <n v="109607.11499999999"/>
    <n v="19.284327654275337"/>
    <n v="1.4805117462876631E-3"/>
  </r>
  <r>
    <s v="2007-07"/>
    <n v="6222.0050000000001"/>
    <n v="338.06099999999998"/>
    <x v="144"/>
    <n v="101666.758"/>
    <x v="15"/>
    <x v="5"/>
    <n v="6560.0659999999998"/>
    <n v="108226.82400000001"/>
    <n v="15.497825479194875"/>
    <n v="1.0670624350425744E-3"/>
  </r>
  <r>
    <s v="2007-06"/>
    <n v="7360.8010000000004"/>
    <n v="241.04300000000001"/>
    <x v="144"/>
    <n v="98523.769"/>
    <x v="15"/>
    <x v="6"/>
    <n v="7601.8440000000001"/>
    <n v="106125.613"/>
    <n v="12.960509186981474"/>
    <n v="7.8928217942909645E-4"/>
  </r>
  <r>
    <s v="2007-05"/>
    <n v="6202.8680000000004"/>
    <n v="361.065"/>
    <x v="144"/>
    <n v="101563.709"/>
    <x v="15"/>
    <x v="7"/>
    <n v="6563.933"/>
    <n v="108127.64200000001"/>
    <n v="15.472995991884744"/>
    <n v="7.6173842725085707E-4"/>
  </r>
  <r>
    <s v="2007-04"/>
    <n v="5461.009"/>
    <n v="186.03299999999999"/>
    <x v="144"/>
    <n v="101333.36500000001"/>
    <x v="15"/>
    <x v="8"/>
    <n v="5647.0420000000004"/>
    <n v="106980.40700000001"/>
    <n v="17.944503511750046"/>
    <n v="7.0833544358267562E-4"/>
  </r>
  <r>
    <s v="2007-03"/>
    <n v="6929.66"/>
    <n v="363.065"/>
    <x v="144"/>
    <n v="116790.68799999999"/>
    <x v="15"/>
    <x v="9"/>
    <n v="7292.7249999999995"/>
    <n v="124083.413"/>
    <n v="16.014684222975639"/>
    <n v="4.1136886417628528E-4"/>
  </r>
  <r>
    <s v="2007-02"/>
    <n v="5648.3010000000004"/>
    <n v="361.065"/>
    <x v="144"/>
    <n v="114708.496"/>
    <x v="15"/>
    <x v="10"/>
    <n v="6009.366"/>
    <n v="120717.86199999999"/>
    <n v="19.088285852450991"/>
    <n v="3.3281381097440227E-4"/>
  </r>
  <r>
    <s v="2007-01"/>
    <n v="5470.1859999999997"/>
    <n v="427.077"/>
    <x v="144"/>
    <n v="129735.439"/>
    <x v="15"/>
    <x v="11"/>
    <n v="5897.2629999999999"/>
    <n v="135632.70199999999"/>
    <n v="21.999262878389516"/>
    <n v="1.695701887468814E-4"/>
  </r>
  <r>
    <s v="2006-12"/>
    <n v="5251.799"/>
    <n v="324.05799999999999"/>
    <x v="144"/>
    <n v="128223.046"/>
    <x v="16"/>
    <x v="0"/>
    <n v="5575.857"/>
    <n v="133798.90299999999"/>
    <n v="22.996114498632227"/>
    <n v="2.1521355371918612E-3"/>
  </r>
  <r>
    <s v="2006-11"/>
    <n v="4243.0550000000003"/>
    <n v="299.05399999999997"/>
    <x v="144"/>
    <n v="118378.853"/>
    <x v="16"/>
    <x v="1"/>
    <n v="4542.1090000000004"/>
    <n v="122920.962"/>
    <n v="26.062530203480364"/>
    <n v="2.4217824803411804E-3"/>
  </r>
  <r>
    <s v="2006-10"/>
    <n v="5097.1090000000004"/>
    <n v="237.04300000000001"/>
    <x v="144"/>
    <n v="113681.039"/>
    <x v="16"/>
    <x v="2"/>
    <n v="5334.152"/>
    <n v="119015.19100000001"/>
    <n v="21.311923432253149"/>
    <n v="1.8747122316724383E-3"/>
  </r>
  <r>
    <s v="2006-09"/>
    <n v="4391.0140000000001"/>
    <n v="152.02699999999999"/>
    <x v="144"/>
    <n v="107807.25599999999"/>
    <x v="16"/>
    <x v="3"/>
    <n v="4543.0410000000002"/>
    <n v="112350.29699999999"/>
    <n v="23.730196579779928"/>
    <n v="1.9810518989372976E-3"/>
  </r>
  <r>
    <s v="2006-08"/>
    <n v="4042.5709999999999"/>
    <n v="191.03399999999999"/>
    <x v="144"/>
    <n v="104570.31"/>
    <x v="16"/>
    <x v="4"/>
    <n v="4233.6049999999996"/>
    <n v="108803.91499999999"/>
    <n v="24.700062948716287"/>
    <n v="1.8896425150669467E-3"/>
  </r>
  <r>
    <s v="2006-07"/>
    <n v="4465.018"/>
    <n v="94.016999999999996"/>
    <x v="144"/>
    <n v="105161.325"/>
    <x v="16"/>
    <x v="5"/>
    <n v="4559.0349999999999"/>
    <n v="109720.36"/>
    <n v="23.066575492401352"/>
    <n v="1.5354126476326679E-3"/>
  </r>
  <r>
    <s v="2006-06"/>
    <n v="5200.8220000000001"/>
    <n v="99.018000000000001"/>
    <x v="144"/>
    <n v="104758.223"/>
    <x v="16"/>
    <x v="6"/>
    <n v="5299.84"/>
    <n v="110058.06299999999"/>
    <n v="19.766299171295735"/>
    <n v="1.1321096485931651E-3"/>
  </r>
  <r>
    <s v="2006-05"/>
    <n v="6901.652"/>
    <n v="166.03"/>
    <x v="144"/>
    <n v="108225.51300000001"/>
    <x v="16"/>
    <x v="7"/>
    <n v="7067.6819999999998"/>
    <n v="115293.19500000001"/>
    <n v="15.312730963277636"/>
    <n v="7.0744552457227138E-4"/>
  </r>
  <r>
    <s v="2006-04"/>
    <n v="7165.018"/>
    <n v="145.02600000000001"/>
    <x v="144"/>
    <n v="114187.19"/>
    <x v="16"/>
    <x v="8"/>
    <n v="7310.0439999999999"/>
    <n v="121497.234"/>
    <n v="15.620588603844245"/>
    <n v="5.4719232880130406E-4"/>
  </r>
  <r>
    <s v="2006-03"/>
    <n v="6711.8509999999997"/>
    <n v="196.035"/>
    <x v="144"/>
    <n v="112414.144"/>
    <x v="16"/>
    <x v="9"/>
    <n v="6907.8859999999995"/>
    <n v="119322.03"/>
    <n v="16.273306189476781"/>
    <n v="4.3428626355443623E-4"/>
  </r>
  <r>
    <s v="2006-02"/>
    <n v="4666.9440000000004"/>
    <n v="137.02500000000001"/>
    <x v="144"/>
    <n v="111416.995"/>
    <x v="16"/>
    <x v="10"/>
    <n v="4803.9690000000001"/>
    <n v="116220.96399999999"/>
    <n v="23.192696497417032"/>
    <n v="4.1632242006557494E-4"/>
  </r>
  <r>
    <s v="2006-01"/>
    <n v="4303.7290000000003"/>
    <n v="129.023"/>
    <x v="144"/>
    <n v="135581.94500000001"/>
    <x v="16"/>
    <x v="11"/>
    <n v="4432.7520000000004"/>
    <n v="140014.69700000001"/>
    <n v="30.586404337531174"/>
    <n v="2.2559349135706214E-4"/>
  </r>
  <r>
    <m/>
    <m/>
    <m/>
    <x v="145"/>
    <m/>
    <x v="17"/>
    <x v="1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s v="2022-12"/>
    <n v="5234.5219999999999"/>
    <n v="4364.634"/>
    <n v="604.49699999999996"/>
    <n v="89307.744000000006"/>
    <n v="29769.248000000003"/>
    <x v="0"/>
    <n v="12"/>
    <n v="10203.652999999998"/>
    <n v="39972.900999999998"/>
    <n v="0.7447357398453518"/>
    <n v="0.25526426015464826"/>
  </r>
  <r>
    <s v="2022-11"/>
    <n v="3949.0450000000001"/>
    <n v="4626.7579999999998"/>
    <n v="848.82399999999996"/>
    <n v="69562.288"/>
    <n v="23187.429333333333"/>
    <x v="0"/>
    <n v="11"/>
    <n v="9424.6270000000004"/>
    <n v="32612.056333333334"/>
    <n v="0.71100788911716284"/>
    <n v="0.28899211088283722"/>
  </r>
  <r>
    <s v="2022-10"/>
    <n v="3152.902"/>
    <n v="3432.3760000000002"/>
    <n v="1319.37"/>
    <n v="65057.226000000002"/>
    <n v="21685.742000000002"/>
    <x v="0"/>
    <n v="10"/>
    <n v="7904.6480000000001"/>
    <n v="29590.390000000003"/>
    <n v="0.73286435224409008"/>
    <n v="0.26713564775590992"/>
  </r>
  <r>
    <s v="2022-09"/>
    <n v="2541.154"/>
    <n v="2293.837"/>
    <n v="1838.6089999999999"/>
    <n v="58600.02"/>
    <n v="19533.34"/>
    <x v="0"/>
    <n v="9"/>
    <n v="6673.6"/>
    <n v="26206.940000000002"/>
    <n v="0.74534989586727785"/>
    <n v="0.2546501041327221"/>
  </r>
  <r>
    <s v="2022-08"/>
    <n v="2778.7089999999998"/>
    <n v="2077.6019999999999"/>
    <n v="2302.8539999999998"/>
    <n v="58554.053999999996"/>
    <n v="19518.018"/>
    <x v="0"/>
    <n v="8"/>
    <n v="7159.1649999999991"/>
    <n v="26677.182999999997"/>
    <n v="0.73163714474650499"/>
    <n v="0.26836285525349507"/>
  </r>
  <r>
    <s v="2022-07"/>
    <n v="3588.9290000000001"/>
    <n v="1885.33"/>
    <n v="2592.2370000000001"/>
    <n v="60385.593000000001"/>
    <n v="20128.530999999999"/>
    <x v="0"/>
    <n v="7"/>
    <n v="8066.4960000000001"/>
    <n v="28195.026999999998"/>
    <n v="0.71390359016148486"/>
    <n v="0.28609640983851514"/>
  </r>
  <r>
    <s v="2022-06"/>
    <n v="4157.1779999999999"/>
    <n v="1849.9390000000001"/>
    <n v="2230.2069999999999"/>
    <n v="64482.038"/>
    <n v="21494.012666666666"/>
    <x v="0"/>
    <n v="6"/>
    <n v="8237.3240000000005"/>
    <n v="29731.336666666666"/>
    <n v="0.72294134998527371"/>
    <n v="0.27705865001472635"/>
  </r>
  <r>
    <s v="2022-05"/>
    <n v="5157.2550000000001"/>
    <n v="2076.2759999999998"/>
    <n v="2263.87"/>
    <n v="65809.978000000003"/>
    <n v="21936.659333333333"/>
    <x v="0"/>
    <n v="5"/>
    <n v="9497.4009999999998"/>
    <n v="31434.060333333335"/>
    <n v="0.69786273553948874"/>
    <n v="0.30213726446051126"/>
  </r>
  <r>
    <s v="2022-04"/>
    <n v="5231.0889999999999"/>
    <n v="3560.29"/>
    <n v="1795.845"/>
    <n v="69785.578999999998"/>
    <n v="23261.859666666667"/>
    <x v="0"/>
    <n v="4"/>
    <n v="10587.224"/>
    <n v="33849.083666666666"/>
    <n v="0.68722272944641316"/>
    <n v="0.31277727055358695"/>
  </r>
  <r>
    <s v="2022-03"/>
    <n v="4712.4319999999998"/>
    <n v="3461.02"/>
    <n v="1390.713"/>
    <n v="85750.866999999998"/>
    <n v="28583.622333333333"/>
    <x v="0"/>
    <n v="3"/>
    <n v="9564.1649999999991"/>
    <n v="38147.787333333334"/>
    <n v="0.74928650732927615"/>
    <n v="0.25071349267072385"/>
  </r>
  <r>
    <s v="2022-02"/>
    <n v="4511.357"/>
    <n v="5265.7830000000004"/>
    <n v="1029.124"/>
    <n v="94127.123999999996"/>
    <n v="31375.707999999999"/>
    <x v="0"/>
    <n v="2"/>
    <n v="10806.263999999999"/>
    <n v="42181.971999999994"/>
    <n v="0.74381795142247031"/>
    <n v="0.2561820485775298"/>
  </r>
  <r>
    <s v="2022-01"/>
    <n v="6075.32"/>
    <n v="3144.953"/>
    <n v="784.95600000000002"/>
    <n v="111862.39999999999"/>
    <n v="37287.466666666667"/>
    <x v="0"/>
    <n v="1"/>
    <n v="10005.228999999999"/>
    <n v="47292.695666666667"/>
    <n v="0.78844028958467705"/>
    <n v="0.21155971041532295"/>
  </r>
  <r>
    <s v="2021-12"/>
    <n v="5461.2179999999998"/>
    <n v="4331.1279999999997"/>
    <n v="588.28599999999994"/>
    <n v="100376.851"/>
    <n v="33458.950333333334"/>
    <x v="1"/>
    <n v="12"/>
    <n v="10380.632"/>
    <n v="43839.582333333332"/>
    <n v="0.76321325506545468"/>
    <n v="0.23678674493454535"/>
  </r>
  <r>
    <s v="2021-11"/>
    <n v="4141.7160000000003"/>
    <n v="2710.3870000000002"/>
    <n v="704.46"/>
    <n v="96607.448999999993"/>
    <n v="32202.482999999997"/>
    <x v="1"/>
    <n v="11"/>
    <n v="7556.563000000001"/>
    <n v="39759.045999999995"/>
    <n v="0.80994103832370623"/>
    <n v="0.1900589616762938"/>
  </r>
  <r>
    <s v="2021-10"/>
    <n v="3162.1219999999998"/>
    <n v="3489.4850000000001"/>
    <n v="1248.9770000000001"/>
    <n v="97571.430999999997"/>
    <n v="32523.810333333331"/>
    <x v="1"/>
    <n v="10"/>
    <n v="7900.5839999999998"/>
    <n v="40424.39433333333"/>
    <n v="0.80455900130864055"/>
    <n v="0.1954409986913595"/>
  </r>
  <r>
    <s v="2021-09"/>
    <n v="3538.607"/>
    <n v="1657.3920000000001"/>
    <n v="1466.2729999999999"/>
    <n v="92746.183999999994"/>
    <n v="30915.394666666663"/>
    <x v="1"/>
    <n v="9"/>
    <n v="6662.2719999999999"/>
    <n v="37577.666666666664"/>
    <n v="0.82270660764815973"/>
    <n v="0.17729339235184019"/>
  </r>
  <r>
    <s v="2021-08"/>
    <n v="4522.3289999999997"/>
    <n v="2225.5639999999999"/>
    <n v="1749.93"/>
    <n v="93107.481"/>
    <n v="31035.827000000001"/>
    <x v="1"/>
    <n v="8"/>
    <n v="8497.8230000000003"/>
    <n v="39533.65"/>
    <n v="0.78504835753845137"/>
    <n v="0.21495164246154858"/>
  </r>
  <r>
    <s v="2021-07"/>
    <n v="5773.3670000000002"/>
    <n v="2315.1030000000001"/>
    <n v="1718.223"/>
    <n v="91149.167000000001"/>
    <n v="30383.055666666667"/>
    <x v="1"/>
    <n v="7"/>
    <n v="9806.6929999999993"/>
    <n v="40189.748666666666"/>
    <n v="0.75599018841006937"/>
    <n v="0.24400981158993063"/>
  </r>
  <r>
    <s v="2021-06"/>
    <n v="6375.2939999999999"/>
    <n v="1359.5050000000001"/>
    <n v="1676.3050000000001"/>
    <n v="88324.864000000001"/>
    <n v="29441.621333333333"/>
    <x v="1"/>
    <n v="6"/>
    <n v="9411.1039999999994"/>
    <n v="38852.725333333336"/>
    <n v="0.75777493292276632"/>
    <n v="0.24222506707723357"/>
  </r>
  <r>
    <s v="2021-05"/>
    <n v="6436.8209999999999"/>
    <n v="3964.355"/>
    <n v="1621.2909999999999"/>
    <n v="87953.998999999996"/>
    <n v="29317.999666666667"/>
    <x v="1"/>
    <n v="5"/>
    <n v="12022.466999999999"/>
    <n v="41340.466666666667"/>
    <n v="0.70918405210713631"/>
    <n v="0.29081594789286364"/>
  </r>
  <r>
    <s v="2021-04"/>
    <n v="4170.2759999999998"/>
    <n v="2949.2350000000001"/>
    <n v="1580.027"/>
    <n v="86700.854999999996"/>
    <n v="28900.285"/>
    <x v="1"/>
    <n v="4"/>
    <n v="8699.5380000000005"/>
    <n v="37599.823000000004"/>
    <n v="0.7686282193402878"/>
    <n v="0.23137178065971215"/>
  </r>
  <r>
    <s v="2021-03"/>
    <n v="6089.1260000000002"/>
    <n v="3714.4169999999999"/>
    <n v="1304.153"/>
    <n v="100674.872"/>
    <n v="33558.290666666668"/>
    <x v="1"/>
    <n v="3"/>
    <n v="11107.696"/>
    <n v="44665.986666666664"/>
    <n v="0.75131645287734239"/>
    <n v="0.24868354712265769"/>
  </r>
  <r>
    <s v="2021-02"/>
    <n v="7057.5519999999997"/>
    <n v="4253.7150000000001"/>
    <n v="673.73099999999999"/>
    <n v="96487.993000000002"/>
    <n v="32162.664333333334"/>
    <x v="1"/>
    <n v="2"/>
    <n v="11984.998"/>
    <n v="44147.662333333334"/>
    <n v="0.72852474249920085"/>
    <n v="0.27147525750079921"/>
  </r>
  <r>
    <s v="2021-01"/>
    <n v="7493.7039999999997"/>
    <n v="3960.9740000000002"/>
    <n v="480.38499999999999"/>
    <n v="118085.182"/>
    <n v="39361.727333333336"/>
    <x v="1"/>
    <n v="1"/>
    <n v="11935.063"/>
    <n v="51296.790333333338"/>
    <n v="0.76733314263047681"/>
    <n v="0.23266685736952311"/>
  </r>
  <r>
    <s v="2020-12"/>
    <n v="5860.8119999999999"/>
    <n v="4383.9110000000001"/>
    <n v="374.11500000000001"/>
    <n v="109533.554"/>
    <n v="36511.184666666668"/>
    <x v="2"/>
    <n v="12"/>
    <n v="10618.838"/>
    <n v="47130.022666666671"/>
    <n v="0.77469058151948833"/>
    <n v="0.22530941848051164"/>
  </r>
  <r>
    <s v="2020-11"/>
    <n v="4622.3190000000004"/>
    <n v="3154.7910000000002"/>
    <n v="697.01300000000003"/>
    <n v="100429.253"/>
    <n v="33476.417666666668"/>
    <x v="2"/>
    <n v="11"/>
    <n v="8474.1230000000014"/>
    <n v="41950.540666666668"/>
    <n v="0.79799728763130284"/>
    <n v="0.20200271236869718"/>
  </r>
  <r>
    <s v="2020-10"/>
    <n v="5275.9639999999999"/>
    <n v="4320.308"/>
    <n v="809.23400000000004"/>
    <n v="90211.445999999996"/>
    <n v="30070.482"/>
    <x v="2"/>
    <n v="10"/>
    <n v="10405.506000000001"/>
    <n v="40475.987999999998"/>
    <n v="0.74292150694382064"/>
    <n v="0.25707849305617941"/>
  </r>
  <r>
    <s v="2020-09"/>
    <n v="3466.232"/>
    <n v="2145.0859999999998"/>
    <n v="1273.5"/>
    <n v="69877.497000000003"/>
    <n v="23292.499"/>
    <x v="2"/>
    <n v="9"/>
    <n v="6884.8179999999993"/>
    <n v="30177.316999999999"/>
    <n v="0.77185453564344375"/>
    <n v="0.22814546435655628"/>
  </r>
  <r>
    <s v="2020-08"/>
    <n v="3795.92"/>
    <n v="2047.002"/>
    <n v="1556.403"/>
    <n v="73715.968999999997"/>
    <n v="24571.989666666665"/>
    <x v="2"/>
    <n v="8"/>
    <n v="7399.3250000000007"/>
    <n v="31971.314666666665"/>
    <n v="0.76856363033095576"/>
    <n v="0.23143636966904418"/>
  </r>
  <r>
    <s v="2020-07"/>
    <n v="4741.8670000000002"/>
    <n v="2105.002"/>
    <n v="1742.078"/>
    <n v="72325.808000000005"/>
    <n v="24108.602666666669"/>
    <x v="2"/>
    <n v="7"/>
    <n v="8588.9470000000001"/>
    <n v="32697.54966666667"/>
    <n v="0.73732138684520587"/>
    <n v="0.26267861315479407"/>
  </r>
  <r>
    <s v="2020-06"/>
    <n v="6527.5039999999999"/>
    <n v="2051.3090000000002"/>
    <n v="1554.798"/>
    <n v="68777.752999999997"/>
    <n v="22925.917666666664"/>
    <x v="2"/>
    <n v="6"/>
    <n v="10133.611000000001"/>
    <n v="33059.528666666665"/>
    <n v="0.6934738210524598"/>
    <n v="0.3065261789475402"/>
  </r>
  <r>
    <s v="2020-05"/>
    <n v="6858.0069999999996"/>
    <n v="2662.7860000000001"/>
    <n v="1633.665"/>
    <n v="79563.073000000004"/>
    <n v="26521.024333333335"/>
    <x v="2"/>
    <n v="5"/>
    <n v="11154.457999999999"/>
    <n v="37675.482333333333"/>
    <n v="0.70393323962488186"/>
    <n v="0.2960667603751182"/>
  </r>
  <r>
    <s v="2020-04"/>
    <n v="5225.5060000000003"/>
    <n v="2282.0309999999999"/>
    <n v="1351.3230000000001"/>
    <n v="85870.558999999994"/>
    <n v="28623.519666666663"/>
    <x v="2"/>
    <n v="4"/>
    <n v="8858.86"/>
    <n v="37482.37966666666"/>
    <n v="0.76365267950481164"/>
    <n v="0.23634732049518847"/>
  </r>
  <r>
    <s v="2020-03"/>
    <n v="7508.6210000000001"/>
    <n v="4498.8249999999998"/>
    <n v="1101.644"/>
    <n v="97714.37"/>
    <n v="32571.456666666665"/>
    <x v="2"/>
    <n v="3"/>
    <n v="13109.09"/>
    <n v="45680.546666666662"/>
    <n v="0.71302685811407396"/>
    <n v="0.2869731418859261"/>
  </r>
  <r>
    <s v="2020-02"/>
    <n v="6432.0010000000002"/>
    <n v="5907.95"/>
    <n v="782.66800000000001"/>
    <n v="105638.334"/>
    <n v="35212.777999999998"/>
    <x v="2"/>
    <n v="2"/>
    <n v="13122.619000000001"/>
    <n v="48335.396999999997"/>
    <n v="0.72850912965502279"/>
    <n v="0.27149087034497721"/>
  </r>
  <r>
    <s v="2020-01"/>
    <n v="6472.11"/>
    <n v="4174.9229999999998"/>
    <n v="524.25699999999995"/>
    <n v="118755.94100000001"/>
    <n v="39585.313666666669"/>
    <x v="2"/>
    <n v="1"/>
    <n v="11171.289999999999"/>
    <n v="50756.60366666667"/>
    <n v="0.7799046982464567"/>
    <n v="0.22009530175354322"/>
  </r>
  <r>
    <s v="2019-12"/>
    <n v="8052.2190000000001"/>
    <n v="4715.0079999999998"/>
    <n v="490.09699999999998"/>
    <n v="105413.8"/>
    <n v="35137.933333333334"/>
    <x v="3"/>
    <n v="12"/>
    <n v="13257.323999999999"/>
    <n v="48395.257333333335"/>
    <n v="0.72606150415345105"/>
    <n v="0.27393849584654889"/>
  </r>
  <r>
    <s v="2019-11"/>
    <n v="6644.6210000000001"/>
    <n v="3416.78"/>
    <n v="559.28300000000002"/>
    <n v="93100.702000000005"/>
    <n v="31033.567333333336"/>
    <x v="3"/>
    <n v="11"/>
    <n v="10620.683999999999"/>
    <n v="41654.251333333334"/>
    <n v="0.74502761038701182"/>
    <n v="0.25497238961298818"/>
  </r>
  <r>
    <s v="2019-10"/>
    <n v="3922.9119999999998"/>
    <n v="3429.0990000000002"/>
    <n v="822.01900000000001"/>
    <n v="92959.701000000001"/>
    <n v="30986.566999999999"/>
    <x v="3"/>
    <n v="10"/>
    <n v="8174.0300000000007"/>
    <n v="39160.597000000002"/>
    <n v="0.7912690146169119"/>
    <n v="0.20873098538308801"/>
  </r>
  <r>
    <s v="2019-09"/>
    <n v="2693.82"/>
    <n v="2696.32"/>
    <n v="1200.6199999999999"/>
    <n v="88010.441000000006"/>
    <n v="29336.813666666669"/>
    <x v="3"/>
    <n v="9"/>
    <n v="6590.76"/>
    <n v="35927.573666666671"/>
    <n v="0.81655426939908116"/>
    <n v="0.18344573060091884"/>
  </r>
  <r>
    <s v="2019-08"/>
    <n v="3881.36"/>
    <n v="1662.521"/>
    <n v="1407.7429999999999"/>
    <n v="88794.004000000001"/>
    <n v="29598.001333333334"/>
    <x v="3"/>
    <n v="8"/>
    <n v="6951.6239999999998"/>
    <n v="36549.62533333333"/>
    <n v="0.80980313924969016"/>
    <n v="0.19019686075030995"/>
  </r>
  <r>
    <s v="2019-07"/>
    <n v="4553.2640000000001"/>
    <n v="1758.16"/>
    <n v="1484.086"/>
    <n v="93226.275999999998"/>
    <n v="31075.425333333333"/>
    <x v="3"/>
    <n v="7"/>
    <n v="7795.51"/>
    <n v="38870.935333333335"/>
    <n v="0.79945144275149327"/>
    <n v="0.20054855724850665"/>
  </r>
  <r>
    <s v="2019-06"/>
    <n v="5919.2640000000001"/>
    <n v="1907.3320000000001"/>
    <n v="1396.056"/>
    <n v="91228.342000000004"/>
    <n v="30409.447333333334"/>
    <x v="3"/>
    <n v="6"/>
    <n v="9222.652"/>
    <n v="39632.099333333332"/>
    <n v="0.76729337695611011"/>
    <n v="0.23270662304388989"/>
  </r>
  <r>
    <s v="2019-05"/>
    <n v="5696.6049999999996"/>
    <n v="2266.7759999999998"/>
    <n v="1299.751"/>
    <n v="100989.601"/>
    <n v="33663.200333333334"/>
    <x v="3"/>
    <n v="5"/>
    <n v="9263.1319999999996"/>
    <n v="42926.332333333332"/>
    <n v="0.78420863147427688"/>
    <n v="0.21579136852572317"/>
  </r>
  <r>
    <s v="2019-04"/>
    <n v="4622.4970000000003"/>
    <n v="2358.3310000000001"/>
    <n v="1080.3240000000001"/>
    <n v="101109.583"/>
    <n v="33703.194333333333"/>
    <x v="3"/>
    <n v="4"/>
    <n v="8061.152"/>
    <n v="41764.346333333335"/>
    <n v="0.80698483975634105"/>
    <n v="0.19301516024365886"/>
  </r>
  <r>
    <s v="2019-03"/>
    <n v="5309.3620000000001"/>
    <n v="4506.8090000000002"/>
    <n v="1068.5129999999999"/>
    <n v="112901.594"/>
    <n v="37633.864666666668"/>
    <x v="3"/>
    <n v="3"/>
    <n v="10884.684000000001"/>
    <n v="48518.548666666669"/>
    <n v="0.77565932413229777"/>
    <n v="0.22434067586770218"/>
  </r>
  <r>
    <s v="2019-02"/>
    <n v="5202.4660000000003"/>
    <n v="2627.5070000000001"/>
    <n v="782.28700000000003"/>
    <n v="114250.76300000001"/>
    <n v="38083.587666666666"/>
    <x v="3"/>
    <n v="2"/>
    <n v="8612.26"/>
    <n v="46695.847666666668"/>
    <n v="0.81556689876415345"/>
    <n v="0.1844331012358465"/>
  </r>
  <r>
    <s v="2019-01"/>
    <n v="5146.7420000000002"/>
    <n v="2968.8679999999999"/>
    <n v="501.226"/>
    <n v="127358.57399999999"/>
    <n v="42452.858"/>
    <x v="3"/>
    <n v="1"/>
    <n v="8616.8360000000011"/>
    <n v="51069.694000000003"/>
    <n v="0.8312730050820355"/>
    <n v="0.16872699491796447"/>
  </r>
  <r>
    <s v="2018-12"/>
    <n v="5311.143"/>
    <n v="3613.4520000000002"/>
    <n v="370.54899999999998"/>
    <n v="123406.02"/>
    <n v="41135.340000000004"/>
    <x v="4"/>
    <n v="12"/>
    <n v="9295.1440000000002"/>
    <n v="50430.484000000004"/>
    <n v="0.81568402159297149"/>
    <n v="0.18431597840702857"/>
  </r>
  <r>
    <s v="2018-11"/>
    <n v="4123.8059999999996"/>
    <n v="2796.145"/>
    <n v="499.14400000000001"/>
    <n v="103937.52099999999"/>
    <n v="34645.840333333334"/>
    <x v="4"/>
    <n v="11"/>
    <n v="7419.0949999999993"/>
    <n v="42064.935333333335"/>
    <n v="0.82362756673202542"/>
    <n v="0.17637243326797458"/>
  </r>
  <r>
    <s v="2018-10"/>
    <n v="3074.4259999999999"/>
    <n v="2449.6019999999999"/>
    <n v="810.06700000000001"/>
    <n v="100772.212"/>
    <n v="33590.737333333331"/>
    <x v="4"/>
    <n v="10"/>
    <n v="6334.0950000000003"/>
    <n v="39924.832333333332"/>
    <n v="0.84134949028422967"/>
    <n v="0.1586505097157703"/>
  </r>
  <r>
    <s v="2018-09"/>
    <n v="3175.1019999999999"/>
    <n v="1585.212"/>
    <n v="1177.0060000000001"/>
    <n v="96104.597999999998"/>
    <n v="32034.865999999998"/>
    <x v="4"/>
    <n v="9"/>
    <n v="5937.3200000000006"/>
    <n v="37972.186000000002"/>
    <n v="0.84364028976367067"/>
    <n v="0.1563597102363293"/>
  </r>
  <r>
    <s v="2018-08"/>
    <n v="4064.8449999999998"/>
    <n v="1402.538"/>
    <n v="1326.5619999999999"/>
    <n v="87546.407999999996"/>
    <n v="29182.135999999999"/>
    <x v="4"/>
    <n v="8"/>
    <n v="6793.9449999999997"/>
    <n v="35976.080999999998"/>
    <n v="0.81115383301477451"/>
    <n v="0.18884616698522555"/>
  </r>
  <r>
    <s v="2018-07"/>
    <n v="5465.7420000000002"/>
    <n v="1085.7349999999999"/>
    <n v="1432.732"/>
    <n v="95721.775999999998"/>
    <n v="31907.258666666665"/>
    <x v="4"/>
    <n v="7"/>
    <n v="7984.2089999999998"/>
    <n v="39891.467666666664"/>
    <n v="0.79985171097949825"/>
    <n v="0.20014828902050175"/>
  </r>
  <r>
    <s v="2018-06"/>
    <n v="7803.665"/>
    <n v="1373.5129999999999"/>
    <n v="1283.9749999999999"/>
    <n v="91391.126000000004"/>
    <n v="30463.708666666669"/>
    <x v="4"/>
    <n v="6"/>
    <n v="10461.153"/>
    <n v="40924.861666666671"/>
    <n v="0.74438146950364359"/>
    <n v="0.25561853049635636"/>
  </r>
  <r>
    <s v="2018-05"/>
    <n v="7938.8519999999999"/>
    <n v="1605.95"/>
    <n v="1144.258"/>
    <n v="97495.217999999993"/>
    <n v="32498.405999999999"/>
    <x v="4"/>
    <n v="5"/>
    <n v="10689.06"/>
    <n v="43187.466"/>
    <n v="0.75249624509111046"/>
    <n v="0.24750375490888951"/>
  </r>
  <r>
    <s v="2018-04"/>
    <n v="7162.3819999999996"/>
    <n v="2160.3820000000001"/>
    <n v="1011.24"/>
    <n v="97451.630999999994"/>
    <n v="32483.876999999997"/>
    <x v="4"/>
    <n v="4"/>
    <n v="10334.003999999999"/>
    <n v="42817.880999999994"/>
    <n v="0.75865213881088611"/>
    <n v="0.24134786118911397"/>
  </r>
  <r>
    <s v="2018-03"/>
    <n v="7323.9870000000001"/>
    <n v="3093.6089999999999"/>
    <n v="774.30899999999997"/>
    <n v="113291.10799999999"/>
    <n v="37763.702666666664"/>
    <x v="4"/>
    <n v="3"/>
    <n v="11191.904999999999"/>
    <n v="48955.607666666663"/>
    <n v="0.77138665959976549"/>
    <n v="0.22861334040023457"/>
  </r>
  <r>
    <s v="2018-02"/>
    <n v="7367.1890000000003"/>
    <n v="2732.924"/>
    <n v="534.43799999999999"/>
    <n v="115269.05"/>
    <n v="38423.01666666667"/>
    <x v="4"/>
    <n v="2"/>
    <n v="10634.551000000001"/>
    <n v="49057.56766666667"/>
    <n v="0.78322302743872285"/>
    <n v="0.21677697256127723"/>
  </r>
  <r>
    <s v="2018-01"/>
    <n v="7523.848"/>
    <n v="3976.68"/>
    <n v="331.25099999999998"/>
    <n v="129237.35799999999"/>
    <n v="43079.119333333329"/>
    <x v="4"/>
    <n v="1"/>
    <n v="11831.779"/>
    <n v="54910.898333333331"/>
    <n v="0.78452767375656662"/>
    <n v="0.21547232624343335"/>
  </r>
  <r>
    <s v="2017-12"/>
    <n v="5344.4610000000002"/>
    <n v="3084.3389999999999"/>
    <n v="295.327"/>
    <n v="118870.359"/>
    <n v="39623.453000000001"/>
    <x v="5"/>
    <n v="12"/>
    <n v="8724.1269999999986"/>
    <n v="48347.58"/>
    <n v="0.81955400870115935"/>
    <n v="0.18044599129884056"/>
  </r>
  <r>
    <s v="2017-11"/>
    <n v="3930.395"/>
    <n v="2172.6849999999999"/>
    <n v="400.92599999999999"/>
    <n v="96864.569000000003"/>
    <n v="32288.189666666669"/>
    <x v="5"/>
    <n v="11"/>
    <n v="6504.0060000000003"/>
    <n v="38792.195666666667"/>
    <n v="0.83233725525908409"/>
    <n v="0.16766274474091597"/>
  </r>
  <r>
    <s v="2017-10"/>
    <n v="2732.8150000000001"/>
    <n v="1972.7170000000001"/>
    <n v="652.53399999999999"/>
    <n v="89679.724000000002"/>
    <n v="29893.241333333335"/>
    <x v="5"/>
    <n v="10"/>
    <n v="5358.0659999999998"/>
    <n v="35251.307333333338"/>
    <n v="0.84800376481545525"/>
    <n v="0.15199623518454472"/>
  </r>
  <r>
    <s v="2017-09"/>
    <n v="3098.5259999999998"/>
    <n v="1557.9680000000001"/>
    <n v="792.77200000000005"/>
    <n v="93701.03"/>
    <n v="31233.676666666666"/>
    <x v="5"/>
    <n v="9"/>
    <n v="5449.2659999999996"/>
    <n v="36682.94266666667"/>
    <n v="0.85144959471990012"/>
    <n v="0.14855040528009983"/>
  </r>
  <r>
    <s v="2017-08"/>
    <n v="3531.8139999999999"/>
    <n v="1170.4100000000001"/>
    <n v="1000.546"/>
    <n v="91336.843999999997"/>
    <n v="30445.614666666665"/>
    <x v="5"/>
    <n v="8"/>
    <n v="5702.77"/>
    <n v="36148.384666666665"/>
    <n v="0.84223997690113472"/>
    <n v="0.15776002309886528"/>
  </r>
  <r>
    <s v="2017-07"/>
    <n v="3939.3409999999999"/>
    <n v="1619.1030000000001"/>
    <n v="1059.8620000000001"/>
    <n v="90039.040999999997"/>
    <n v="30013.013666666666"/>
    <x v="5"/>
    <n v="7"/>
    <n v="6618.3059999999996"/>
    <n v="36631.319666666663"/>
    <n v="0.81932657463000313"/>
    <n v="0.18067342536999692"/>
  </r>
  <r>
    <s v="2017-06"/>
    <n v="5157.8940000000002"/>
    <n v="1396.048"/>
    <n v="1049.4939999999999"/>
    <n v="86043.752999999997"/>
    <n v="28681.251"/>
    <x v="5"/>
    <n v="6"/>
    <n v="7603.4359999999997"/>
    <n v="36284.686999999998"/>
    <n v="0.7904505556297069"/>
    <n v="0.20954944437029319"/>
  </r>
  <r>
    <s v="2017-05"/>
    <n v="5757.9650000000001"/>
    <n v="1400.7619999999999"/>
    <n v="1015.797"/>
    <n v="95666.748999999996"/>
    <n v="31888.916333333331"/>
    <x v="5"/>
    <n v="5"/>
    <n v="8174.5239999999994"/>
    <n v="40063.440333333332"/>
    <n v="0.79596050833411114"/>
    <n v="0.20403949166588881"/>
  </r>
  <r>
    <s v="2017-04"/>
    <n v="4239.9049999999997"/>
    <n v="1378.93"/>
    <n v="931.16099999999994"/>
    <n v="101042.997"/>
    <n v="33680.999000000003"/>
    <x v="5"/>
    <n v="4"/>
    <n v="6549.9960000000001"/>
    <n v="40230.995000000003"/>
    <n v="0.8371903056337533"/>
    <n v="0.1628096943662467"/>
  </r>
  <r>
    <s v="2017-03"/>
    <n v="6308.38"/>
    <n v="2514.855"/>
    <n v="678.52"/>
    <n v="108798.41899999999"/>
    <n v="36266.139666666662"/>
    <x v="5"/>
    <n v="3"/>
    <n v="9501.755000000001"/>
    <n v="45767.89466666666"/>
    <n v="0.79239256974343097"/>
    <n v="0.20760743025656914"/>
  </r>
  <r>
    <s v="2017-02"/>
    <n v="4583.5389999999998"/>
    <n v="2422.1579999999999"/>
    <n v="412.99799999999999"/>
    <n v="107040.272"/>
    <n v="35680.090666666663"/>
    <x v="5"/>
    <n v="2"/>
    <n v="7418.6949999999997"/>
    <n v="43098.785666666663"/>
    <n v="0.82786765600828183"/>
    <n v="0.1721323439917182"/>
  </r>
  <r>
    <s v="2017-01"/>
    <n v="5286.67"/>
    <n v="1909.1420000000001"/>
    <n v="317.89299999999997"/>
    <n v="128272.379"/>
    <n v="42757.459666666669"/>
    <x v="5"/>
    <n v="1"/>
    <n v="7513.7049999999999"/>
    <n v="50271.164666666671"/>
    <n v="0.85053648448725683"/>
    <n v="0.14946351551274317"/>
  </r>
  <r>
    <s v="2016-12"/>
    <n v="4597.3379999999997"/>
    <n v="1388.663"/>
    <n v="251.57"/>
    <n v="116283.806"/>
    <n v="38761.268666666663"/>
    <x v="6"/>
    <n v="12"/>
    <n v="6237.5709999999999"/>
    <n v="44998.839666666667"/>
    <n v="0.86138373686509639"/>
    <n v="0.13861626313490349"/>
  </r>
  <r>
    <s v="2016-11"/>
    <n v="4228.7659999999996"/>
    <n v="2188.5010000000002"/>
    <n v="315.50599999999997"/>
    <n v="99125.531000000003"/>
    <n v="33041.843666666668"/>
    <x v="6"/>
    <n v="11"/>
    <n v="6732.7730000000001"/>
    <n v="39774.616666666669"/>
    <n v="0.83072689156442736"/>
    <n v="0.16927310843557261"/>
  </r>
  <r>
    <s v="2016-10"/>
    <n v="3081.4839999999999"/>
    <n v="1340.8520000000001"/>
    <n v="551.00199999999995"/>
    <n v="92610.347999999998"/>
    <n v="30870.115999999998"/>
    <x v="6"/>
    <n v="10"/>
    <n v="4973.3379999999997"/>
    <n v="35843.453999999998"/>
    <n v="0.86124836071880795"/>
    <n v="0.13875163928119205"/>
  </r>
  <r>
    <s v="2016-09"/>
    <n v="3403.33"/>
    <n v="953.06299999999999"/>
    <n v="759.49599999999998"/>
    <n v="84673.304000000004"/>
    <n v="28224.434666666668"/>
    <x v="6"/>
    <n v="9"/>
    <n v="5115.8890000000001"/>
    <n v="33340.323666666671"/>
    <n v="0.84655550884424025"/>
    <n v="0.1534444911557597"/>
  </r>
  <r>
    <s v="2016-08"/>
    <n v="3918.2109999999998"/>
    <n v="1134.4459999999999"/>
    <n v="962.98800000000006"/>
    <n v="86803.210999999996"/>
    <n v="28934.403666666665"/>
    <x v="6"/>
    <n v="8"/>
    <n v="6015.6449999999995"/>
    <n v="34950.048666666662"/>
    <n v="0.82787878044537966"/>
    <n v="0.17212121955462037"/>
  </r>
  <r>
    <s v="2016-07"/>
    <n v="5356.7070000000003"/>
    <n v="974.32899999999995"/>
    <n v="1006.566"/>
    <n v="90469.67"/>
    <n v="30156.556666666667"/>
    <x v="6"/>
    <n v="7"/>
    <n v="7337.6019999999999"/>
    <n v="37494.15866666667"/>
    <n v="0.80430012938193141"/>
    <n v="0.19569987061806851"/>
  </r>
  <r>
    <s v="2016-06"/>
    <n v="7231.335"/>
    <n v="1025.0239999999999"/>
    <n v="911.02300000000002"/>
    <n v="91412.76"/>
    <n v="30470.92"/>
    <x v="6"/>
    <n v="6"/>
    <n v="9167.3819999999996"/>
    <n v="39638.301999999996"/>
    <n v="0.76872414968734037"/>
    <n v="0.23127585031265974"/>
  </r>
  <r>
    <s v="2016-05"/>
    <n v="6570.1490000000003"/>
    <n v="1480.6489999999999"/>
    <n v="896.36199999999997"/>
    <n v="94016.725000000006"/>
    <n v="31338.908333333336"/>
    <x v="6"/>
    <n v="5"/>
    <n v="8947.16"/>
    <n v="40286.068333333336"/>
    <n v="0.77790932771175947"/>
    <n v="0.22209067228824056"/>
  </r>
  <r>
    <s v="2016-04"/>
    <n v="6538.2520000000004"/>
    <n v="1603.6369999999999"/>
    <n v="760.26900000000001"/>
    <n v="98619.127999999997"/>
    <n v="32873.042666666668"/>
    <x v="6"/>
    <n v="4"/>
    <n v="8902.1579999999994"/>
    <n v="41775.200666666671"/>
    <n v="0.78690328573087565"/>
    <n v="0.21309671426912433"/>
  </r>
  <r>
    <s v="2016-03"/>
    <n v="6684.6540000000005"/>
    <n v="2334.085"/>
    <n v="622.24900000000002"/>
    <n v="117876.299"/>
    <n v="39292.099666666669"/>
    <x v="6"/>
    <n v="3"/>
    <n v="9640.9880000000012"/>
    <n v="48933.087666666674"/>
    <n v="0.80297609532276737"/>
    <n v="0.1970239046772326"/>
  </r>
  <r>
    <s v="2016-02"/>
    <n v="7016.7479999999996"/>
    <n v="2748.6129999999998"/>
    <n v="380.45299999999997"/>
    <n v="118312.262"/>
    <n v="39437.420666666665"/>
    <x v="6"/>
    <n v="2"/>
    <n v="10145.813999999998"/>
    <n v="49583.234666666664"/>
    <n v="0.79537813399615243"/>
    <n v="0.20462186600384763"/>
  </r>
  <r>
    <s v="2016-01"/>
    <n v="5731.9610000000002"/>
    <n v="2716.194"/>
    <n v="248.315"/>
    <n v="131863.546"/>
    <n v="43954.515333333336"/>
    <x v="6"/>
    <n v="1"/>
    <n v="8696.4700000000012"/>
    <n v="52650.985333333338"/>
    <n v="0.83482797245022755"/>
    <n v="0.16517202754977248"/>
  </r>
  <r>
    <s v="2015-12"/>
    <n v="3688.393"/>
    <n v="2527.0549999999998"/>
    <n v="211.76"/>
    <n v="127974.03200000001"/>
    <n v="42658.010666666669"/>
    <x v="7"/>
    <n v="12"/>
    <n v="6427.2080000000005"/>
    <n v="49085.218666666668"/>
    <n v="0.86906021456995852"/>
    <n v="0.13093978543004148"/>
  </r>
  <r>
    <s v="2015-11"/>
    <n v="3557.6280000000002"/>
    <n v="2433.6120000000001"/>
    <n v="323.54300000000001"/>
    <n v="113490.519"/>
    <n v="37830.173000000003"/>
    <x v="7"/>
    <n v="11"/>
    <n v="6314.7829999999994"/>
    <n v="44144.956000000006"/>
    <n v="0.85695346485337975"/>
    <n v="0.14304653514662011"/>
  </r>
  <r>
    <s v="2015-10"/>
    <n v="3893.2840000000001"/>
    <n v="1218.133"/>
    <n v="478.99799999999999"/>
    <n v="109641.58500000001"/>
    <n v="36547.195"/>
    <x v="7"/>
    <n v="10"/>
    <n v="5590.415"/>
    <n v="42137.61"/>
    <n v="0.86732956615242296"/>
    <n v="0.13267043384757701"/>
  </r>
  <r>
    <s v="2015-09"/>
    <n v="3442.721"/>
    <n v="1585.6030000000001"/>
    <n v="648.55499999999995"/>
    <n v="97679.616999999998"/>
    <n v="32559.872333333333"/>
    <x v="7"/>
    <n v="9"/>
    <n v="5676.8790000000008"/>
    <n v="38236.751333333334"/>
    <n v="0.85153343832714379"/>
    <n v="0.14846656167285621"/>
  </r>
  <r>
    <s v="2015-08"/>
    <n v="3458.6060000000002"/>
    <n v="1076.5160000000001"/>
    <n v="791.31100000000004"/>
    <n v="102283.505"/>
    <n v="34094.501666666671"/>
    <x v="7"/>
    <n v="8"/>
    <n v="5326.433"/>
    <n v="39420.934666666668"/>
    <n v="0.86488313772773395"/>
    <n v="0.1351168622722661"/>
  </r>
  <r>
    <s v="2015-07"/>
    <n v="4092.741"/>
    <n v="1338.682"/>
    <n v="872.39099999999996"/>
    <n v="106076.09600000001"/>
    <n v="35358.698666666671"/>
    <x v="7"/>
    <n v="7"/>
    <n v="6303.8139999999994"/>
    <n v="41662.512666666669"/>
    <n v="0.84869337933514621"/>
    <n v="0.15130662066485379"/>
  </r>
  <r>
    <s v="2015-06"/>
    <n v="5693.893"/>
    <n v="1199.77"/>
    <n v="850.68200000000002"/>
    <n v="97938.391000000003"/>
    <n v="32646.130333333334"/>
    <x v="7"/>
    <n v="6"/>
    <n v="7744.3450000000003"/>
    <n v="40390.475333333336"/>
    <n v="0.80826308836210281"/>
    <n v="0.19173691163789719"/>
  </r>
  <r>
    <s v="2015-05"/>
    <n v="6515.7860000000001"/>
    <n v="1519.049"/>
    <n v="787.32500000000005"/>
    <n v="96932.331000000006"/>
    <n v="32310.777000000002"/>
    <x v="7"/>
    <n v="5"/>
    <n v="8822.16"/>
    <n v="41132.937000000005"/>
    <n v="0.7855207859336667"/>
    <n v="0.21447921406633325"/>
  </r>
  <r>
    <s v="2015-04"/>
    <n v="5809.6239999999998"/>
    <n v="1378.05"/>
    <n v="697.72"/>
    <n v="99393.986000000004"/>
    <n v="33131.328666666668"/>
    <x v="7"/>
    <n v="4"/>
    <n v="7885.3940000000002"/>
    <n v="41016.722666666668"/>
    <n v="0.80775172935968687"/>
    <n v="0.19224827064031313"/>
  </r>
  <r>
    <s v="2015-03"/>
    <n v="6525.1080000000002"/>
    <n v="1908.979"/>
    <n v="516.31100000000004"/>
    <n v="117108.442"/>
    <n v="39036.147333333334"/>
    <x v="7"/>
    <n v="3"/>
    <n v="8950.3979999999992"/>
    <n v="47986.545333333335"/>
    <n v="0.81348109271407154"/>
    <n v="0.18651890728592838"/>
  </r>
  <r>
    <s v="2015-02"/>
    <n v="6423.1750000000002"/>
    <n v="1808.5309999999999"/>
    <n v="332.70299999999997"/>
    <n v="118645.628"/>
    <n v="39548.542666666668"/>
    <x v="7"/>
    <n v="2"/>
    <n v="8564.4089999999997"/>
    <n v="48112.951666666668"/>
    <n v="0.82199368977951226"/>
    <n v="0.17800631022048774"/>
  </r>
  <r>
    <s v="2015-01"/>
    <n v="6236.8440000000001"/>
    <n v="2176.4430000000002"/>
    <n v="228.00399999999999"/>
    <n v="138614.247"/>
    <n v="46204.749000000003"/>
    <x v="7"/>
    <n v="1"/>
    <n v="8641.2910000000011"/>
    <n v="54846.040000000008"/>
    <n v="0.84244457758481739"/>
    <n v="0.15755542241518256"/>
  </r>
  <r>
    <s v="2014-12"/>
    <n v="5745.2969999999996"/>
    <n v="1958.883"/>
    <n v="181.53299999999999"/>
    <n v="131968.568"/>
    <n v="43989.522666666664"/>
    <x v="8"/>
    <n v="12"/>
    <n v="7885.7129999999997"/>
    <n v="51875.23566666666"/>
    <n v="0.84798694601271762"/>
    <n v="0.15201305398728246"/>
  </r>
  <r>
    <s v="2014-11"/>
    <n v="4897.2709999999997"/>
    <n v="1411.79"/>
    <n v="227.435"/>
    <n v="115390.43700000001"/>
    <n v="38463.478999999999"/>
    <x v="8"/>
    <n v="11"/>
    <n v="6536.4960000000001"/>
    <n v="44999.974999999999"/>
    <n v="0.85474445263580701"/>
    <n v="0.14525554736419299"/>
  </r>
  <r>
    <s v="2014-10"/>
    <n v="3783.4229999999998"/>
    <n v="1209.845"/>
    <n v="428.78399999999999"/>
    <n v="104464.23"/>
    <n v="34821.409999999996"/>
    <x v="8"/>
    <n v="10"/>
    <n v="5422.0519999999997"/>
    <n v="40243.462"/>
    <n v="0.8652687484988244"/>
    <n v="0.13473125150117551"/>
  </r>
  <r>
    <s v="2014-09"/>
    <n v="3786.2370000000001"/>
    <n v="678.46400000000006"/>
    <n v="565.38800000000003"/>
    <n v="101569.77099999999"/>
    <n v="33856.590333333334"/>
    <x v="8"/>
    <n v="9"/>
    <n v="5030.0889999999999"/>
    <n v="38886.679333333333"/>
    <n v="0.87064750484651821"/>
    <n v="0.12935249515348177"/>
  </r>
  <r>
    <s v="2014-08"/>
    <n v="5334.1189999999997"/>
    <n v="933.67"/>
    <n v="659.89300000000003"/>
    <n v="99057.198000000004"/>
    <n v="33019.065999999999"/>
    <x v="8"/>
    <n v="8"/>
    <n v="6927.6819999999998"/>
    <n v="39946.748"/>
    <n v="0.82657707205602815"/>
    <n v="0.17342292794397179"/>
  </r>
  <r>
    <s v="2014-07"/>
    <n v="6232.79"/>
    <n v="910.97799999999995"/>
    <n v="681.44200000000001"/>
    <n v="106619.163"/>
    <n v="35539.720999999998"/>
    <x v="8"/>
    <n v="7"/>
    <n v="7825.21"/>
    <n v="43364.930999999997"/>
    <n v="0.8195498108828998"/>
    <n v="0.1804501891171002"/>
  </r>
  <r>
    <s v="2014-06"/>
    <n v="5111.2259999999997"/>
    <n v="902.47500000000002"/>
    <n v="685.63"/>
    <n v="98890.501000000004"/>
    <n v="32963.500333333337"/>
    <x v="8"/>
    <n v="6"/>
    <n v="6699.3310000000001"/>
    <n v="39662.831333333335"/>
    <n v="0.83109297105651248"/>
    <n v="0.16890702894348758"/>
  </r>
  <r>
    <s v="2014-05"/>
    <n v="6221.3680000000004"/>
    <n v="1461.836"/>
    <n v="635.38199999999995"/>
    <n v="99269.357000000004"/>
    <n v="33089.78566666667"/>
    <x v="8"/>
    <n v="5"/>
    <n v="8318.5860000000011"/>
    <n v="41408.371666666673"/>
    <n v="0.7991085941035353"/>
    <n v="0.20089140589646465"/>
  </r>
  <r>
    <s v="2014-04"/>
    <n v="5905.107"/>
    <n v="1006.282"/>
    <n v="543.93100000000004"/>
    <n v="99323.913"/>
    <n v="33107.970999999998"/>
    <x v="8"/>
    <n v="4"/>
    <n v="7455.32"/>
    <n v="40563.290999999997"/>
    <n v="0.81620524823787099"/>
    <n v="0.18379475176212898"/>
  </r>
  <r>
    <s v="2014-03"/>
    <n v="7065.4380000000001"/>
    <n v="1239.57"/>
    <n v="464.56400000000002"/>
    <n v="113702.254"/>
    <n v="37900.751333333334"/>
    <x v="8"/>
    <n v="3"/>
    <n v="8769.5720000000001"/>
    <n v="46670.323333333334"/>
    <n v="0.8120953236735664"/>
    <n v="0.18790467632643357"/>
  </r>
  <r>
    <s v="2014-02"/>
    <n v="7112.3649999999998"/>
    <n v="2357.192"/>
    <n v="248.23099999999999"/>
    <n v="115457.11500000001"/>
    <n v="38485.705000000002"/>
    <x v="8"/>
    <n v="2"/>
    <n v="9717.7880000000005"/>
    <n v="48203.493000000002"/>
    <n v="0.79840075075057315"/>
    <n v="0.20159924924942679"/>
  </r>
  <r>
    <s v="2014-01"/>
    <n v="7053.0829999999996"/>
    <n v="2100.3339999999998"/>
    <n v="164.98099999999999"/>
    <n v="135384.93900000001"/>
    <n v="45128.313000000002"/>
    <x v="8"/>
    <n v="1"/>
    <n v="9318.3979999999992"/>
    <n v="54446.711000000003"/>
    <n v="0.82885287597996504"/>
    <n v="0.1711471240200349"/>
  </r>
  <r>
    <s v="2013-12"/>
    <n v="5711.1809999999996"/>
    <n v="1916.751"/>
    <n v="160.041"/>
    <n v="128204.861"/>
    <n v="42734.953666666668"/>
    <x v="9"/>
    <n v="12"/>
    <n v="7787.973"/>
    <n v="50522.926666666666"/>
    <n v="0.84585269473040559"/>
    <n v="0.15414730526959444"/>
  </r>
  <r>
    <s v="2013-11"/>
    <n v="6321.4960000000001"/>
    <n v="1714.499"/>
    <n v="176.309"/>
    <n v="110128.88499999999"/>
    <n v="36709.628333333334"/>
    <x v="9"/>
    <n v="11"/>
    <n v="8212.3040000000001"/>
    <n v="44921.93233333333"/>
    <n v="0.81718720514820242"/>
    <n v="0.18281279485179761"/>
  </r>
  <r>
    <s v="2013-10"/>
    <n v="4825.201"/>
    <n v="1543.6659999999999"/>
    <n v="306.16500000000002"/>
    <n v="99163.126000000004"/>
    <n v="33054.375333333337"/>
    <x v="9"/>
    <n v="10"/>
    <n v="6675.0320000000002"/>
    <n v="39729.407333333336"/>
    <n v="0.83198762709959717"/>
    <n v="0.16801237290040286"/>
  </r>
  <r>
    <s v="2013-09"/>
    <n v="4108.625"/>
    <n v="899.81600000000003"/>
    <n v="426.28"/>
    <n v="94817.042000000001"/>
    <n v="31605.680666666667"/>
    <x v="9"/>
    <n v="9"/>
    <n v="5434.7209999999995"/>
    <n v="37040.401666666665"/>
    <n v="0.85327586215430262"/>
    <n v="0.14672413784569741"/>
  </r>
  <r>
    <s v="2013-08"/>
    <n v="4547.1019999999999"/>
    <n v="705.577"/>
    <n v="541.73599999999999"/>
    <n v="95377.111999999994"/>
    <n v="31792.370666666666"/>
    <x v="9"/>
    <n v="8"/>
    <n v="5794.415"/>
    <n v="37586.785666666663"/>
    <n v="0.84583903898069435"/>
    <n v="0.15416096101930576"/>
  </r>
  <r>
    <s v="2013-07"/>
    <n v="6406.0119999999997"/>
    <n v="829.66200000000003"/>
    <n v="586.91800000000001"/>
    <n v="98138.305999999997"/>
    <n v="32712.768666666667"/>
    <x v="9"/>
    <n v="7"/>
    <n v="7822.5919999999996"/>
    <n v="40535.360666666667"/>
    <n v="0.80701807332301023"/>
    <n v="0.19298192667698971"/>
  </r>
  <r>
    <s v="2013-06"/>
    <n v="7377.3339999999998"/>
    <n v="1112.4179999999999"/>
    <n v="537.26300000000003"/>
    <n v="91415.824999999997"/>
    <n v="30471.941666666666"/>
    <x v="9"/>
    <n v="6"/>
    <n v="9027.0150000000012"/>
    <n v="39498.956666666665"/>
    <n v="0.7714619381929666"/>
    <n v="0.22853806180703343"/>
  </r>
  <r>
    <s v="2013-05"/>
    <n v="8578.86"/>
    <n v="1112.6320000000001"/>
    <n v="489.255"/>
    <n v="99269.63"/>
    <n v="33089.876666666671"/>
    <x v="9"/>
    <n v="5"/>
    <n v="10180.746999999999"/>
    <n v="43270.623666666666"/>
    <n v="0.76471919890901208"/>
    <n v="0.23528080109098803"/>
  </r>
  <r>
    <s v="2013-04"/>
    <n v="7247.3760000000002"/>
    <n v="1430.078"/>
    <n v="419.76100000000002"/>
    <n v="100186.098"/>
    <n v="33395.366000000002"/>
    <x v="9"/>
    <n v="4"/>
    <n v="9097.2150000000001"/>
    <n v="42492.581000000006"/>
    <n v="0.78591050988406652"/>
    <n v="0.2140894901159334"/>
  </r>
  <r>
    <s v="2013-03"/>
    <n v="6473.4430000000002"/>
    <n v="1294.3399999999999"/>
    <n v="337.68200000000002"/>
    <n v="116706.88499999999"/>
    <n v="38902.294999999998"/>
    <x v="9"/>
    <n v="3"/>
    <n v="8105.4650000000001"/>
    <n v="47007.759999999995"/>
    <n v="0.82757176687423528"/>
    <n v="0.1724282331257648"/>
  </r>
  <r>
    <s v="2013-02"/>
    <n v="6870.56"/>
    <n v="1389.1510000000001"/>
    <n v="216.31700000000001"/>
    <n v="116396.587"/>
    <n v="38798.862333333331"/>
    <x v="9"/>
    <n v="2"/>
    <n v="8476.0280000000021"/>
    <n v="47274.890333333329"/>
    <n v="0.82070761158331895"/>
    <n v="0.1792923884166811"/>
  </r>
  <r>
    <s v="2013-01"/>
    <n v="6890.277"/>
    <n v="1263.8130000000001"/>
    <n v="139.12899999999999"/>
    <n v="134319.11199999999"/>
    <n v="44773.037333333334"/>
    <x v="9"/>
    <n v="1"/>
    <n v="8293.219000000001"/>
    <n v="53066.256333333338"/>
    <n v="0.84371953906251618"/>
    <n v="0.15628046093748377"/>
  </r>
  <r>
    <s v="2012-12"/>
    <n v="6482.4570000000003"/>
    <n v="2193.2739999999999"/>
    <n v="121.908"/>
    <n v="126634.73"/>
    <n v="42211.576666666668"/>
    <x v="10"/>
    <n v="12"/>
    <n v="8797.6389999999992"/>
    <n v="51009.215666666671"/>
    <n v="0.82752844000796788"/>
    <n v="0.17247155999203201"/>
  </r>
  <r>
    <s v="2012-11"/>
    <n v="4831.3239999999996"/>
    <n v="1249.2049999999999"/>
    <n v="159.749"/>
    <n v="118091.255"/>
    <n v="39363.751666666671"/>
    <x v="10"/>
    <n v="11"/>
    <n v="6240.2779999999993"/>
    <n v="45604.029666666669"/>
    <n v="0.86316389043661201"/>
    <n v="0.13683610956338804"/>
  </r>
  <r>
    <s v="2012-10"/>
    <n v="4484.3180000000002"/>
    <n v="1308.577"/>
    <n v="268.863"/>
    <n v="104797.89599999999"/>
    <n v="34932.631999999998"/>
    <x v="10"/>
    <n v="10"/>
    <n v="6061.7580000000007"/>
    <n v="40994.39"/>
    <n v="0.85213201123373217"/>
    <n v="0.1478679887662678"/>
  </r>
  <r>
    <s v="2012-09"/>
    <n v="3663.7939999999999"/>
    <n v="883.66899999999998"/>
    <n v="373.91800000000001"/>
    <n v="96273.91"/>
    <n v="32091.303333333333"/>
    <x v="10"/>
    <n v="9"/>
    <n v="4921.3809999999994"/>
    <n v="37012.684333333331"/>
    <n v="0.86703528564212129"/>
    <n v="0.13296471435787874"/>
  </r>
  <r>
    <s v="2012-08"/>
    <n v="3616.866"/>
    <n v="861.71900000000005"/>
    <n v="468.33800000000002"/>
    <n v="90827.354999999996"/>
    <n v="30275.785"/>
    <x v="10"/>
    <n v="8"/>
    <n v="4946.9229999999998"/>
    <n v="35222.707999999999"/>
    <n v="0.85955301903533377"/>
    <n v="0.14044698096466632"/>
  </r>
  <r>
    <s v="2012-07"/>
    <n v="5001.7089999999998"/>
    <n v="875.26199999999994"/>
    <n v="499.42599999999999"/>
    <n v="92115.646999999997"/>
    <n v="30705.215666666667"/>
    <x v="10"/>
    <n v="7"/>
    <n v="6376.3969999999999"/>
    <n v="37081.612666666668"/>
    <n v="0.82804423698293306"/>
    <n v="0.17195576301706691"/>
  </r>
  <r>
    <s v="2012-06"/>
    <n v="6966.5649999999996"/>
    <n v="951.32799999999997"/>
    <n v="453.637"/>
    <n v="84994.337"/>
    <n v="28331.445666666667"/>
    <x v="10"/>
    <n v="6"/>
    <n v="8371.5300000000007"/>
    <n v="36702.975666666665"/>
    <n v="0.77191140914487344"/>
    <n v="0.22808859085512662"/>
  </r>
  <r>
    <s v="2012-05"/>
    <n v="7847.8389999999999"/>
    <n v="933.06299999999999"/>
    <n v="422.47500000000002"/>
    <n v="92837.989000000001"/>
    <n v="30945.996333333333"/>
    <x v="10"/>
    <n v="5"/>
    <n v="9203.3770000000004"/>
    <n v="40149.373333333337"/>
    <n v="0.77077159029132203"/>
    <n v="0.22922840970867789"/>
  </r>
  <r>
    <s v="2012-04"/>
    <n v="5470.6970000000001"/>
    <n v="1502.9110000000001"/>
    <n v="330.06200000000001"/>
    <n v="105259.43399999999"/>
    <n v="35086.477999999996"/>
    <x v="10"/>
    <n v="4"/>
    <n v="7303.67"/>
    <n v="42390.147999999994"/>
    <n v="0.82770359754346701"/>
    <n v="0.17229640245653308"/>
  </r>
  <r>
    <s v="2012-03"/>
    <n v="4001.2820000000002"/>
    <n v="938.77099999999996"/>
    <n v="299.61500000000001"/>
    <n v="119245.978"/>
    <n v="39748.659333333337"/>
    <x v="10"/>
    <n v="3"/>
    <n v="5239.6679999999997"/>
    <n v="44988.327333333335"/>
    <n v="0.88353272258429227"/>
    <n v="0.11646727741570771"/>
  </r>
  <r>
    <s v="2012-02"/>
    <n v="5250.7929999999997"/>
    <n v="1083.7639999999999"/>
    <n v="180.39699999999999"/>
    <n v="122565.787"/>
    <n v="40855.262333333332"/>
    <x v="10"/>
    <n v="2"/>
    <n v="6514.9539999999997"/>
    <n v="47370.21633333333"/>
    <n v="0.8624672947626888"/>
    <n v="0.13753270523731126"/>
  </r>
  <r>
    <s v="2012-01"/>
    <n v="6833.2470000000003"/>
    <n v="1520.9839999999999"/>
    <n v="108.69"/>
    <n v="135687.63"/>
    <n v="45229.21"/>
    <x v="10"/>
    <n v="1"/>
    <n v="8462.9210000000003"/>
    <n v="53692.131000000001"/>
    <n v="0.84238060880839316"/>
    <n v="0.15761939119160684"/>
  </r>
  <r>
    <s v="2011-12"/>
    <n v="5747.0370000000003"/>
    <n v="1944.35"/>
    <n v="82.69"/>
    <n v="126664.766"/>
    <n v="42221.58866666667"/>
    <x v="11"/>
    <n v="12"/>
    <n v="7774.0770000000002"/>
    <n v="49995.665666666668"/>
    <n v="0.84450498065508972"/>
    <n v="0.15549501934491028"/>
  </r>
  <r>
    <s v="2011-11"/>
    <n v="3958.5320000000002"/>
    <n v="909.16399999999999"/>
    <n v="105.379"/>
    <n v="107339.353"/>
    <n v="35779.784333333337"/>
    <x v="11"/>
    <n v="11"/>
    <n v="4973.0749999999998"/>
    <n v="40752.859333333334"/>
    <n v="0.87796991226251631"/>
    <n v="0.12203008773748374"/>
  </r>
  <r>
    <s v="2011-10"/>
    <n v="3280.9810000000002"/>
    <n v="1035.1859999999999"/>
    <n v="182.74"/>
    <n v="104447.591"/>
    <n v="34815.863666666664"/>
    <x v="11"/>
    <n v="10"/>
    <n v="4498.9070000000002"/>
    <n v="39314.770666666664"/>
    <n v="0.88556700385856679"/>
    <n v="0.11443299614143326"/>
  </r>
  <r>
    <s v="2011-09"/>
    <n v="3238.1390000000001"/>
    <n v="821.14800000000002"/>
    <n v="229.17099999999999"/>
    <n v="100278.478"/>
    <n v="33426.159333333337"/>
    <x v="11"/>
    <n v="9"/>
    <n v="4288.4580000000005"/>
    <n v="37714.617333333335"/>
    <n v="0.88629188619104116"/>
    <n v="0.11370811380895889"/>
  </r>
  <r>
    <s v="2011-08"/>
    <n v="3911.1570000000002"/>
    <n v="664.12"/>
    <n v="256.13400000000001"/>
    <n v="100293.784"/>
    <n v="33431.261333333336"/>
    <x v="11"/>
    <n v="8"/>
    <n v="4831.4110000000001"/>
    <n v="38262.672333333336"/>
    <n v="0.87373043477177592"/>
    <n v="0.12626956522822413"/>
  </r>
  <r>
    <s v="2011-07"/>
    <n v="4260.8220000000001"/>
    <n v="809.14599999999996"/>
    <n v="256.15699999999998"/>
    <n v="106785.193"/>
    <n v="35595.064333333336"/>
    <x v="11"/>
    <n v="7"/>
    <n v="5326.125"/>
    <n v="40921.189333333336"/>
    <n v="0.86984432547610546"/>
    <n v="0.13015567452389457"/>
  </r>
  <r>
    <s v="2011-06"/>
    <n v="4381.6819999999998"/>
    <n v="853.154"/>
    <n v="220.39699999999999"/>
    <n v="103918.02899999999"/>
    <n v="34639.343000000001"/>
    <x v="11"/>
    <n v="6"/>
    <n v="5455.2329999999993"/>
    <n v="40094.576000000001"/>
    <n v="0.86394087319940727"/>
    <n v="0.13605912680059265"/>
  </r>
  <r>
    <s v="2011-05"/>
    <n v="3481.64"/>
    <n v="727.13099999999997"/>
    <n v="205.304"/>
    <n v="105566.541"/>
    <n v="35188.847000000002"/>
    <x v="11"/>
    <n v="5"/>
    <n v="4414.0749999999998"/>
    <n v="39602.921999999999"/>
    <n v="0.88854168386868027"/>
    <n v="0.1114583161313198"/>
  </r>
  <r>
    <s v="2011-04"/>
    <n v="4130.2529999999997"/>
    <n v="668.12"/>
    <n v="168.58099999999999"/>
    <n v="104735.57"/>
    <n v="34911.856666666667"/>
    <x v="11"/>
    <n v="4"/>
    <n v="4966.9539999999997"/>
    <n v="39878.810666666664"/>
    <n v="0.87544879305661683"/>
    <n v="0.12455120694338327"/>
  </r>
  <r>
    <s v="2011-03"/>
    <n v="4525.6390000000001"/>
    <n v="1094.1969999999999"/>
    <n v="120.04600000000001"/>
    <n v="119591.671"/>
    <n v="39863.890333333336"/>
    <x v="11"/>
    <n v="3"/>
    <n v="5739.8820000000005"/>
    <n v="45603.772333333334"/>
    <n v="0.87413580705461669"/>
    <n v="0.12586419294538331"/>
  </r>
  <r>
    <s v="2011-02"/>
    <n v="4119.8950000000004"/>
    <n v="871.15700000000004"/>
    <n v="67.528999999999996"/>
    <n v="121352.736"/>
    <n v="40450.912000000004"/>
    <x v="11"/>
    <n v="2"/>
    <n v="5058.5810000000001"/>
    <n v="45509.493000000002"/>
    <n v="0.88884558656805956"/>
    <n v="0.11115441343194045"/>
  </r>
  <r>
    <s v="2011-01"/>
    <n v="6048.9170000000004"/>
    <n v="1229.221"/>
    <n v="42.411000000000001"/>
    <n v="138909.815"/>
    <n v="46303.271666666667"/>
    <x v="11"/>
    <n v="1"/>
    <n v="7320.5490000000009"/>
    <n v="53623.820666666667"/>
    <n v="0.86348326342679727"/>
    <n v="0.13651673657320279"/>
  </r>
  <r>
    <s v="2010-12"/>
    <n v="7063.89"/>
    <n v="950.17100000000005"/>
    <s v="0"/>
    <n v="132842.122"/>
    <n v="44280.707333333332"/>
    <x v="12"/>
    <n v="12"/>
    <n v="8014.0610000000006"/>
    <n v="52294.768333333333"/>
    <n v="0.84675214643045393"/>
    <n v="0.15324785356954607"/>
  </r>
  <r>
    <s v="2010-11"/>
    <n v="5519.942"/>
    <n v="969.17399999999998"/>
    <s v="0"/>
    <n v="112760.29700000001"/>
    <n v="37586.765666666666"/>
    <x v="12"/>
    <n v="11"/>
    <n v="6489.116"/>
    <n v="44075.881666666668"/>
    <n v="0.85277399442453961"/>
    <n v="0.14722600557546039"/>
  </r>
  <r>
    <s v="2010-10"/>
    <n v="4048.88"/>
    <n v="1034.1859999999999"/>
    <s v="0"/>
    <n v="101708.371"/>
    <n v="33902.790333333331"/>
    <x v="12"/>
    <n v="10"/>
    <n v="5083.0659999999998"/>
    <n v="38985.85633333333"/>
    <n v="0.86961769015564949"/>
    <n v="0.13038230984435048"/>
  </r>
  <r>
    <s v="2010-09"/>
    <n v="3608.2190000000001"/>
    <n v="548.09900000000005"/>
    <s v="0"/>
    <n v="100872.091"/>
    <n v="33624.030333333336"/>
    <x v="12"/>
    <n v="9"/>
    <n v="4156.3180000000002"/>
    <n v="37780.348333333335"/>
    <n v="0.88998730336393139"/>
    <n v="0.11001269663606861"/>
  </r>
  <r>
    <s v="2010-08"/>
    <n v="4402.6949999999997"/>
    <n v="668.12"/>
    <s v="0"/>
    <n v="103451.927"/>
    <n v="34483.975666666665"/>
    <x v="12"/>
    <n v="8"/>
    <n v="5070.8149999999996"/>
    <n v="39554.790666666668"/>
    <n v="0.8718027598039283"/>
    <n v="0.12819724019607165"/>
  </r>
  <r>
    <s v="2010-07"/>
    <n v="5512.0140000000001"/>
    <n v="479.08600000000001"/>
    <s v="0"/>
    <n v="101295.785"/>
    <n v="33765.261666666665"/>
    <x v="12"/>
    <n v="7"/>
    <n v="5991.1"/>
    <n v="39756.361666666664"/>
    <n v="0.84930462072380286"/>
    <n v="0.15069537927619719"/>
  </r>
  <r>
    <s v="2010-06"/>
    <n v="7408.098"/>
    <n v="566.10199999999998"/>
    <s v="0"/>
    <n v="94335.046000000002"/>
    <n v="31445.015333333333"/>
    <x v="12"/>
    <n v="6"/>
    <n v="7974.2"/>
    <n v="39419.215333333334"/>
    <n v="0.79770779472474873"/>
    <n v="0.2022922052752513"/>
  </r>
  <r>
    <s v="2010-05"/>
    <n v="6574.8609999999999"/>
    <n v="725.13099999999997"/>
    <s v="0"/>
    <n v="93362.235000000001"/>
    <n v="31120.744999999999"/>
    <x v="12"/>
    <n v="5"/>
    <n v="7299.9920000000002"/>
    <n v="38420.737000000001"/>
    <n v="0.80999864734505223"/>
    <n v="0.19000135265494777"/>
  </r>
  <r>
    <s v="2010-04"/>
    <n v="5834.1909999999998"/>
    <n v="707.12699999999995"/>
    <s v="0"/>
    <n v="99668.426000000007"/>
    <n v="33222.808666666671"/>
    <x v="12"/>
    <n v="4"/>
    <n v="6541.3179999999993"/>
    <n v="39764.126666666671"/>
    <n v="0.83549700324530374"/>
    <n v="0.16450299675469629"/>
  </r>
  <r>
    <s v="2010-03"/>
    <n v="6310.65"/>
    <n v="1149.2070000000001"/>
    <s v="0"/>
    <n v="114382.671"/>
    <n v="38127.557000000001"/>
    <x v="12"/>
    <n v="3"/>
    <n v="7459.857"/>
    <n v="45587.414000000004"/>
    <n v="0.83636147906963965"/>
    <n v="0.16363852093036027"/>
  </r>
  <r>
    <s v="2010-02"/>
    <n v="5903.5450000000001"/>
    <n v="949.17100000000005"/>
    <s v="0"/>
    <n v="115196.484"/>
    <n v="38398.828000000001"/>
    <x v="12"/>
    <n v="2"/>
    <n v="6852.7160000000003"/>
    <n v="45251.544000000002"/>
    <n v="0.8485639296639248"/>
    <n v="0.15143607033607517"/>
  </r>
  <r>
    <s v="2010-01"/>
    <n v="6371.7070000000003"/>
    <n v="668.12"/>
    <s v="0"/>
    <n v="128292.75599999999"/>
    <n v="42764.252"/>
    <x v="12"/>
    <n v="1"/>
    <n v="7039.8270000000002"/>
    <n v="49804.078999999998"/>
    <n v="0.85864958972537175"/>
    <n v="0.14135041027462833"/>
  </r>
  <r>
    <s v="2009-12"/>
    <n v="5323.0720000000001"/>
    <n v="940.16899999999998"/>
    <s v="0"/>
    <n v="120193.633"/>
    <n v="40064.544333333331"/>
    <x v="13"/>
    <n v="12"/>
    <n v="6263.241"/>
    <n v="46327.785333333333"/>
    <n v="0.86480594841874447"/>
    <n v="0.13519405158125553"/>
  </r>
  <r>
    <s v="2009-11"/>
    <n v="3794.3229999999999"/>
    <n v="1296.2329999999999"/>
    <s v="0"/>
    <n v="100247.048"/>
    <n v="33415.682666666668"/>
    <x v="13"/>
    <n v="11"/>
    <n v="5090.5559999999996"/>
    <n v="38506.238666666664"/>
    <n v="0.86779918848821003"/>
    <n v="0.13220081151179"/>
  </r>
  <r>
    <s v="2009-10"/>
    <n v="3081.9050000000002"/>
    <n v="632.11400000000003"/>
    <s v="0"/>
    <n v="98785.998000000007"/>
    <n v="32928.666000000005"/>
    <x v="13"/>
    <n v="10"/>
    <n v="3714.0190000000002"/>
    <n v="36642.685000000005"/>
    <n v="0.89864228017133574"/>
    <n v="0.10135771982866429"/>
  </r>
  <r>
    <s v="2009-09"/>
    <n v="2994.8670000000002"/>
    <n v="542.09799999999996"/>
    <s v="0"/>
    <n v="91803.258000000002"/>
    <n v="30601.085999999999"/>
    <x v="13"/>
    <n v="9"/>
    <n v="3536.9650000000001"/>
    <n v="34138.050999999999"/>
    <n v="0.89639229843554924"/>
    <n v="0.10360770156445077"/>
  </r>
  <r>
    <s v="2009-08"/>
    <n v="3912.0050000000001"/>
    <n v="355.06400000000002"/>
    <s v="0"/>
    <n v="90316.490999999995"/>
    <n v="30105.496999999999"/>
    <x v="13"/>
    <n v="8"/>
    <n v="4267.0690000000004"/>
    <n v="34372.565999999999"/>
    <n v="0.87585829350069477"/>
    <n v="0.12414170649930531"/>
  </r>
  <r>
    <s v="2009-07"/>
    <n v="4966.2039999999997"/>
    <n v="538.09699999999998"/>
    <s v="0"/>
    <n v="92456.012000000002"/>
    <n v="30818.670666666669"/>
    <x v="13"/>
    <n v="7"/>
    <n v="5504.3009999999995"/>
    <n v="36322.971666666665"/>
    <n v="0.84846226100351652"/>
    <n v="0.15153773899648354"/>
  </r>
  <r>
    <s v="2009-06"/>
    <n v="6444.1639999999998"/>
    <n v="405.07299999999998"/>
    <s v="0"/>
    <n v="86803.48"/>
    <n v="28934.493333333332"/>
    <x v="13"/>
    <n v="6"/>
    <n v="6849.2370000000001"/>
    <n v="35783.730333333333"/>
    <n v="0.80859354415546258"/>
    <n v="0.19140645584453739"/>
  </r>
  <r>
    <s v="2009-05"/>
    <n v="7209.6679999999997"/>
    <n v="539.09699999999998"/>
    <s v="0"/>
    <n v="95638.402000000002"/>
    <n v="31879.467333333334"/>
    <x v="13"/>
    <n v="5"/>
    <n v="7748.7649999999994"/>
    <n v="39628.232333333333"/>
    <n v="0.80446352149091149"/>
    <n v="0.19553647850908851"/>
  </r>
  <r>
    <s v="2009-04"/>
    <n v="6743.0590000000002"/>
    <n v="464.084"/>
    <s v="0"/>
    <n v="98544.985000000001"/>
    <n v="32848.328333333331"/>
    <x v="13"/>
    <n v="4"/>
    <n v="7207.143"/>
    <n v="40055.471333333335"/>
    <n v="0.82007094761103538"/>
    <n v="0.17992905238896451"/>
  </r>
  <r>
    <s v="2009-03"/>
    <n v="6315.0720000000001"/>
    <n v="741.13300000000004"/>
    <s v="0"/>
    <n v="114347.825"/>
    <n v="38115.941666666666"/>
    <x v="13"/>
    <n v="3"/>
    <n v="7056.2049999999999"/>
    <n v="45172.146666666667"/>
    <n v="0.84379301138666274"/>
    <n v="0.15620698861333723"/>
  </r>
  <r>
    <s v="2009-02"/>
    <n v="5808.3990000000003"/>
    <n v="494.089"/>
    <s v="0"/>
    <n v="117351.395"/>
    <n v="39117.131666666668"/>
    <x v="13"/>
    <n v="2"/>
    <n v="6302.4880000000003"/>
    <n v="45419.619666666666"/>
    <n v="0.86123864430715658"/>
    <n v="0.13876135569284342"/>
  </r>
  <r>
    <s v="2009-01"/>
    <n v="6149.1930000000002"/>
    <n v="649.11699999999996"/>
    <s v="0"/>
    <n v="136557.878"/>
    <n v="45519.292666666668"/>
    <x v="13"/>
    <n v="1"/>
    <n v="6798.31"/>
    <n v="52317.602666666666"/>
    <n v="0.87005692819462022"/>
    <n v="0.12994307180537987"/>
  </r>
  <r>
    <s v="2008-12"/>
    <n v="5663.6390000000001"/>
    <n v="660.11900000000003"/>
    <s v="0"/>
    <n v="131144.783"/>
    <n v="43714.927666666663"/>
    <x v="14"/>
    <n v="12"/>
    <n v="6323.7579999999998"/>
    <n v="50038.685666666664"/>
    <n v="0.87362261986404288"/>
    <n v="0.12637738013595709"/>
  </r>
  <r>
    <s v="2008-11"/>
    <n v="5125.82"/>
    <n v="637.11500000000001"/>
    <s v="0"/>
    <n v="114784.26700000001"/>
    <n v="38261.422333333336"/>
    <x v="14"/>
    <n v="11"/>
    <n v="5762.9349999999995"/>
    <n v="44024.357333333333"/>
    <n v="0.86909666945582975"/>
    <n v="0.13090333054417028"/>
  </r>
  <r>
    <s v="2008-10"/>
    <n v="3806.3789999999999"/>
    <n v="475.08600000000001"/>
    <s v="0"/>
    <n v="108061.84699999999"/>
    <n v="36020.615666666665"/>
    <x v="14"/>
    <n v="10"/>
    <n v="4281.4650000000001"/>
    <n v="40302.080666666661"/>
    <n v="0.89376565851744871"/>
    <n v="0.10623434148255143"/>
  </r>
  <r>
    <s v="2008-09"/>
    <n v="4879.2929999999997"/>
    <n v="464.084"/>
    <s v="0"/>
    <n v="99626.997000000003"/>
    <n v="33208.999000000003"/>
    <x v="14"/>
    <n v="9"/>
    <n v="5343.3769999999995"/>
    <n v="38552.376000000004"/>
    <n v="0.86139954123709517"/>
    <n v="0.13860045876290475"/>
  </r>
  <r>
    <s v="2008-08"/>
    <n v="4329.0839999999998"/>
    <n v="407.07299999999998"/>
    <s v="0"/>
    <n v="102460.84"/>
    <n v="34153.613333333335"/>
    <x v="14"/>
    <n v="8"/>
    <n v="4736.1570000000002"/>
    <n v="38889.770333333334"/>
    <n v="0.87821586603867063"/>
    <n v="0.12178413396132939"/>
  </r>
  <r>
    <s v="2008-07"/>
    <n v="6108.0659999999998"/>
    <n v="347.06200000000001"/>
    <s v="0"/>
    <n v="101837.054"/>
    <n v="33945.684666666668"/>
    <x v="14"/>
    <n v="7"/>
    <n v="6455.1279999999997"/>
    <n v="40400.812666666665"/>
    <n v="0.84022281796014708"/>
    <n v="0.15977718203985303"/>
  </r>
  <r>
    <s v="2008-06"/>
    <n v="8493.0329999999994"/>
    <n v="283.05099999999999"/>
    <s v="0"/>
    <n v="91410.369000000006"/>
    <n v="30470.123000000003"/>
    <x v="14"/>
    <n v="6"/>
    <n v="8776.0839999999989"/>
    <n v="39246.207000000002"/>
    <n v="0.77638389360785875"/>
    <n v="0.22361610639214125"/>
  </r>
  <r>
    <s v="2008-05"/>
    <n v="7354.5550000000003"/>
    <n v="282.05099999999999"/>
    <s v="0"/>
    <n v="102006.213"/>
    <n v="34002.071000000004"/>
    <x v="14"/>
    <n v="5"/>
    <n v="7636.6060000000007"/>
    <n v="41638.677000000003"/>
    <n v="0.81659825551133625"/>
    <n v="0.18340174448866375"/>
  </r>
  <r>
    <s v="2008-04"/>
    <n v="7152.1859999999997"/>
    <n v="416.07499999999999"/>
    <s v="0"/>
    <n v="109092.33500000001"/>
    <n v="36364.111666666671"/>
    <x v="14"/>
    <n v="4"/>
    <n v="7568.2609999999995"/>
    <n v="43932.37266666667"/>
    <n v="0.82772929071180457"/>
    <n v="0.17227070928819549"/>
  </r>
  <r>
    <s v="2008-03"/>
    <n v="5672.8850000000002"/>
    <n v="697.125"/>
    <s v="0"/>
    <n v="118281.86500000001"/>
    <n v="39427.288333333338"/>
    <x v="14"/>
    <n v="3"/>
    <n v="6370.01"/>
    <n v="45797.29833333334"/>
    <n v="0.86090860745461006"/>
    <n v="0.13909139254538994"/>
  </r>
  <r>
    <s v="2008-02"/>
    <n v="4503.8220000000001"/>
    <n v="428.077"/>
    <s v="0"/>
    <n v="123370.659"/>
    <n v="41123.553"/>
    <x v="14"/>
    <n v="2"/>
    <n v="4931.8990000000003"/>
    <n v="46055.451999999997"/>
    <n v="0.89291389432026425"/>
    <n v="0.10708610567973582"/>
  </r>
  <r>
    <s v="2008-01"/>
    <n v="6132.5609999999997"/>
    <n v="614.11099999999999"/>
    <s v="0"/>
    <n v="129923.352"/>
    <n v="43307.784"/>
    <x v="14"/>
    <n v="1"/>
    <n v="6746.6719999999996"/>
    <n v="50054.455999999998"/>
    <n v="0.86521335882663475"/>
    <n v="0.13478664117336525"/>
  </r>
  <r>
    <s v="2007-12"/>
    <n v="4679.2860000000001"/>
    <n v="584.10500000000002"/>
    <s v="0"/>
    <n v="126925.84299999999"/>
    <n v="42308.614333333331"/>
    <x v="15"/>
    <n v="12"/>
    <n v="5263.3909999999996"/>
    <n v="47572.005333333334"/>
    <n v="0.88935948856644087"/>
    <n v="0.11064051143355906"/>
  </r>
  <r>
    <s v="2007-11"/>
    <n v="3377.328"/>
    <n v="434.07799999999997"/>
    <s v="0"/>
    <n v="114099.296"/>
    <n v="38033.098666666665"/>
    <x v="15"/>
    <n v="11"/>
    <n v="3811.4059999999999"/>
    <n v="41844.504666666668"/>
    <n v="0.90891501690934895"/>
    <n v="9.1084983090650995E-2"/>
  </r>
  <r>
    <s v="2007-10"/>
    <n v="3951.9259999999999"/>
    <n v="283.05099999999999"/>
    <s v="0"/>
    <n v="117287.747"/>
    <n v="39095.915666666668"/>
    <x v="15"/>
    <n v="10"/>
    <n v="4234.9769999999999"/>
    <n v="43330.892666666667"/>
    <n v="0.90226425676067701"/>
    <n v="9.7735743239323061E-2"/>
  </r>
  <r>
    <s v="2007-09"/>
    <n v="4020.884"/>
    <n v="277.05"/>
    <s v="0"/>
    <n v="106219.091"/>
    <n v="35406.363666666664"/>
    <x v="15"/>
    <n v="9"/>
    <n v="4297.9340000000002"/>
    <n v="39704.297666666665"/>
    <n v="0.89175141602848984"/>
    <n v="0.10824858397151013"/>
  </r>
  <r>
    <s v="2007-08"/>
    <n v="5118.4859999999999"/>
    <n v="285.05099999999999"/>
    <s v="0"/>
    <n v="104203.57799999999"/>
    <n v="34734.525999999998"/>
    <x v="15"/>
    <n v="8"/>
    <n v="5403.5370000000003"/>
    <n v="40138.062999999995"/>
    <n v="0.86537623900784655"/>
    <n v="0.13462376099215353"/>
  </r>
  <r>
    <s v="2007-07"/>
    <n v="6222.0050000000001"/>
    <n v="338.06099999999998"/>
    <s v="0"/>
    <n v="101666.758"/>
    <n v="33888.919333333331"/>
    <x v="15"/>
    <n v="7"/>
    <n v="6560.0659999999998"/>
    <n v="40448.98533333333"/>
    <n v="0.83781877478657152"/>
    <n v="0.16218122521342851"/>
  </r>
  <r>
    <s v="2007-06"/>
    <n v="7360.8010000000004"/>
    <n v="241.04300000000001"/>
    <s v="0"/>
    <n v="98523.769"/>
    <n v="32841.256333333331"/>
    <x v="15"/>
    <n v="6"/>
    <n v="7601.8440000000001"/>
    <n v="40443.100333333328"/>
    <n v="0.8120360719790185"/>
    <n v="0.18796392802098152"/>
  </r>
  <r>
    <s v="2007-05"/>
    <n v="6202.8680000000004"/>
    <n v="361.065"/>
    <s v="0"/>
    <n v="101563.709"/>
    <n v="33854.56966666667"/>
    <x v="15"/>
    <n v="5"/>
    <n v="6563.933"/>
    <n v="40418.502666666667"/>
    <n v="0.83760078758649059"/>
    <n v="0.16239921241350949"/>
  </r>
  <r>
    <s v="2007-04"/>
    <n v="5461.009"/>
    <n v="186.03299999999999"/>
    <s v="0"/>
    <n v="101333.36500000001"/>
    <n v="33777.788333333338"/>
    <x v="15"/>
    <n v="4"/>
    <n v="5647.0420000000004"/>
    <n v="39424.830333333339"/>
    <n v="0.85676432968119898"/>
    <n v="0.14323567031880102"/>
  </r>
  <r>
    <s v="2007-03"/>
    <n v="6929.66"/>
    <n v="363.065"/>
    <s v="0"/>
    <n v="116790.68799999999"/>
    <n v="38930.229333333329"/>
    <x v="15"/>
    <n v="3"/>
    <n v="7292.7249999999995"/>
    <n v="46222.954333333328"/>
    <n v="0.84222719847353189"/>
    <n v="0.15777280152646814"/>
  </r>
  <r>
    <s v="2007-02"/>
    <n v="5648.3010000000004"/>
    <n v="361.065"/>
    <s v="0"/>
    <n v="114708.496"/>
    <n v="38236.165333333331"/>
    <x v="15"/>
    <n v="2"/>
    <n v="6009.366"/>
    <n v="44245.531333333332"/>
    <n v="0.86418140275619848"/>
    <n v="0.13581859724380152"/>
  </r>
  <r>
    <s v="2007-01"/>
    <n v="5470.1859999999997"/>
    <n v="427.077"/>
    <s v="0"/>
    <n v="129735.439"/>
    <n v="43245.14633333333"/>
    <x v="15"/>
    <n v="1"/>
    <n v="5897.2629999999999"/>
    <n v="49142.409333333329"/>
    <n v="0.87999646171194379"/>
    <n v="0.12000353828805627"/>
  </r>
  <r>
    <s v="2006-12"/>
    <n v="5251.799"/>
    <n v="324.05799999999999"/>
    <s v="0"/>
    <n v="128223.046"/>
    <n v="42741.015333333336"/>
    <x v="16"/>
    <n v="12"/>
    <n v="5575.857"/>
    <n v="48316.872333333333"/>
    <n v="0.88459813868884751"/>
    <n v="0.11540186131115261"/>
  </r>
  <r>
    <s v="2006-11"/>
    <n v="4243.0550000000003"/>
    <n v="299.05399999999997"/>
    <s v="0"/>
    <n v="118378.853"/>
    <n v="39459.617666666665"/>
    <x v="16"/>
    <n v="11"/>
    <n v="4542.1090000000004"/>
    <n v="44001.726666666669"/>
    <n v="0.89677430082667964"/>
    <n v="0.10322569917332032"/>
  </r>
  <r>
    <s v="2006-10"/>
    <n v="5097.1090000000004"/>
    <n v="237.04300000000001"/>
    <s v="0"/>
    <n v="113681.039"/>
    <n v="37893.679666666671"/>
    <x v="16"/>
    <n v="10"/>
    <n v="5334.152"/>
    <n v="43227.831666666672"/>
    <n v="0.87660375747892971"/>
    <n v="0.12339624252107023"/>
  </r>
  <r>
    <s v="2006-09"/>
    <n v="4391.0140000000001"/>
    <n v="152.02699999999999"/>
    <s v="0"/>
    <n v="107807.25599999999"/>
    <n v="35935.752"/>
    <x v="16"/>
    <n v="9"/>
    <n v="4543.0410000000002"/>
    <n v="40478.792999999998"/>
    <n v="0.88776737982281251"/>
    <n v="0.1122326201771876"/>
  </r>
  <r>
    <s v="2006-08"/>
    <n v="4042.5709999999999"/>
    <n v="191.03399999999999"/>
    <s v="0"/>
    <n v="104570.31"/>
    <n v="34856.769999999997"/>
    <x v="16"/>
    <n v="8"/>
    <n v="4233.6049999999996"/>
    <n v="39090.375"/>
    <n v="0.89169699702292438"/>
    <n v="0.10830300297707554"/>
  </r>
  <r>
    <s v="2006-07"/>
    <n v="4465.018"/>
    <n v="94.016999999999996"/>
    <s v="0"/>
    <n v="105161.325"/>
    <n v="35053.775000000001"/>
    <x v="16"/>
    <n v="7"/>
    <n v="4559.0349999999999"/>
    <n v="39612.81"/>
    <n v="0.88491008337959376"/>
    <n v="0.11508991662040638"/>
  </r>
  <r>
    <s v="2006-06"/>
    <n v="5200.8220000000001"/>
    <n v="99.018000000000001"/>
    <s v="0"/>
    <n v="104758.223"/>
    <n v="34919.407666666666"/>
    <x v="16"/>
    <n v="6"/>
    <n v="5299.84"/>
    <n v="40219.247666666663"/>
    <n v="0.86822627703221678"/>
    <n v="0.13177372296778336"/>
  </r>
  <r>
    <s v="2006-05"/>
    <n v="6901.652"/>
    <n v="166.03"/>
    <s v="0"/>
    <n v="108225.51300000001"/>
    <n v="36075.171000000002"/>
    <x v="16"/>
    <n v="5"/>
    <n v="7067.6819999999998"/>
    <n v="43142.853000000003"/>
    <n v="0.83617954056028698"/>
    <n v="0.16382045943971299"/>
  </r>
  <r>
    <s v="2006-04"/>
    <n v="7165.018"/>
    <n v="145.02600000000001"/>
    <s v="0"/>
    <n v="114187.19"/>
    <n v="38062.396666666667"/>
    <x v="16"/>
    <n v="4"/>
    <n v="7310.0439999999999"/>
    <n v="45372.440666666669"/>
    <n v="0.83888801456143836"/>
    <n v="0.16111198543856159"/>
  </r>
  <r>
    <s v="2006-03"/>
    <n v="6711.8509999999997"/>
    <n v="196.035"/>
    <s v="0"/>
    <n v="112414.144"/>
    <n v="37471.381333333331"/>
    <x v="16"/>
    <n v="3"/>
    <n v="6907.8859999999995"/>
    <n v="44379.26733333333"/>
    <n v="0.84434429824821655"/>
    <n v="0.15565570175178348"/>
  </r>
  <r>
    <s v="2006-02"/>
    <n v="4666.9440000000004"/>
    <n v="137.02500000000001"/>
    <s v="0"/>
    <n v="111416.995"/>
    <n v="37138.998333333329"/>
    <x v="16"/>
    <n v="2"/>
    <n v="4803.9690000000001"/>
    <n v="41942.967333333327"/>
    <n v="0.88546425526307149"/>
    <n v="0.11453574473692858"/>
  </r>
  <r>
    <s v="2006-01"/>
    <n v="4303.7290000000003"/>
    <n v="129.023"/>
    <s v="0"/>
    <n v="135581.94500000001"/>
    <n v="45193.981666666667"/>
    <x v="16"/>
    <n v="1"/>
    <n v="4432.7520000000004"/>
    <n v="49626.733666666667"/>
    <n v="0.91067814316021778"/>
    <n v="8.932185683978222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ADF71-E720-4C23-9188-8D4D7AF0D5EC}" name="Tableau croisé dynamique5" cacheId="0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8" indent="0" outline="1" outlineData="1" multipleFieldFilters="0">
  <location ref="A51:N65" firstHeaderRow="1" firstDataRow="2" firstDataCol="1"/>
  <pivotFields count="11">
    <pivotField showAll="0"/>
    <pivotField showAll="0"/>
    <pivotField showAll="0"/>
    <pivotField dataField="1" showAll="0">
      <items count="147">
        <item x="143"/>
        <item x="142"/>
        <item x="132"/>
        <item x="133"/>
        <item x="131"/>
        <item x="141"/>
        <item x="120"/>
        <item x="119"/>
        <item x="121"/>
        <item x="108"/>
        <item x="107"/>
        <item x="140"/>
        <item x="109"/>
        <item x="130"/>
        <item x="96"/>
        <item x="134"/>
        <item x="139"/>
        <item x="84"/>
        <item x="118"/>
        <item x="138"/>
        <item x="97"/>
        <item x="95"/>
        <item x="135"/>
        <item x="106"/>
        <item x="83"/>
        <item x="72"/>
        <item x="136"/>
        <item x="137"/>
        <item x="122"/>
        <item x="60"/>
        <item x="129"/>
        <item x="110"/>
        <item x="73"/>
        <item x="71"/>
        <item x="85"/>
        <item x="128"/>
        <item x="59"/>
        <item x="94"/>
        <item x="117"/>
        <item x="48"/>
        <item x="123"/>
        <item x="24"/>
        <item x="82"/>
        <item x="61"/>
        <item x="70"/>
        <item x="116"/>
        <item x="127"/>
        <item x="111"/>
        <item x="98"/>
        <item x="126"/>
        <item x="105"/>
        <item x="124"/>
        <item x="86"/>
        <item x="23"/>
        <item x="115"/>
        <item x="36"/>
        <item x="49"/>
        <item x="125"/>
        <item x="47"/>
        <item x="93"/>
        <item x="35"/>
        <item x="58"/>
        <item x="114"/>
        <item x="112"/>
        <item x="104"/>
        <item x="74"/>
        <item x="37"/>
        <item x="99"/>
        <item x="113"/>
        <item x="12"/>
        <item x="0"/>
        <item x="81"/>
        <item x="103"/>
        <item x="87"/>
        <item x="62"/>
        <item x="100"/>
        <item x="22"/>
        <item x="69"/>
        <item x="101"/>
        <item x="102"/>
        <item x="25"/>
        <item x="92"/>
        <item x="13"/>
        <item x="75"/>
        <item x="80"/>
        <item x="57"/>
        <item x="46"/>
        <item x="34"/>
        <item x="11"/>
        <item x="91"/>
        <item x="88"/>
        <item x="63"/>
        <item x="26"/>
        <item x="50"/>
        <item x="38"/>
        <item x="1"/>
        <item x="90"/>
        <item x="89"/>
        <item x="79"/>
        <item x="78"/>
        <item x="68"/>
        <item x="76"/>
        <item x="64"/>
        <item x="77"/>
        <item x="56"/>
        <item x="67"/>
        <item x="10"/>
        <item x="66"/>
        <item x="65"/>
        <item x="45"/>
        <item x="44"/>
        <item x="33"/>
        <item x="55"/>
        <item x="51"/>
        <item x="39"/>
        <item x="14"/>
        <item x="27"/>
        <item x="54"/>
        <item x="43"/>
        <item x="21"/>
        <item x="2"/>
        <item x="52"/>
        <item x="32"/>
        <item x="9"/>
        <item x="42"/>
        <item x="40"/>
        <item x="53"/>
        <item x="15"/>
        <item x="41"/>
        <item x="30"/>
        <item x="28"/>
        <item x="20"/>
        <item x="19"/>
        <item x="31"/>
        <item x="18"/>
        <item x="17"/>
        <item x="29"/>
        <item x="16"/>
        <item x="8"/>
        <item x="3"/>
        <item x="6"/>
        <item x="7"/>
        <item x="4"/>
        <item x="5"/>
        <item x="144"/>
        <item x="145"/>
        <item t="default"/>
      </items>
    </pivotField>
    <pivotField showAll="0"/>
    <pivotField axis="axisCol" showAll="0">
      <items count="19">
        <item h="1" x="16"/>
        <item h="1" x="15"/>
        <item h="1" x="14"/>
        <item h="1" x="13"/>
        <item h="1"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"/>
        <item t="default"/>
      </items>
    </pivotField>
    <pivotField axis="axisRow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3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Moyenne de Solaire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1F9E1-692F-4F77-8B84-0BA2C794FFC5}" name="Tableau croisé dynamique4" cacheId="0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8" indent="0" outline="1" outlineData="1" multipleFieldFilters="0">
  <location ref="A35:S49" firstHeaderRow="1" firstDataRow="2" firstDataCol="1"/>
  <pivotFields count="11">
    <pivotField showAll="0"/>
    <pivotField showAll="0"/>
    <pivotField showAll="0"/>
    <pivotField showAll="0"/>
    <pivotField dataField="1" showAll="0"/>
    <pivotField axis="axisCol" showAll="0">
      <items count="19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"/>
        <item t="default"/>
      </items>
    </pivotField>
    <pivotField axis="axisRow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Moyenne de Nucléaire" fld="4" subtotal="average" baseField="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91D01-9252-4AA0-AC6D-EF85B8D855D2}" name="Tableau croisé dynamique3" cacheId="0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8" indent="0" outline="1" outlineData="1" multipleFieldFilters="0">
  <location ref="A19:S33" firstHeaderRow="1" firstDataRow="2" firstDataCol="1"/>
  <pivotFields count="11">
    <pivotField showAll="0"/>
    <pivotField showAll="0"/>
    <pivotField dataField="1" showAll="0"/>
    <pivotField showAll="0"/>
    <pivotField showAll="0"/>
    <pivotField axis="axisCol" showAll="0">
      <items count="19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"/>
        <item t="default"/>
      </items>
    </pivotField>
    <pivotField axis="axisRow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Moyenne de Éolien" fld="2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7403-AB26-491F-A68E-3F2019ABA08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S17" firstHeaderRow="1" firstDataRow="2" firstDataCol="1"/>
  <pivotFields count="11">
    <pivotField showAll="0"/>
    <pivotField dataField="1" showAll="0"/>
    <pivotField showAll="0"/>
    <pivotField showAll="0"/>
    <pivotField showAll="0"/>
    <pivotField axis="axisCol" showAll="0">
      <items count="19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"/>
        <item t="default"/>
      </items>
    </pivotField>
    <pivotField axis="axisRow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Moyenne de Hydraulique" fld="1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3DDCB-03F8-4AE1-8BD2-AB975F45C1B2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5">
  <location ref="A20:E38" firstHeaderRow="0" firstDataRow="1" firstDataCol="1"/>
  <pivotFields count="12">
    <pivotField showAll="0"/>
    <pivotField dataField="1" showAll="0"/>
    <pivotField dataField="1" showAll="0"/>
    <pivotField dataField="1" showAll="0"/>
    <pivotField showAll="0"/>
    <pivotField dataField="1" showAll="0"/>
    <pivotField axis="axisRow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Hydraulique" fld="1" baseField="0" baseItem="0"/>
    <dataField name="Somme de Éolien" fld="2" baseField="0" baseItem="0"/>
    <dataField name="Somme de Solaire" fld="3" baseField="5" baseItem="0"/>
    <dataField name="Somme de Nucléaire_Elec" fld="5" baseField="0" baseItem="0"/>
  </dataFields>
  <chartFormats count="7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FC27C5E-57B1-4355-9BEB-B78DB67A5CF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52D0F-B794-4A19-9091-8BA6E890ABF2}" name="_4_2_Synthese_Electricite_2026_04" displayName="_4_2_Synthese_Electricite_2026_04" ref="A1:N557" tableType="queryTable" totalsRowShown="0">
  <autoFilter ref="A1:N557" xr:uid="{CF552D0F-B794-4A19-9091-8BA6E890ABF2}"/>
  <tableColumns count="14">
    <tableColumn id="1" xr3:uid="{E0175440-F0DA-4156-8A84-75422F7F2C6D}" uniqueName="1" name="Column1" queryTableFieldId="1" dataDxfId="23"/>
    <tableColumn id="2" xr3:uid="{D2B845D2-ED64-4544-89AA-9791647AE48F}" uniqueName="2" name="Column2" queryTableFieldId="2" dataDxfId="22"/>
    <tableColumn id="3" xr3:uid="{CDFB5471-76CA-4EDB-A7B7-CD62D83456FF}" uniqueName="3" name="Column3" queryTableFieldId="3" dataDxfId="21"/>
    <tableColumn id="4" xr3:uid="{1F1252A9-C074-482D-BC47-9AC103FA9C4B}" uniqueName="4" name="Column4" queryTableFieldId="4" dataDxfId="20"/>
    <tableColumn id="5" xr3:uid="{478CB4DD-0C07-40CB-A35B-EFB76F0A408F}" uniqueName="5" name="Column5" queryTableFieldId="5" dataDxfId="19"/>
    <tableColumn id="6" xr3:uid="{4EDAF952-53DB-4FAC-97F6-D59166D5B05A}" uniqueName="6" name="Column6" queryTableFieldId="6" dataDxfId="18"/>
    <tableColumn id="7" xr3:uid="{634F2B12-FEAB-40FC-B682-A470FDB2896C}" uniqueName="7" name="Column7" queryTableFieldId="7" dataDxfId="17"/>
    <tableColumn id="8" xr3:uid="{BC6B255E-F579-4DA7-8B39-2979ABC5DDA2}" uniqueName="8" name="Column8" queryTableFieldId="8" dataDxfId="16"/>
    <tableColumn id="9" xr3:uid="{D30013D9-FF90-4358-B1A1-650A65F50D3B}" uniqueName="9" name="Column9" queryTableFieldId="9" dataDxfId="15"/>
    <tableColumn id="10" xr3:uid="{58546718-E57A-4284-A09A-31369B9C742E}" uniqueName="10" name="Column10" queryTableFieldId="10" dataDxfId="14"/>
    <tableColumn id="11" xr3:uid="{54CC0926-2F62-4B9A-95E6-AEE972B17997}" uniqueName="11" name="Column11" queryTableFieldId="11" dataDxfId="13"/>
    <tableColumn id="12" xr3:uid="{1D7DED8C-6915-452E-83E1-9F28D9656B49}" uniqueName="12" name="Column12" queryTableFieldId="12" dataDxfId="12"/>
    <tableColumn id="13" xr3:uid="{6D54A9BF-2994-4D2D-8223-9F0E6E6C693F}" uniqueName="13" name="Column13" queryTableFieldId="13" dataDxfId="11"/>
    <tableColumn id="14" xr3:uid="{BD0EC154-862F-427D-8ABA-DD662C85BD4A}" uniqueName="14" name="Column14" queryTableFieldId="1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0DC387-04E0-48FE-979A-2D456F991400}" name="Tableau3" displayName="Tableau3" ref="A1:L205" totalsRowShown="0">
  <autoFilter ref="A1:L205" xr:uid="{C30DC387-04E0-48FE-979A-2D456F991400}"/>
  <tableColumns count="12">
    <tableColumn id="1" xr3:uid="{D9917030-E1B1-4F2A-ACA7-8A67EE032455}" name="Période" dataDxfId="9"/>
    <tableColumn id="2" xr3:uid="{ECD58F07-8B03-4E2E-AE82-2A6B033D70DE}" name="Hydraulique"/>
    <tableColumn id="3" xr3:uid="{9B96C4AE-0736-43C0-95D0-E97F0D3AADF6}" name="Éolien"/>
    <tableColumn id="4" xr3:uid="{B7EE8B01-52A6-43E9-8B40-AF0B9DDE0E71}" name="Solaire"/>
    <tableColumn id="5" xr3:uid="{625F7514-4A64-4C7D-A616-908C34559818}" name="Nucléaire"/>
    <tableColumn id="14" xr3:uid="{D165227B-18FA-4C82-B6C0-955D4FEDC08B}" name="Nucléaire_Elec" dataDxfId="8">
      <calculatedColumnFormula>E2/3</calculatedColumnFormula>
    </tableColumn>
    <tableColumn id="6" xr3:uid="{AA530B10-DD7B-4449-8A96-226BA4B041EC}" name="Année"/>
    <tableColumn id="7" xr3:uid="{64A75E9D-745A-47D5-90F9-27E06B0B9A61}" name="Mois"/>
    <tableColumn id="8" xr3:uid="{2E1C76DC-3FAE-446A-9E97-4A1231E5A12B}" name="Total_EnR"/>
    <tableColumn id="9" xr3:uid="{EC481D8D-5E83-4A11-9103-7680350C8DCE}" name="Total_Production">
      <calculatedColumnFormula>SUM($B2,$C2,$D2,$F2)</calculatedColumnFormula>
    </tableColumn>
    <tableColumn id="10" xr3:uid="{1A1E6B55-9991-42E1-A869-9AD4E77A2086}" name="Part_Nucléaire en %" dataDxfId="7">
      <calculatedColumnFormula xml:space="preserve"> F2 / J2</calculatedColumnFormula>
    </tableColumn>
    <tableColumn id="11" xr3:uid="{02AA76DC-CBAC-4DCF-AEA7-41640BA1021E}" name="Part_EnR en %">
      <calculatedColumnFormula xml:space="preserve"> I2 / J2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5AA62-8D3B-472D-84EA-C7FF8DCF8E6E}" name="Tableau2" displayName="Tableau2" ref="A1:E12" totalsRowShown="0" headerRowDxfId="6" dataDxfId="5">
  <autoFilter ref="A1:E12" xr:uid="{7815AA62-8D3B-472D-84EA-C7FF8DCF8E6E}"/>
  <tableColumns count="5">
    <tableColumn id="1" xr3:uid="{791C99F2-CB43-4440-A746-DBF37A87A94C}" name="Stats" dataDxfId="4"/>
    <tableColumn id="2" xr3:uid="{316639D2-61AD-480A-9DE6-53DF960D947B}" name="Hydraulique" dataDxfId="3"/>
    <tableColumn id="3" xr3:uid="{5770177F-85B2-4746-97A1-971469835798}" name="Éolien" dataDxfId="2"/>
    <tableColumn id="4" xr3:uid="{543DE501-D767-48BE-B61A-A35EAFA62CC0}" name="Solaire" dataDxfId="1"/>
    <tableColumn id="5" xr3:uid="{BEFF49A1-7B3D-414A-BDDC-EA5DF092F347}" name="Nucléair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BF6E39-2967-4C9B-AD07-7BFCBA42B014}" name="Tableau4" displayName="Tableau4" ref="A40:B44" totalsRowShown="0">
  <autoFilter ref="A40:B44" xr:uid="{00BF6E39-2967-4C9B-AD07-7BFCBA42B014}"/>
  <tableColumns count="2">
    <tableColumn id="1" xr3:uid="{9A7F47E7-16B4-4CB6-BB8B-5423EBD7303F}" name="Source"/>
    <tableColumn id="2" xr3:uid="{67DF6F7E-6D9D-405E-A966-FC5666E8567D}" name="Moyenne (G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67A-2595-4A26-AC8E-859F128D764F}">
  <dimension ref="A1:N557"/>
  <sheetViews>
    <sheetView topLeftCell="D1" workbookViewId="0">
      <selection activeCell="F2" sqref="F2"/>
    </sheetView>
  </sheetViews>
  <sheetFormatPr baseColWidth="10" defaultRowHeight="14.4"/>
  <cols>
    <col min="1" max="1" width="11.109375" bestFit="1" customWidth="1"/>
    <col min="2" max="7" width="43.33203125" bestFit="1" customWidth="1"/>
    <col min="8" max="8" width="34.109375" bestFit="1" customWidth="1"/>
    <col min="9" max="9" width="33.77734375" bestFit="1" customWidth="1"/>
    <col min="10" max="14" width="43.33203125" bestFit="1" customWidth="1"/>
  </cols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 t="s">
        <v>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</row>
    <row r="3" spans="1:14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</row>
    <row r="4" spans="1:1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</row>
    <row r="5" spans="1:14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</row>
    <row r="6" spans="1:14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</row>
    <row r="7" spans="1:14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</row>
    <row r="8" spans="1:14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</row>
    <row r="9" spans="1:14">
      <c r="A9" t="s">
        <v>118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</row>
    <row r="10" spans="1:14">
      <c r="A10" t="s">
        <v>132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130</v>
      </c>
      <c r="N10" t="s">
        <v>131</v>
      </c>
    </row>
    <row r="11" spans="1:14">
      <c r="A11" t="s">
        <v>144</v>
      </c>
      <c r="B11" t="s">
        <v>145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  <c r="M11" t="s">
        <v>130</v>
      </c>
      <c r="N11" t="s">
        <v>131</v>
      </c>
    </row>
    <row r="12" spans="1:14">
      <c r="A12" t="s">
        <v>156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166</v>
      </c>
      <c r="L12" t="s">
        <v>167</v>
      </c>
      <c r="M12" t="s">
        <v>130</v>
      </c>
      <c r="N12" t="s">
        <v>131</v>
      </c>
    </row>
    <row r="13" spans="1:14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</row>
    <row r="14" spans="1:14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</row>
    <row r="15" spans="1:14">
      <c r="A15" t="s">
        <v>196</v>
      </c>
      <c r="B15" t="s">
        <v>197</v>
      </c>
      <c r="C15" t="s">
        <v>198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</row>
    <row r="16" spans="1:14">
      <c r="A16" t="s">
        <v>210</v>
      </c>
      <c r="B16" t="s">
        <v>211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 t="s">
        <v>223</v>
      </c>
    </row>
    <row r="17" spans="1:14">
      <c r="A17" t="s">
        <v>224</v>
      </c>
      <c r="B17" t="s">
        <v>225</v>
      </c>
      <c r="C17" t="s">
        <v>226</v>
      </c>
      <c r="D17" t="s">
        <v>227</v>
      </c>
      <c r="E17" t="s">
        <v>228</v>
      </c>
      <c r="F17" t="s">
        <v>229</v>
      </c>
      <c r="G17" t="s">
        <v>230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236</v>
      </c>
      <c r="N17" t="s">
        <v>237</v>
      </c>
    </row>
    <row r="18" spans="1:14">
      <c r="A18" t="s">
        <v>238</v>
      </c>
      <c r="B18" t="s">
        <v>239</v>
      </c>
      <c r="C18" t="s">
        <v>240</v>
      </c>
      <c r="D18" t="s">
        <v>241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247</v>
      </c>
      <c r="K18" t="s">
        <v>248</v>
      </c>
      <c r="L18" t="s">
        <v>249</v>
      </c>
      <c r="M18" t="s">
        <v>250</v>
      </c>
      <c r="N18" t="s">
        <v>251</v>
      </c>
    </row>
    <row r="19" spans="1:14">
      <c r="A19" t="s">
        <v>252</v>
      </c>
      <c r="B19" t="s">
        <v>253</v>
      </c>
      <c r="C19" t="s">
        <v>254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J19" t="s">
        <v>261</v>
      </c>
      <c r="K19" t="s">
        <v>262</v>
      </c>
      <c r="L19" t="s">
        <v>263</v>
      </c>
      <c r="M19" t="s">
        <v>264</v>
      </c>
      <c r="N19" t="s">
        <v>265</v>
      </c>
    </row>
    <row r="20" spans="1:14">
      <c r="A20" t="s">
        <v>266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  <c r="G20" t="s">
        <v>272</v>
      </c>
      <c r="H20" t="s">
        <v>273</v>
      </c>
      <c r="I20" t="s">
        <v>274</v>
      </c>
      <c r="J20" t="s">
        <v>275</v>
      </c>
      <c r="K20" t="s">
        <v>276</v>
      </c>
      <c r="L20" t="s">
        <v>277</v>
      </c>
      <c r="M20" t="s">
        <v>278</v>
      </c>
      <c r="N20" t="s">
        <v>279</v>
      </c>
    </row>
    <row r="21" spans="1:14">
      <c r="A21" t="s">
        <v>280</v>
      </c>
      <c r="B21" t="s">
        <v>281</v>
      </c>
      <c r="C21" t="s">
        <v>282</v>
      </c>
      <c r="D21" t="s">
        <v>283</v>
      </c>
      <c r="E21" t="s">
        <v>284</v>
      </c>
      <c r="F21" t="s">
        <v>285</v>
      </c>
      <c r="G21" t="s">
        <v>286</v>
      </c>
      <c r="H21" t="s">
        <v>287</v>
      </c>
      <c r="I21" t="s">
        <v>288</v>
      </c>
      <c r="J21" t="s">
        <v>289</v>
      </c>
      <c r="K21" t="s">
        <v>290</v>
      </c>
      <c r="L21" t="s">
        <v>291</v>
      </c>
      <c r="M21" t="s">
        <v>130</v>
      </c>
      <c r="N21" t="s">
        <v>131</v>
      </c>
    </row>
    <row r="22" spans="1:14">
      <c r="A22" t="s">
        <v>292</v>
      </c>
      <c r="B22" t="s">
        <v>293</v>
      </c>
      <c r="C22" t="s">
        <v>294</v>
      </c>
      <c r="D22" t="s">
        <v>295</v>
      </c>
      <c r="E22" t="s">
        <v>296</v>
      </c>
      <c r="F22" t="s">
        <v>297</v>
      </c>
      <c r="G22" t="s">
        <v>298</v>
      </c>
      <c r="H22" t="s">
        <v>299</v>
      </c>
      <c r="I22" t="s">
        <v>300</v>
      </c>
      <c r="J22" t="s">
        <v>301</v>
      </c>
      <c r="K22" t="s">
        <v>302</v>
      </c>
      <c r="L22" t="s">
        <v>303</v>
      </c>
      <c r="M22" t="s">
        <v>130</v>
      </c>
      <c r="N22" t="s">
        <v>131</v>
      </c>
    </row>
    <row r="23" spans="1:14">
      <c r="A23" t="s">
        <v>304</v>
      </c>
      <c r="B23" t="s">
        <v>305</v>
      </c>
      <c r="C23" t="s">
        <v>306</v>
      </c>
      <c r="D23" t="s">
        <v>307</v>
      </c>
      <c r="E23" t="s">
        <v>308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314</v>
      </c>
      <c r="L23" t="s">
        <v>315</v>
      </c>
      <c r="M23" t="s">
        <v>130</v>
      </c>
      <c r="N23" t="s">
        <v>131</v>
      </c>
    </row>
    <row r="24" spans="1:14">
      <c r="A24" t="s">
        <v>316</v>
      </c>
      <c r="B24" t="s">
        <v>317</v>
      </c>
      <c r="C24" t="s">
        <v>318</v>
      </c>
      <c r="D24" t="s">
        <v>319</v>
      </c>
      <c r="E24" t="s">
        <v>320</v>
      </c>
      <c r="F24" t="s">
        <v>321</v>
      </c>
      <c r="G24" t="s">
        <v>322</v>
      </c>
      <c r="H24" t="s">
        <v>323</v>
      </c>
      <c r="I24" t="s">
        <v>324</v>
      </c>
      <c r="J24" t="s">
        <v>325</v>
      </c>
      <c r="K24" t="s">
        <v>326</v>
      </c>
      <c r="L24" t="s">
        <v>327</v>
      </c>
      <c r="M24" t="s">
        <v>130</v>
      </c>
      <c r="N24" t="s">
        <v>131</v>
      </c>
    </row>
    <row r="25" spans="1:14">
      <c r="A25" t="s">
        <v>328</v>
      </c>
      <c r="B25" t="s">
        <v>329</v>
      </c>
      <c r="C25" t="s">
        <v>330</v>
      </c>
      <c r="D25" t="s">
        <v>331</v>
      </c>
      <c r="E25" t="s">
        <v>332</v>
      </c>
      <c r="F25" t="s">
        <v>333</v>
      </c>
      <c r="G25" t="s">
        <v>334</v>
      </c>
      <c r="H25" t="s">
        <v>335</v>
      </c>
      <c r="I25" t="s">
        <v>336</v>
      </c>
      <c r="J25" t="s">
        <v>337</v>
      </c>
      <c r="K25" t="s">
        <v>338</v>
      </c>
      <c r="L25" t="s">
        <v>339</v>
      </c>
      <c r="M25" t="s">
        <v>340</v>
      </c>
      <c r="N25" t="s">
        <v>341</v>
      </c>
    </row>
    <row r="26" spans="1:14">
      <c r="A26" t="s">
        <v>342</v>
      </c>
      <c r="B26" t="s">
        <v>343</v>
      </c>
      <c r="C26" t="s">
        <v>344</v>
      </c>
      <c r="D26" t="s">
        <v>345</v>
      </c>
      <c r="E26" t="s">
        <v>346</v>
      </c>
      <c r="F26" t="s">
        <v>347</v>
      </c>
      <c r="G26" t="s">
        <v>348</v>
      </c>
      <c r="H26" t="s">
        <v>349</v>
      </c>
      <c r="I26" t="s">
        <v>350</v>
      </c>
      <c r="J26" t="s">
        <v>351</v>
      </c>
      <c r="K26" t="s">
        <v>352</v>
      </c>
      <c r="L26" t="s">
        <v>353</v>
      </c>
      <c r="M26" t="s">
        <v>354</v>
      </c>
      <c r="N26" t="s">
        <v>355</v>
      </c>
    </row>
    <row r="27" spans="1:14">
      <c r="A27" t="s">
        <v>356</v>
      </c>
      <c r="B27" t="s">
        <v>357</v>
      </c>
      <c r="C27" t="s">
        <v>358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366</v>
      </c>
      <c r="L27" t="s">
        <v>367</v>
      </c>
      <c r="M27" t="s">
        <v>368</v>
      </c>
      <c r="N27" t="s">
        <v>369</v>
      </c>
    </row>
    <row r="28" spans="1:14">
      <c r="A28" t="s">
        <v>370</v>
      </c>
      <c r="B28" t="s">
        <v>371</v>
      </c>
      <c r="C28" t="s">
        <v>372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  <c r="I28" t="s">
        <v>378</v>
      </c>
      <c r="J28" t="s">
        <v>379</v>
      </c>
      <c r="K28" t="s">
        <v>380</v>
      </c>
      <c r="L28" t="s">
        <v>381</v>
      </c>
      <c r="M28" t="s">
        <v>382</v>
      </c>
      <c r="N28" t="s">
        <v>383</v>
      </c>
    </row>
    <row r="29" spans="1:14">
      <c r="A29" t="s">
        <v>384</v>
      </c>
      <c r="B29" t="s">
        <v>385</v>
      </c>
      <c r="C29" t="s">
        <v>386</v>
      </c>
      <c r="D29" t="s">
        <v>387</v>
      </c>
      <c r="E29" t="s">
        <v>388</v>
      </c>
      <c r="F29" t="s">
        <v>389</v>
      </c>
      <c r="G29" t="s">
        <v>390</v>
      </c>
      <c r="H29" t="s">
        <v>391</v>
      </c>
      <c r="I29" t="s">
        <v>392</v>
      </c>
      <c r="J29" t="s">
        <v>393</v>
      </c>
      <c r="K29" t="s">
        <v>394</v>
      </c>
      <c r="L29" t="s">
        <v>395</v>
      </c>
      <c r="M29" t="s">
        <v>396</v>
      </c>
      <c r="N29" t="s">
        <v>397</v>
      </c>
    </row>
    <row r="30" spans="1:14">
      <c r="A30" t="s">
        <v>398</v>
      </c>
      <c r="B30" t="s">
        <v>399</v>
      </c>
      <c r="C30" t="s">
        <v>400</v>
      </c>
      <c r="D30" t="s">
        <v>401</v>
      </c>
      <c r="E30" t="s">
        <v>402</v>
      </c>
      <c r="F30" t="s">
        <v>403</v>
      </c>
      <c r="G30" t="s">
        <v>404</v>
      </c>
      <c r="H30" t="s">
        <v>405</v>
      </c>
      <c r="I30" t="s">
        <v>406</v>
      </c>
      <c r="J30" t="s">
        <v>407</v>
      </c>
      <c r="K30" t="s">
        <v>408</v>
      </c>
      <c r="L30" t="s">
        <v>409</v>
      </c>
      <c r="M30" t="s">
        <v>410</v>
      </c>
      <c r="N30" t="s">
        <v>411</v>
      </c>
    </row>
    <row r="31" spans="1:14">
      <c r="A31" t="s">
        <v>412</v>
      </c>
      <c r="B31" t="s">
        <v>413</v>
      </c>
      <c r="C31" t="s">
        <v>414</v>
      </c>
      <c r="D31" t="s">
        <v>415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422</v>
      </c>
      <c r="L31" t="s">
        <v>423</v>
      </c>
      <c r="M31" t="s">
        <v>424</v>
      </c>
      <c r="N31" t="s">
        <v>89</v>
      </c>
    </row>
    <row r="32" spans="1:14">
      <c r="A32" t="s">
        <v>425</v>
      </c>
      <c r="B32" t="s">
        <v>426</v>
      </c>
      <c r="C32" t="s">
        <v>427</v>
      </c>
      <c r="D32" t="s">
        <v>428</v>
      </c>
      <c r="E32" t="s">
        <v>429</v>
      </c>
      <c r="F32" t="s">
        <v>430</v>
      </c>
      <c r="G32" t="s">
        <v>431</v>
      </c>
      <c r="H32" t="s">
        <v>432</v>
      </c>
      <c r="I32" t="s">
        <v>433</v>
      </c>
      <c r="J32" t="s">
        <v>434</v>
      </c>
      <c r="K32" t="s">
        <v>435</v>
      </c>
      <c r="L32" t="s">
        <v>436</v>
      </c>
      <c r="M32" t="s">
        <v>437</v>
      </c>
      <c r="N32" t="s">
        <v>438</v>
      </c>
    </row>
    <row r="33" spans="1:14">
      <c r="A33" t="s">
        <v>439</v>
      </c>
      <c r="B33" t="s">
        <v>440</v>
      </c>
      <c r="C33" t="s">
        <v>441</v>
      </c>
      <c r="D33" t="s">
        <v>442</v>
      </c>
      <c r="E33" t="s">
        <v>443</v>
      </c>
      <c r="F33" t="s">
        <v>444</v>
      </c>
      <c r="G33" t="s">
        <v>445</v>
      </c>
      <c r="H33" t="s">
        <v>446</v>
      </c>
      <c r="I33" t="s">
        <v>447</v>
      </c>
      <c r="J33" t="s">
        <v>448</v>
      </c>
      <c r="K33" t="s">
        <v>449</v>
      </c>
      <c r="L33" t="s">
        <v>450</v>
      </c>
      <c r="M33" t="s">
        <v>130</v>
      </c>
      <c r="N33" t="s">
        <v>131</v>
      </c>
    </row>
    <row r="34" spans="1:14">
      <c r="A34" t="s">
        <v>451</v>
      </c>
      <c r="B34" t="s">
        <v>452</v>
      </c>
      <c r="C34" t="s">
        <v>453</v>
      </c>
      <c r="D34" t="s">
        <v>454</v>
      </c>
      <c r="E34" t="s">
        <v>455</v>
      </c>
      <c r="F34" t="s">
        <v>456</v>
      </c>
      <c r="G34" t="s">
        <v>457</v>
      </c>
      <c r="H34" t="s">
        <v>458</v>
      </c>
      <c r="I34" t="s">
        <v>459</v>
      </c>
      <c r="J34" t="s">
        <v>460</v>
      </c>
      <c r="K34" t="s">
        <v>461</v>
      </c>
      <c r="L34" t="s">
        <v>462</v>
      </c>
      <c r="M34" t="s">
        <v>130</v>
      </c>
      <c r="N34" t="s">
        <v>131</v>
      </c>
    </row>
    <row r="35" spans="1:14">
      <c r="A35" t="s">
        <v>463</v>
      </c>
      <c r="B35" t="s">
        <v>464</v>
      </c>
      <c r="C35" t="s">
        <v>465</v>
      </c>
      <c r="D35" t="s">
        <v>466</v>
      </c>
      <c r="E35" t="s">
        <v>467</v>
      </c>
      <c r="F35" t="s">
        <v>468</v>
      </c>
      <c r="G35" t="s">
        <v>469</v>
      </c>
      <c r="H35" t="s">
        <v>470</v>
      </c>
      <c r="I35" t="s">
        <v>471</v>
      </c>
      <c r="J35" t="s">
        <v>472</v>
      </c>
      <c r="K35" t="s">
        <v>473</v>
      </c>
      <c r="L35" t="s">
        <v>474</v>
      </c>
      <c r="M35" t="s">
        <v>130</v>
      </c>
      <c r="N35" t="s">
        <v>131</v>
      </c>
    </row>
    <row r="36" spans="1:14">
      <c r="A36" t="s">
        <v>475</v>
      </c>
      <c r="B36" t="s">
        <v>476</v>
      </c>
      <c r="C36" t="s">
        <v>477</v>
      </c>
      <c r="D36" t="s">
        <v>478</v>
      </c>
      <c r="E36" t="s">
        <v>479</v>
      </c>
      <c r="F36" t="s">
        <v>480</v>
      </c>
      <c r="G36" t="s">
        <v>481</v>
      </c>
      <c r="H36" t="s">
        <v>482</v>
      </c>
      <c r="I36" t="s">
        <v>483</v>
      </c>
      <c r="J36" t="s">
        <v>484</v>
      </c>
      <c r="K36" t="s">
        <v>485</v>
      </c>
      <c r="L36" t="s">
        <v>486</v>
      </c>
      <c r="M36" t="s">
        <v>130</v>
      </c>
      <c r="N36" t="s">
        <v>131</v>
      </c>
    </row>
    <row r="37" spans="1:14">
      <c r="A37" t="s">
        <v>487</v>
      </c>
      <c r="B37" t="s">
        <v>488</v>
      </c>
      <c r="C37" t="s">
        <v>489</v>
      </c>
      <c r="D37" t="s">
        <v>490</v>
      </c>
      <c r="E37" t="s">
        <v>491</v>
      </c>
      <c r="F37" t="s">
        <v>492</v>
      </c>
      <c r="G37" t="s">
        <v>493</v>
      </c>
      <c r="H37" t="s">
        <v>494</v>
      </c>
      <c r="I37" t="s">
        <v>495</v>
      </c>
      <c r="J37" t="s">
        <v>496</v>
      </c>
      <c r="K37" t="s">
        <v>497</v>
      </c>
      <c r="L37" t="s">
        <v>498</v>
      </c>
      <c r="M37" t="s">
        <v>499</v>
      </c>
      <c r="N37" t="s">
        <v>500</v>
      </c>
    </row>
    <row r="38" spans="1:14">
      <c r="A38" t="s">
        <v>501</v>
      </c>
      <c r="B38" t="s">
        <v>502</v>
      </c>
      <c r="C38" t="s">
        <v>503</v>
      </c>
      <c r="D38" t="s">
        <v>504</v>
      </c>
      <c r="E38" t="s">
        <v>505</v>
      </c>
      <c r="F38" t="s">
        <v>506</v>
      </c>
      <c r="G38" t="s">
        <v>507</v>
      </c>
      <c r="H38" t="s">
        <v>508</v>
      </c>
      <c r="I38" t="s">
        <v>509</v>
      </c>
      <c r="J38" t="s">
        <v>510</v>
      </c>
      <c r="K38" t="s">
        <v>511</v>
      </c>
      <c r="L38" t="s">
        <v>512</v>
      </c>
      <c r="M38" t="s">
        <v>513</v>
      </c>
      <c r="N38" t="s">
        <v>514</v>
      </c>
    </row>
    <row r="39" spans="1:14">
      <c r="A39" t="s">
        <v>515</v>
      </c>
      <c r="B39" t="s">
        <v>516</v>
      </c>
      <c r="C39" t="s">
        <v>517</v>
      </c>
      <c r="D39" t="s">
        <v>518</v>
      </c>
      <c r="E39" t="s">
        <v>519</v>
      </c>
      <c r="F39" t="s">
        <v>520</v>
      </c>
      <c r="G39" t="s">
        <v>521</v>
      </c>
      <c r="H39" t="s">
        <v>522</v>
      </c>
      <c r="I39" t="s">
        <v>523</v>
      </c>
      <c r="J39" t="s">
        <v>524</v>
      </c>
      <c r="K39" t="s">
        <v>525</v>
      </c>
      <c r="L39" t="s">
        <v>526</v>
      </c>
      <c r="M39" t="s">
        <v>527</v>
      </c>
      <c r="N39" t="s">
        <v>528</v>
      </c>
    </row>
    <row r="40" spans="1:14">
      <c r="A40" t="s">
        <v>529</v>
      </c>
      <c r="B40" t="s">
        <v>530</v>
      </c>
      <c r="C40" t="s">
        <v>531</v>
      </c>
      <c r="D40" t="s">
        <v>532</v>
      </c>
      <c r="E40" t="s">
        <v>533</v>
      </c>
      <c r="F40" t="s">
        <v>534</v>
      </c>
      <c r="G40" t="s">
        <v>535</v>
      </c>
      <c r="H40" t="s">
        <v>536</v>
      </c>
      <c r="I40" t="s">
        <v>537</v>
      </c>
      <c r="J40" t="s">
        <v>538</v>
      </c>
      <c r="K40" t="s">
        <v>539</v>
      </c>
      <c r="L40" t="s">
        <v>540</v>
      </c>
      <c r="M40" t="s">
        <v>541</v>
      </c>
      <c r="N40" t="s">
        <v>542</v>
      </c>
    </row>
    <row r="41" spans="1:14">
      <c r="A41" t="s">
        <v>543</v>
      </c>
      <c r="B41" t="s">
        <v>544</v>
      </c>
      <c r="C41" t="s">
        <v>545</v>
      </c>
      <c r="D41" t="s">
        <v>546</v>
      </c>
      <c r="E41" t="s">
        <v>547</v>
      </c>
      <c r="F41" t="s">
        <v>548</v>
      </c>
      <c r="G41" t="s">
        <v>549</v>
      </c>
      <c r="H41" t="s">
        <v>550</v>
      </c>
      <c r="I41" t="s">
        <v>551</v>
      </c>
      <c r="J41" t="s">
        <v>552</v>
      </c>
      <c r="K41" t="s">
        <v>553</v>
      </c>
      <c r="L41" t="s">
        <v>554</v>
      </c>
      <c r="M41" t="s">
        <v>555</v>
      </c>
      <c r="N41" t="s">
        <v>556</v>
      </c>
    </row>
    <row r="42" spans="1:14">
      <c r="A42" t="s">
        <v>557</v>
      </c>
      <c r="B42" t="s">
        <v>558</v>
      </c>
      <c r="C42" t="s">
        <v>559</v>
      </c>
      <c r="D42" t="s">
        <v>560</v>
      </c>
      <c r="E42" t="s">
        <v>561</v>
      </c>
      <c r="F42" t="s">
        <v>562</v>
      </c>
      <c r="G42" t="s">
        <v>563</v>
      </c>
      <c r="H42" t="s">
        <v>564</v>
      </c>
      <c r="I42" t="s">
        <v>565</v>
      </c>
      <c r="J42" t="s">
        <v>566</v>
      </c>
      <c r="K42" t="s">
        <v>567</v>
      </c>
      <c r="L42" t="s">
        <v>568</v>
      </c>
      <c r="M42" t="s">
        <v>569</v>
      </c>
      <c r="N42" t="s">
        <v>570</v>
      </c>
    </row>
    <row r="43" spans="1:14">
      <c r="A43" t="s">
        <v>571</v>
      </c>
      <c r="B43" t="s">
        <v>572</v>
      </c>
      <c r="C43" t="s">
        <v>573</v>
      </c>
      <c r="D43" t="s">
        <v>574</v>
      </c>
      <c r="E43" t="s">
        <v>575</v>
      </c>
      <c r="F43" t="s">
        <v>576</v>
      </c>
      <c r="G43" t="s">
        <v>577</v>
      </c>
      <c r="H43" t="s">
        <v>578</v>
      </c>
      <c r="I43" t="s">
        <v>579</v>
      </c>
      <c r="J43" t="s">
        <v>580</v>
      </c>
      <c r="K43" t="s">
        <v>581</v>
      </c>
      <c r="L43" t="s">
        <v>582</v>
      </c>
      <c r="M43" t="s">
        <v>583</v>
      </c>
      <c r="N43" t="s">
        <v>584</v>
      </c>
    </row>
    <row r="44" spans="1:14">
      <c r="A44" t="s">
        <v>585</v>
      </c>
      <c r="B44" t="s">
        <v>586</v>
      </c>
      <c r="C44" t="s">
        <v>587</v>
      </c>
      <c r="D44" t="s">
        <v>588</v>
      </c>
      <c r="E44" t="s">
        <v>589</v>
      </c>
      <c r="F44" t="s">
        <v>590</v>
      </c>
      <c r="G44" t="s">
        <v>591</v>
      </c>
      <c r="H44" t="s">
        <v>592</v>
      </c>
      <c r="I44" t="s">
        <v>593</v>
      </c>
      <c r="J44" t="s">
        <v>594</v>
      </c>
      <c r="K44" t="s">
        <v>595</v>
      </c>
      <c r="L44" t="s">
        <v>596</v>
      </c>
      <c r="M44" t="s">
        <v>597</v>
      </c>
      <c r="N44" t="s">
        <v>598</v>
      </c>
    </row>
    <row r="45" spans="1:14">
      <c r="A45" t="s">
        <v>599</v>
      </c>
      <c r="B45" t="s">
        <v>600</v>
      </c>
      <c r="C45" t="s">
        <v>601</v>
      </c>
      <c r="D45" t="s">
        <v>602</v>
      </c>
      <c r="E45" t="s">
        <v>603</v>
      </c>
      <c r="F45" t="s">
        <v>604</v>
      </c>
      <c r="G45" t="s">
        <v>605</v>
      </c>
      <c r="H45" t="s">
        <v>606</v>
      </c>
      <c r="I45" t="s">
        <v>607</v>
      </c>
      <c r="J45" t="s">
        <v>608</v>
      </c>
      <c r="K45" t="s">
        <v>609</v>
      </c>
      <c r="L45" t="s">
        <v>610</v>
      </c>
      <c r="M45" t="s">
        <v>130</v>
      </c>
      <c r="N45" t="s">
        <v>131</v>
      </c>
    </row>
    <row r="46" spans="1:14">
      <c r="A46" t="s">
        <v>611</v>
      </c>
      <c r="B46" t="s">
        <v>612</v>
      </c>
      <c r="C46" t="s">
        <v>613</v>
      </c>
      <c r="D46" t="s">
        <v>614</v>
      </c>
      <c r="E46" t="s">
        <v>615</v>
      </c>
      <c r="F46" t="s">
        <v>616</v>
      </c>
      <c r="G46" t="s">
        <v>617</v>
      </c>
      <c r="H46" t="s">
        <v>618</v>
      </c>
      <c r="I46" t="s">
        <v>619</v>
      </c>
      <c r="J46" t="s">
        <v>620</v>
      </c>
      <c r="K46" t="s">
        <v>621</v>
      </c>
      <c r="L46" t="s">
        <v>622</v>
      </c>
      <c r="M46" t="s">
        <v>130</v>
      </c>
      <c r="N46" t="s">
        <v>131</v>
      </c>
    </row>
    <row r="47" spans="1:14">
      <c r="A47" t="s">
        <v>623</v>
      </c>
      <c r="B47" t="s">
        <v>624</v>
      </c>
      <c r="C47" t="s">
        <v>625</v>
      </c>
      <c r="D47" t="s">
        <v>626</v>
      </c>
      <c r="E47" t="s">
        <v>627</v>
      </c>
      <c r="F47" t="s">
        <v>628</v>
      </c>
      <c r="G47" t="s">
        <v>629</v>
      </c>
      <c r="H47" t="s">
        <v>630</v>
      </c>
      <c r="I47" t="s">
        <v>631</v>
      </c>
      <c r="J47" t="s">
        <v>632</v>
      </c>
      <c r="K47" t="s">
        <v>633</v>
      </c>
      <c r="L47" t="s">
        <v>634</v>
      </c>
      <c r="M47" t="s">
        <v>130</v>
      </c>
      <c r="N47" t="s">
        <v>131</v>
      </c>
    </row>
    <row r="48" spans="1:14">
      <c r="A48" t="s">
        <v>635</v>
      </c>
      <c r="B48" t="s">
        <v>636</v>
      </c>
      <c r="C48" t="s">
        <v>637</v>
      </c>
      <c r="D48" t="s">
        <v>638</v>
      </c>
      <c r="E48" t="s">
        <v>639</v>
      </c>
      <c r="F48" t="s">
        <v>640</v>
      </c>
      <c r="G48" t="s">
        <v>641</v>
      </c>
      <c r="H48" t="s">
        <v>642</v>
      </c>
      <c r="I48" t="s">
        <v>643</v>
      </c>
      <c r="J48" t="s">
        <v>644</v>
      </c>
      <c r="K48" t="s">
        <v>645</v>
      </c>
      <c r="L48" t="s">
        <v>646</v>
      </c>
      <c r="M48" t="s">
        <v>130</v>
      </c>
      <c r="N48" t="s">
        <v>131</v>
      </c>
    </row>
    <row r="49" spans="1:14">
      <c r="A49" t="s">
        <v>647</v>
      </c>
      <c r="B49" t="s">
        <v>648</v>
      </c>
      <c r="C49" t="s">
        <v>649</v>
      </c>
      <c r="D49" t="s">
        <v>650</v>
      </c>
      <c r="E49" t="s">
        <v>651</v>
      </c>
      <c r="F49" t="s">
        <v>652</v>
      </c>
      <c r="G49" t="s">
        <v>653</v>
      </c>
      <c r="H49" t="s">
        <v>654</v>
      </c>
      <c r="I49" t="s">
        <v>655</v>
      </c>
      <c r="J49" t="s">
        <v>656</v>
      </c>
      <c r="K49" t="s">
        <v>657</v>
      </c>
      <c r="L49" t="s">
        <v>658</v>
      </c>
      <c r="M49" t="s">
        <v>659</v>
      </c>
      <c r="N49" t="s">
        <v>660</v>
      </c>
    </row>
    <row r="50" spans="1:14">
      <c r="A50" t="s">
        <v>661</v>
      </c>
      <c r="B50" t="s">
        <v>662</v>
      </c>
      <c r="C50" t="s">
        <v>663</v>
      </c>
      <c r="D50" t="s">
        <v>664</v>
      </c>
      <c r="E50" t="s">
        <v>665</v>
      </c>
      <c r="F50" t="s">
        <v>666</v>
      </c>
      <c r="G50" t="s">
        <v>667</v>
      </c>
      <c r="H50" t="s">
        <v>668</v>
      </c>
      <c r="I50" t="s">
        <v>669</v>
      </c>
      <c r="J50" t="s">
        <v>670</v>
      </c>
      <c r="K50" t="s">
        <v>671</v>
      </c>
      <c r="L50" t="s">
        <v>672</v>
      </c>
      <c r="M50" t="s">
        <v>673</v>
      </c>
      <c r="N50" t="s">
        <v>674</v>
      </c>
    </row>
    <row r="51" spans="1:14">
      <c r="A51" t="s">
        <v>675</v>
      </c>
      <c r="B51" t="s">
        <v>676</v>
      </c>
      <c r="C51" t="s">
        <v>677</v>
      </c>
      <c r="D51" t="s">
        <v>678</v>
      </c>
      <c r="E51" t="s">
        <v>679</v>
      </c>
      <c r="F51" t="s">
        <v>680</v>
      </c>
      <c r="G51" t="s">
        <v>681</v>
      </c>
      <c r="H51" t="s">
        <v>682</v>
      </c>
      <c r="I51" t="s">
        <v>683</v>
      </c>
      <c r="J51" t="s">
        <v>684</v>
      </c>
      <c r="K51" t="s">
        <v>685</v>
      </c>
      <c r="L51" t="s">
        <v>686</v>
      </c>
      <c r="M51" t="s">
        <v>687</v>
      </c>
      <c r="N51" t="s">
        <v>688</v>
      </c>
    </row>
    <row r="52" spans="1:14">
      <c r="A52" t="s">
        <v>689</v>
      </c>
      <c r="B52" t="s">
        <v>690</v>
      </c>
      <c r="C52" t="s">
        <v>691</v>
      </c>
      <c r="D52" t="s">
        <v>692</v>
      </c>
      <c r="E52" t="s">
        <v>693</v>
      </c>
      <c r="F52" t="s">
        <v>694</v>
      </c>
      <c r="G52" t="s">
        <v>695</v>
      </c>
      <c r="H52" t="s">
        <v>696</v>
      </c>
      <c r="I52" t="s">
        <v>697</v>
      </c>
      <c r="J52" t="s">
        <v>698</v>
      </c>
      <c r="K52" t="s">
        <v>699</v>
      </c>
      <c r="L52" t="s">
        <v>700</v>
      </c>
      <c r="M52" t="s">
        <v>701</v>
      </c>
      <c r="N52" t="s">
        <v>702</v>
      </c>
    </row>
    <row r="53" spans="1:14">
      <c r="A53" t="s">
        <v>703</v>
      </c>
      <c r="B53" t="s">
        <v>704</v>
      </c>
      <c r="C53" t="s">
        <v>705</v>
      </c>
      <c r="D53" t="s">
        <v>706</v>
      </c>
      <c r="E53" t="s">
        <v>707</v>
      </c>
      <c r="F53" t="s">
        <v>708</v>
      </c>
      <c r="G53" t="s">
        <v>709</v>
      </c>
      <c r="H53" t="s">
        <v>710</v>
      </c>
      <c r="I53" t="s">
        <v>711</v>
      </c>
      <c r="J53" t="s">
        <v>712</v>
      </c>
      <c r="K53" t="s">
        <v>713</v>
      </c>
      <c r="L53" t="s">
        <v>714</v>
      </c>
      <c r="M53" t="s">
        <v>715</v>
      </c>
      <c r="N53" t="s">
        <v>716</v>
      </c>
    </row>
    <row r="54" spans="1:14">
      <c r="A54" t="s">
        <v>717</v>
      </c>
      <c r="B54" t="s">
        <v>718</v>
      </c>
      <c r="C54" t="s">
        <v>719</v>
      </c>
      <c r="D54" t="s">
        <v>720</v>
      </c>
      <c r="E54" t="s">
        <v>721</v>
      </c>
      <c r="F54" t="s">
        <v>722</v>
      </c>
      <c r="G54" t="s">
        <v>723</v>
      </c>
      <c r="H54" t="s">
        <v>724</v>
      </c>
      <c r="I54" t="s">
        <v>725</v>
      </c>
      <c r="J54" t="s">
        <v>726</v>
      </c>
      <c r="K54" t="s">
        <v>727</v>
      </c>
      <c r="L54" t="s">
        <v>728</v>
      </c>
      <c r="M54" t="s">
        <v>729</v>
      </c>
      <c r="N54" t="s">
        <v>556</v>
      </c>
    </row>
    <row r="55" spans="1:14">
      <c r="A55" t="s">
        <v>730</v>
      </c>
      <c r="B55" t="s">
        <v>731</v>
      </c>
      <c r="C55" t="s">
        <v>732</v>
      </c>
      <c r="D55" t="s">
        <v>733</v>
      </c>
      <c r="E55" t="s">
        <v>734</v>
      </c>
      <c r="F55" t="s">
        <v>735</v>
      </c>
      <c r="G55" t="s">
        <v>736</v>
      </c>
      <c r="H55" t="s">
        <v>737</v>
      </c>
      <c r="I55" t="s">
        <v>738</v>
      </c>
      <c r="J55" t="s">
        <v>739</v>
      </c>
      <c r="K55" t="s">
        <v>740</v>
      </c>
      <c r="L55" t="s">
        <v>741</v>
      </c>
      <c r="M55" t="s">
        <v>742</v>
      </c>
      <c r="N55" t="s">
        <v>743</v>
      </c>
    </row>
    <row r="56" spans="1:14">
      <c r="A56" t="s">
        <v>744</v>
      </c>
      <c r="B56" t="s">
        <v>745</v>
      </c>
      <c r="C56" t="s">
        <v>746</v>
      </c>
      <c r="D56" t="s">
        <v>747</v>
      </c>
      <c r="E56" t="s">
        <v>748</v>
      </c>
      <c r="F56" t="s">
        <v>749</v>
      </c>
      <c r="G56" t="s">
        <v>750</v>
      </c>
      <c r="H56" t="s">
        <v>751</v>
      </c>
      <c r="I56" t="s">
        <v>752</v>
      </c>
      <c r="J56" t="s">
        <v>753</v>
      </c>
      <c r="K56" t="s">
        <v>754</v>
      </c>
      <c r="L56" t="s">
        <v>755</v>
      </c>
      <c r="M56" t="s">
        <v>756</v>
      </c>
      <c r="N56" t="s">
        <v>757</v>
      </c>
    </row>
    <row r="57" spans="1:14">
      <c r="A57" t="s">
        <v>758</v>
      </c>
      <c r="B57" t="s">
        <v>759</v>
      </c>
      <c r="C57" t="s">
        <v>760</v>
      </c>
      <c r="D57" t="s">
        <v>761</v>
      </c>
      <c r="E57" t="s">
        <v>762</v>
      </c>
      <c r="F57" t="s">
        <v>763</v>
      </c>
      <c r="G57" t="s">
        <v>764</v>
      </c>
      <c r="H57" t="s">
        <v>765</v>
      </c>
      <c r="I57" t="s">
        <v>766</v>
      </c>
      <c r="J57" t="s">
        <v>767</v>
      </c>
      <c r="K57" t="s">
        <v>768</v>
      </c>
      <c r="L57" t="s">
        <v>769</v>
      </c>
      <c r="M57" t="s">
        <v>130</v>
      </c>
      <c r="N57" t="s">
        <v>131</v>
      </c>
    </row>
    <row r="58" spans="1:14">
      <c r="A58" t="s">
        <v>770</v>
      </c>
      <c r="B58" t="s">
        <v>771</v>
      </c>
      <c r="C58" t="s">
        <v>772</v>
      </c>
      <c r="D58" t="s">
        <v>773</v>
      </c>
      <c r="E58" t="s">
        <v>774</v>
      </c>
      <c r="F58" t="s">
        <v>775</v>
      </c>
      <c r="G58" t="s">
        <v>776</v>
      </c>
      <c r="H58" t="s">
        <v>777</v>
      </c>
      <c r="I58" t="s">
        <v>778</v>
      </c>
      <c r="J58" t="s">
        <v>779</v>
      </c>
      <c r="K58" t="s">
        <v>780</v>
      </c>
      <c r="L58" t="s">
        <v>781</v>
      </c>
      <c r="M58" t="s">
        <v>130</v>
      </c>
      <c r="N58" t="s">
        <v>131</v>
      </c>
    </row>
    <row r="59" spans="1:14">
      <c r="A59" t="s">
        <v>782</v>
      </c>
      <c r="B59" t="s">
        <v>783</v>
      </c>
      <c r="C59" t="s">
        <v>784</v>
      </c>
      <c r="D59" t="s">
        <v>785</v>
      </c>
      <c r="E59" t="s">
        <v>786</v>
      </c>
      <c r="F59" t="s">
        <v>787</v>
      </c>
      <c r="G59" t="s">
        <v>788</v>
      </c>
      <c r="H59" t="s">
        <v>789</v>
      </c>
      <c r="I59" t="s">
        <v>790</v>
      </c>
      <c r="J59" t="s">
        <v>791</v>
      </c>
      <c r="K59" t="s">
        <v>792</v>
      </c>
      <c r="L59" t="s">
        <v>793</v>
      </c>
      <c r="M59" t="s">
        <v>130</v>
      </c>
      <c r="N59" t="s">
        <v>131</v>
      </c>
    </row>
    <row r="60" spans="1:14">
      <c r="A60" t="s">
        <v>794</v>
      </c>
      <c r="B60" t="s">
        <v>795</v>
      </c>
      <c r="C60" t="s">
        <v>796</v>
      </c>
      <c r="D60" t="s">
        <v>797</v>
      </c>
      <c r="E60" t="s">
        <v>798</v>
      </c>
      <c r="F60" t="s">
        <v>799</v>
      </c>
      <c r="G60" t="s">
        <v>800</v>
      </c>
      <c r="H60" t="s">
        <v>801</v>
      </c>
      <c r="I60" t="s">
        <v>802</v>
      </c>
      <c r="J60" t="s">
        <v>803</v>
      </c>
      <c r="K60" t="s">
        <v>804</v>
      </c>
      <c r="L60" t="s">
        <v>805</v>
      </c>
      <c r="M60" t="s">
        <v>130</v>
      </c>
      <c r="N60" t="s">
        <v>131</v>
      </c>
    </row>
    <row r="61" spans="1:14">
      <c r="A61" t="s">
        <v>806</v>
      </c>
      <c r="B61" t="s">
        <v>807</v>
      </c>
      <c r="C61" t="s">
        <v>808</v>
      </c>
      <c r="D61" t="s">
        <v>809</v>
      </c>
      <c r="E61" t="s">
        <v>810</v>
      </c>
      <c r="F61" t="s">
        <v>811</v>
      </c>
      <c r="G61" t="s">
        <v>812</v>
      </c>
      <c r="H61" t="s">
        <v>813</v>
      </c>
      <c r="I61" t="s">
        <v>814</v>
      </c>
      <c r="J61" t="s">
        <v>815</v>
      </c>
      <c r="K61" t="s">
        <v>816</v>
      </c>
      <c r="L61" t="s">
        <v>817</v>
      </c>
      <c r="M61" t="s">
        <v>818</v>
      </c>
      <c r="N61" t="s">
        <v>819</v>
      </c>
    </row>
    <row r="62" spans="1:14">
      <c r="A62" t="s">
        <v>820</v>
      </c>
      <c r="B62" t="s">
        <v>821</v>
      </c>
      <c r="C62" t="s">
        <v>822</v>
      </c>
      <c r="D62" t="s">
        <v>823</v>
      </c>
      <c r="E62" t="s">
        <v>824</v>
      </c>
      <c r="F62" t="s">
        <v>825</v>
      </c>
      <c r="G62" t="s">
        <v>826</v>
      </c>
      <c r="H62" t="s">
        <v>827</v>
      </c>
      <c r="I62" t="s">
        <v>828</v>
      </c>
      <c r="J62" t="s">
        <v>829</v>
      </c>
      <c r="K62" t="s">
        <v>830</v>
      </c>
      <c r="L62" t="s">
        <v>831</v>
      </c>
      <c r="M62" t="s">
        <v>832</v>
      </c>
      <c r="N62" t="s">
        <v>833</v>
      </c>
    </row>
    <row r="63" spans="1:14">
      <c r="A63" t="s">
        <v>834</v>
      </c>
      <c r="B63" t="s">
        <v>835</v>
      </c>
      <c r="C63" t="s">
        <v>836</v>
      </c>
      <c r="D63" t="s">
        <v>837</v>
      </c>
      <c r="E63" t="s">
        <v>838</v>
      </c>
      <c r="F63" t="s">
        <v>839</v>
      </c>
      <c r="G63" t="s">
        <v>840</v>
      </c>
      <c r="H63" t="s">
        <v>841</v>
      </c>
      <c r="I63" t="s">
        <v>842</v>
      </c>
      <c r="J63" t="s">
        <v>843</v>
      </c>
      <c r="K63" t="s">
        <v>844</v>
      </c>
      <c r="L63" t="s">
        <v>845</v>
      </c>
      <c r="M63" t="s">
        <v>846</v>
      </c>
      <c r="N63" t="s">
        <v>847</v>
      </c>
    </row>
    <row r="64" spans="1:14">
      <c r="A64" t="s">
        <v>848</v>
      </c>
      <c r="B64" t="s">
        <v>849</v>
      </c>
      <c r="C64" t="s">
        <v>850</v>
      </c>
      <c r="D64" t="s">
        <v>851</v>
      </c>
      <c r="E64" t="s">
        <v>852</v>
      </c>
      <c r="F64" t="s">
        <v>853</v>
      </c>
      <c r="G64" t="s">
        <v>854</v>
      </c>
      <c r="H64" t="s">
        <v>855</v>
      </c>
      <c r="I64" t="s">
        <v>856</v>
      </c>
      <c r="J64" t="s">
        <v>857</v>
      </c>
      <c r="K64" t="s">
        <v>858</v>
      </c>
      <c r="L64" t="s">
        <v>859</v>
      </c>
      <c r="M64" t="s">
        <v>860</v>
      </c>
      <c r="N64" t="s">
        <v>861</v>
      </c>
    </row>
    <row r="65" spans="1:14">
      <c r="A65" t="s">
        <v>862</v>
      </c>
      <c r="B65" t="s">
        <v>863</v>
      </c>
      <c r="C65" t="s">
        <v>864</v>
      </c>
      <c r="D65" t="s">
        <v>865</v>
      </c>
      <c r="E65" t="s">
        <v>866</v>
      </c>
      <c r="F65" t="s">
        <v>867</v>
      </c>
      <c r="G65" t="s">
        <v>868</v>
      </c>
      <c r="H65" t="s">
        <v>869</v>
      </c>
      <c r="I65" t="s">
        <v>870</v>
      </c>
      <c r="J65" t="s">
        <v>871</v>
      </c>
      <c r="K65" t="s">
        <v>872</v>
      </c>
      <c r="L65" t="s">
        <v>873</v>
      </c>
      <c r="M65" t="s">
        <v>874</v>
      </c>
      <c r="N65" t="s">
        <v>875</v>
      </c>
    </row>
    <row r="66" spans="1:14">
      <c r="A66" t="s">
        <v>876</v>
      </c>
      <c r="B66" t="s">
        <v>877</v>
      </c>
      <c r="C66" t="s">
        <v>878</v>
      </c>
      <c r="D66" t="s">
        <v>879</v>
      </c>
      <c r="E66" t="s">
        <v>880</v>
      </c>
      <c r="F66" t="s">
        <v>881</v>
      </c>
      <c r="G66" t="s">
        <v>882</v>
      </c>
      <c r="H66" t="s">
        <v>883</v>
      </c>
      <c r="I66" t="s">
        <v>884</v>
      </c>
      <c r="J66" t="s">
        <v>885</v>
      </c>
      <c r="K66" t="s">
        <v>886</v>
      </c>
      <c r="L66" t="s">
        <v>887</v>
      </c>
      <c r="M66" t="s">
        <v>888</v>
      </c>
      <c r="N66" t="s">
        <v>889</v>
      </c>
    </row>
    <row r="67" spans="1:14">
      <c r="A67" t="s">
        <v>890</v>
      </c>
      <c r="B67" t="s">
        <v>891</v>
      </c>
      <c r="C67" t="s">
        <v>892</v>
      </c>
      <c r="D67" t="s">
        <v>893</v>
      </c>
      <c r="E67" t="s">
        <v>894</v>
      </c>
      <c r="F67" t="s">
        <v>895</v>
      </c>
      <c r="G67" t="s">
        <v>896</v>
      </c>
      <c r="H67" t="s">
        <v>897</v>
      </c>
      <c r="I67" t="s">
        <v>898</v>
      </c>
      <c r="J67" t="s">
        <v>899</v>
      </c>
      <c r="K67" t="s">
        <v>900</v>
      </c>
      <c r="L67" t="s">
        <v>901</v>
      </c>
      <c r="M67" t="s">
        <v>902</v>
      </c>
      <c r="N67" t="s">
        <v>903</v>
      </c>
    </row>
    <row r="68" spans="1:14">
      <c r="A68" t="s">
        <v>904</v>
      </c>
      <c r="B68" t="s">
        <v>905</v>
      </c>
      <c r="C68" t="s">
        <v>906</v>
      </c>
      <c r="D68" t="s">
        <v>907</v>
      </c>
      <c r="E68" t="s">
        <v>908</v>
      </c>
      <c r="F68" t="s">
        <v>909</v>
      </c>
      <c r="G68" t="s">
        <v>910</v>
      </c>
      <c r="H68" t="s">
        <v>911</v>
      </c>
      <c r="I68" t="s">
        <v>912</v>
      </c>
      <c r="J68" t="s">
        <v>913</v>
      </c>
      <c r="K68" t="s">
        <v>914</v>
      </c>
      <c r="L68" t="s">
        <v>915</v>
      </c>
      <c r="M68" t="s">
        <v>916</v>
      </c>
      <c r="N68" t="s">
        <v>917</v>
      </c>
    </row>
    <row r="69" spans="1:14">
      <c r="A69" t="s">
        <v>918</v>
      </c>
      <c r="B69" t="s">
        <v>919</v>
      </c>
      <c r="C69" t="s">
        <v>920</v>
      </c>
      <c r="D69" t="s">
        <v>921</v>
      </c>
      <c r="E69" t="s">
        <v>922</v>
      </c>
      <c r="F69" t="s">
        <v>923</v>
      </c>
      <c r="G69" t="s">
        <v>924</v>
      </c>
      <c r="H69" t="s">
        <v>925</v>
      </c>
      <c r="I69" t="s">
        <v>926</v>
      </c>
      <c r="J69" t="s">
        <v>927</v>
      </c>
      <c r="K69" t="s">
        <v>928</v>
      </c>
      <c r="L69" t="s">
        <v>929</v>
      </c>
      <c r="M69" t="s">
        <v>130</v>
      </c>
      <c r="N69" t="s">
        <v>131</v>
      </c>
    </row>
    <row r="70" spans="1:14">
      <c r="A70" t="s">
        <v>930</v>
      </c>
      <c r="B70" t="s">
        <v>931</v>
      </c>
      <c r="C70" t="s">
        <v>932</v>
      </c>
      <c r="D70" t="s">
        <v>933</v>
      </c>
      <c r="E70" t="s">
        <v>934</v>
      </c>
      <c r="F70" t="s">
        <v>935</v>
      </c>
      <c r="G70" t="s">
        <v>936</v>
      </c>
      <c r="H70" t="s">
        <v>937</v>
      </c>
      <c r="I70" t="s">
        <v>938</v>
      </c>
      <c r="J70" t="s">
        <v>939</v>
      </c>
      <c r="K70" t="s">
        <v>940</v>
      </c>
      <c r="L70" t="s">
        <v>941</v>
      </c>
      <c r="M70" t="s">
        <v>130</v>
      </c>
      <c r="N70" t="s">
        <v>131</v>
      </c>
    </row>
    <row r="71" spans="1:14">
      <c r="A71" t="s">
        <v>942</v>
      </c>
      <c r="B71" t="s">
        <v>943</v>
      </c>
      <c r="C71" t="s">
        <v>944</v>
      </c>
      <c r="D71" t="s">
        <v>945</v>
      </c>
      <c r="E71" t="s">
        <v>946</v>
      </c>
      <c r="F71" t="s">
        <v>947</v>
      </c>
      <c r="G71" t="s">
        <v>948</v>
      </c>
      <c r="H71" t="s">
        <v>949</v>
      </c>
      <c r="I71" t="s">
        <v>950</v>
      </c>
      <c r="J71" t="s">
        <v>951</v>
      </c>
      <c r="K71" t="s">
        <v>952</v>
      </c>
      <c r="L71" t="s">
        <v>953</v>
      </c>
      <c r="M71" t="s">
        <v>130</v>
      </c>
      <c r="N71" t="s">
        <v>131</v>
      </c>
    </row>
    <row r="72" spans="1:14">
      <c r="A72" t="s">
        <v>954</v>
      </c>
      <c r="B72" t="s">
        <v>955</v>
      </c>
      <c r="C72" t="s">
        <v>956</v>
      </c>
      <c r="D72" t="s">
        <v>957</v>
      </c>
      <c r="E72" t="s">
        <v>958</v>
      </c>
      <c r="F72" t="s">
        <v>959</v>
      </c>
      <c r="G72" t="s">
        <v>960</v>
      </c>
      <c r="H72" t="s">
        <v>961</v>
      </c>
      <c r="I72" t="s">
        <v>962</v>
      </c>
      <c r="J72" t="s">
        <v>963</v>
      </c>
      <c r="K72" t="s">
        <v>964</v>
      </c>
      <c r="L72" t="s">
        <v>965</v>
      </c>
      <c r="M72" t="s">
        <v>130</v>
      </c>
      <c r="N72" t="s">
        <v>131</v>
      </c>
    </row>
    <row r="73" spans="1:14">
      <c r="A73" t="s">
        <v>966</v>
      </c>
      <c r="B73" t="s">
        <v>967</v>
      </c>
      <c r="C73" t="s">
        <v>968</v>
      </c>
      <c r="D73" t="s">
        <v>969</v>
      </c>
      <c r="E73" t="s">
        <v>970</v>
      </c>
      <c r="F73" t="s">
        <v>971</v>
      </c>
      <c r="G73" t="s">
        <v>972</v>
      </c>
      <c r="H73" t="s">
        <v>973</v>
      </c>
      <c r="I73" t="s">
        <v>974</v>
      </c>
      <c r="J73" t="s">
        <v>975</v>
      </c>
      <c r="K73" t="s">
        <v>976</v>
      </c>
      <c r="L73" t="s">
        <v>977</v>
      </c>
      <c r="M73" t="s">
        <v>978</v>
      </c>
      <c r="N73" t="s">
        <v>979</v>
      </c>
    </row>
    <row r="74" spans="1:14">
      <c r="A74" t="s">
        <v>980</v>
      </c>
      <c r="B74" t="s">
        <v>981</v>
      </c>
      <c r="C74" t="s">
        <v>982</v>
      </c>
      <c r="D74" t="s">
        <v>983</v>
      </c>
      <c r="E74" t="s">
        <v>984</v>
      </c>
      <c r="F74" t="s">
        <v>985</v>
      </c>
      <c r="G74" t="s">
        <v>986</v>
      </c>
      <c r="H74" t="s">
        <v>987</v>
      </c>
      <c r="I74" t="s">
        <v>988</v>
      </c>
      <c r="J74" t="s">
        <v>989</v>
      </c>
      <c r="K74" t="s">
        <v>990</v>
      </c>
      <c r="L74" t="s">
        <v>991</v>
      </c>
      <c r="M74" t="s">
        <v>992</v>
      </c>
      <c r="N74" t="s">
        <v>993</v>
      </c>
    </row>
    <row r="75" spans="1:14">
      <c r="A75" t="s">
        <v>994</v>
      </c>
      <c r="B75" t="s">
        <v>995</v>
      </c>
      <c r="C75" t="s">
        <v>996</v>
      </c>
      <c r="D75" t="s">
        <v>997</v>
      </c>
      <c r="E75" t="s">
        <v>998</v>
      </c>
      <c r="F75" t="s">
        <v>999</v>
      </c>
      <c r="G75" t="s">
        <v>1000</v>
      </c>
      <c r="H75" t="s">
        <v>1001</v>
      </c>
      <c r="I75" t="s">
        <v>1002</v>
      </c>
      <c r="J75" t="s">
        <v>1003</v>
      </c>
      <c r="K75" t="s">
        <v>1004</v>
      </c>
      <c r="L75" t="s">
        <v>1005</v>
      </c>
      <c r="M75" t="s">
        <v>1006</v>
      </c>
      <c r="N75" t="s">
        <v>1007</v>
      </c>
    </row>
    <row r="76" spans="1:14">
      <c r="A76" t="s">
        <v>1008</v>
      </c>
      <c r="B76" t="s">
        <v>1009</v>
      </c>
      <c r="C76" t="s">
        <v>1010</v>
      </c>
      <c r="D76" t="s">
        <v>1011</v>
      </c>
      <c r="E76" t="s">
        <v>1012</v>
      </c>
      <c r="F76" t="s">
        <v>1013</v>
      </c>
      <c r="G76" t="s">
        <v>1014</v>
      </c>
      <c r="H76" t="s">
        <v>1015</v>
      </c>
      <c r="I76" t="s">
        <v>1016</v>
      </c>
      <c r="J76" t="s">
        <v>1017</v>
      </c>
      <c r="K76" t="s">
        <v>1018</v>
      </c>
      <c r="L76" t="s">
        <v>1019</v>
      </c>
      <c r="M76" t="s">
        <v>1020</v>
      </c>
      <c r="N76" t="s">
        <v>1021</v>
      </c>
    </row>
    <row r="77" spans="1:14">
      <c r="A77" t="s">
        <v>1022</v>
      </c>
      <c r="B77" t="s">
        <v>1023</v>
      </c>
      <c r="C77" t="s">
        <v>1024</v>
      </c>
      <c r="D77" t="s">
        <v>1025</v>
      </c>
      <c r="E77" t="s">
        <v>1026</v>
      </c>
      <c r="F77" t="s">
        <v>1027</v>
      </c>
      <c r="G77" t="s">
        <v>1028</v>
      </c>
      <c r="H77" t="s">
        <v>1029</v>
      </c>
      <c r="I77" t="s">
        <v>1030</v>
      </c>
      <c r="J77" t="s">
        <v>1031</v>
      </c>
      <c r="K77" t="s">
        <v>1032</v>
      </c>
      <c r="L77" t="s">
        <v>1033</v>
      </c>
      <c r="M77" t="s">
        <v>1034</v>
      </c>
      <c r="N77" t="s">
        <v>1035</v>
      </c>
    </row>
    <row r="78" spans="1:14">
      <c r="A78" t="s">
        <v>1036</v>
      </c>
      <c r="B78" t="s">
        <v>1037</v>
      </c>
      <c r="C78" t="s">
        <v>1038</v>
      </c>
      <c r="D78" t="s">
        <v>1039</v>
      </c>
      <c r="E78" t="s">
        <v>1040</v>
      </c>
      <c r="F78" t="s">
        <v>1041</v>
      </c>
      <c r="G78" t="s">
        <v>1042</v>
      </c>
      <c r="H78" t="s">
        <v>1043</v>
      </c>
      <c r="I78" t="s">
        <v>1044</v>
      </c>
      <c r="J78" t="s">
        <v>1045</v>
      </c>
      <c r="K78" t="s">
        <v>1046</v>
      </c>
      <c r="L78" t="s">
        <v>1047</v>
      </c>
      <c r="M78" t="s">
        <v>1048</v>
      </c>
      <c r="N78" t="s">
        <v>1049</v>
      </c>
    </row>
    <row r="79" spans="1:14">
      <c r="A79" t="s">
        <v>1050</v>
      </c>
      <c r="B79" t="s">
        <v>1051</v>
      </c>
      <c r="C79" t="s">
        <v>1052</v>
      </c>
      <c r="D79" t="s">
        <v>1053</v>
      </c>
      <c r="E79" t="s">
        <v>1054</v>
      </c>
      <c r="F79" t="s">
        <v>1055</v>
      </c>
      <c r="G79" t="s">
        <v>1056</v>
      </c>
      <c r="H79" t="s">
        <v>1057</v>
      </c>
      <c r="I79" t="s">
        <v>1058</v>
      </c>
      <c r="J79" t="s">
        <v>1059</v>
      </c>
      <c r="K79" t="s">
        <v>1060</v>
      </c>
      <c r="L79" t="s">
        <v>1061</v>
      </c>
      <c r="M79" t="s">
        <v>1062</v>
      </c>
      <c r="N79" t="s">
        <v>1063</v>
      </c>
    </row>
    <row r="80" spans="1:14">
      <c r="A80" t="s">
        <v>1064</v>
      </c>
      <c r="B80" t="s">
        <v>1065</v>
      </c>
      <c r="C80" t="s">
        <v>1066</v>
      </c>
      <c r="D80" t="s">
        <v>1067</v>
      </c>
      <c r="E80" t="s">
        <v>1068</v>
      </c>
      <c r="F80" t="s">
        <v>1069</v>
      </c>
      <c r="G80" t="s">
        <v>1070</v>
      </c>
      <c r="H80" t="s">
        <v>1071</v>
      </c>
      <c r="I80" t="s">
        <v>1072</v>
      </c>
      <c r="J80" t="s">
        <v>1073</v>
      </c>
      <c r="K80" t="s">
        <v>1074</v>
      </c>
      <c r="L80" t="s">
        <v>1075</v>
      </c>
      <c r="M80" t="s">
        <v>1076</v>
      </c>
      <c r="N80" t="s">
        <v>1077</v>
      </c>
    </row>
    <row r="81" spans="1:14">
      <c r="A81" t="s">
        <v>1078</v>
      </c>
      <c r="B81" t="s">
        <v>1079</v>
      </c>
      <c r="C81" t="s">
        <v>1080</v>
      </c>
      <c r="D81" t="s">
        <v>1081</v>
      </c>
      <c r="E81" t="s">
        <v>1082</v>
      </c>
      <c r="F81" t="s">
        <v>1083</v>
      </c>
      <c r="G81" t="s">
        <v>1084</v>
      </c>
      <c r="H81" t="s">
        <v>1085</v>
      </c>
      <c r="I81" t="s">
        <v>1086</v>
      </c>
      <c r="J81" t="s">
        <v>1087</v>
      </c>
      <c r="K81" t="s">
        <v>1088</v>
      </c>
      <c r="L81" t="s">
        <v>1089</v>
      </c>
      <c r="M81" t="s">
        <v>130</v>
      </c>
      <c r="N81" t="s">
        <v>131</v>
      </c>
    </row>
    <row r="82" spans="1:14">
      <c r="A82" t="s">
        <v>1090</v>
      </c>
      <c r="B82" t="s">
        <v>1091</v>
      </c>
      <c r="C82" t="s">
        <v>1092</v>
      </c>
      <c r="D82" t="s">
        <v>1093</v>
      </c>
      <c r="E82" t="s">
        <v>1094</v>
      </c>
      <c r="F82" t="s">
        <v>1095</v>
      </c>
      <c r="G82" t="s">
        <v>1096</v>
      </c>
      <c r="H82" t="s">
        <v>1097</v>
      </c>
      <c r="I82" t="s">
        <v>1098</v>
      </c>
      <c r="J82" t="s">
        <v>1099</v>
      </c>
      <c r="K82" t="s">
        <v>1100</v>
      </c>
      <c r="L82" t="s">
        <v>1101</v>
      </c>
      <c r="M82" t="s">
        <v>130</v>
      </c>
      <c r="N82" t="s">
        <v>131</v>
      </c>
    </row>
    <row r="83" spans="1:14">
      <c r="A83" t="s">
        <v>1102</v>
      </c>
      <c r="B83" t="s">
        <v>1103</v>
      </c>
      <c r="C83" t="s">
        <v>1104</v>
      </c>
      <c r="D83" t="s">
        <v>1105</v>
      </c>
      <c r="E83" t="s">
        <v>1106</v>
      </c>
      <c r="F83" t="s">
        <v>1107</v>
      </c>
      <c r="G83" t="s">
        <v>1108</v>
      </c>
      <c r="H83" t="s">
        <v>1109</v>
      </c>
      <c r="I83" t="s">
        <v>1110</v>
      </c>
      <c r="J83" t="s">
        <v>1111</v>
      </c>
      <c r="K83" t="s">
        <v>1112</v>
      </c>
      <c r="L83" t="s">
        <v>1113</v>
      </c>
      <c r="M83" t="s">
        <v>130</v>
      </c>
      <c r="N83" t="s">
        <v>131</v>
      </c>
    </row>
    <row r="84" spans="1:14">
      <c r="A84" t="s">
        <v>1114</v>
      </c>
      <c r="B84" t="s">
        <v>1115</v>
      </c>
      <c r="C84" t="s">
        <v>1116</v>
      </c>
      <c r="D84" t="s">
        <v>1117</v>
      </c>
      <c r="E84" t="s">
        <v>1118</v>
      </c>
      <c r="F84" t="s">
        <v>1119</v>
      </c>
      <c r="G84" t="s">
        <v>1120</v>
      </c>
      <c r="H84" t="s">
        <v>1121</v>
      </c>
      <c r="I84" t="s">
        <v>1122</v>
      </c>
      <c r="J84" t="s">
        <v>1123</v>
      </c>
      <c r="K84" t="s">
        <v>1124</v>
      </c>
      <c r="L84" t="s">
        <v>1125</v>
      </c>
      <c r="M84" t="s">
        <v>130</v>
      </c>
      <c r="N84" t="s">
        <v>131</v>
      </c>
    </row>
    <row r="85" spans="1:14">
      <c r="A85" t="s">
        <v>1126</v>
      </c>
      <c r="B85" t="s">
        <v>1127</v>
      </c>
      <c r="C85" t="s">
        <v>1128</v>
      </c>
      <c r="D85" t="s">
        <v>1129</v>
      </c>
      <c r="E85" t="s">
        <v>1130</v>
      </c>
      <c r="F85" t="s">
        <v>1131</v>
      </c>
      <c r="G85" t="s">
        <v>1132</v>
      </c>
      <c r="H85" t="s">
        <v>1133</v>
      </c>
      <c r="I85" t="s">
        <v>1134</v>
      </c>
      <c r="J85" t="s">
        <v>1135</v>
      </c>
      <c r="K85" t="s">
        <v>1136</v>
      </c>
      <c r="L85" t="s">
        <v>1137</v>
      </c>
      <c r="M85" t="s">
        <v>1138</v>
      </c>
      <c r="N85" t="s">
        <v>1139</v>
      </c>
    </row>
    <row r="86" spans="1:14">
      <c r="A86" t="s">
        <v>1140</v>
      </c>
      <c r="B86" t="s">
        <v>1141</v>
      </c>
      <c r="C86" t="s">
        <v>1142</v>
      </c>
      <c r="D86" t="s">
        <v>1143</v>
      </c>
      <c r="E86" t="s">
        <v>1144</v>
      </c>
      <c r="F86" t="s">
        <v>1145</v>
      </c>
      <c r="G86" t="s">
        <v>1146</v>
      </c>
      <c r="H86" t="s">
        <v>1147</v>
      </c>
      <c r="I86" t="s">
        <v>1148</v>
      </c>
      <c r="J86" t="s">
        <v>1149</v>
      </c>
      <c r="K86" t="s">
        <v>1150</v>
      </c>
      <c r="L86" t="s">
        <v>1151</v>
      </c>
      <c r="M86" t="s">
        <v>1152</v>
      </c>
      <c r="N86" t="s">
        <v>1153</v>
      </c>
    </row>
    <row r="87" spans="1:14">
      <c r="A87" t="s">
        <v>1154</v>
      </c>
      <c r="B87" t="s">
        <v>1155</v>
      </c>
      <c r="C87" t="s">
        <v>1156</v>
      </c>
      <c r="D87" t="s">
        <v>1157</v>
      </c>
      <c r="E87" t="s">
        <v>1158</v>
      </c>
      <c r="F87" t="s">
        <v>1159</v>
      </c>
      <c r="G87" t="s">
        <v>1160</v>
      </c>
      <c r="H87" t="s">
        <v>1161</v>
      </c>
      <c r="I87" t="s">
        <v>1162</v>
      </c>
      <c r="J87" t="s">
        <v>1163</v>
      </c>
      <c r="K87" t="s">
        <v>1164</v>
      </c>
      <c r="L87" t="s">
        <v>1165</v>
      </c>
      <c r="M87" t="s">
        <v>527</v>
      </c>
      <c r="N87" t="s">
        <v>528</v>
      </c>
    </row>
    <row r="88" spans="1:14">
      <c r="A88" t="s">
        <v>1166</v>
      </c>
      <c r="B88" t="s">
        <v>1167</v>
      </c>
      <c r="C88" t="s">
        <v>1168</v>
      </c>
      <c r="D88" t="s">
        <v>1169</v>
      </c>
      <c r="E88" t="s">
        <v>1170</v>
      </c>
      <c r="F88" t="s">
        <v>1171</v>
      </c>
      <c r="G88" t="s">
        <v>1172</v>
      </c>
      <c r="H88" t="s">
        <v>1173</v>
      </c>
      <c r="I88" t="s">
        <v>1174</v>
      </c>
      <c r="J88" t="s">
        <v>1175</v>
      </c>
      <c r="K88" t="s">
        <v>1176</v>
      </c>
      <c r="L88" t="s">
        <v>1177</v>
      </c>
      <c r="M88" t="s">
        <v>1178</v>
      </c>
      <c r="N88" t="s">
        <v>1179</v>
      </c>
    </row>
    <row r="89" spans="1:14">
      <c r="A89" t="s">
        <v>1180</v>
      </c>
      <c r="B89" t="s">
        <v>1181</v>
      </c>
      <c r="C89" t="s">
        <v>1182</v>
      </c>
      <c r="D89" t="s">
        <v>1183</v>
      </c>
      <c r="E89" t="s">
        <v>1184</v>
      </c>
      <c r="F89" t="s">
        <v>1185</v>
      </c>
      <c r="G89" t="s">
        <v>1186</v>
      </c>
      <c r="H89" t="s">
        <v>1187</v>
      </c>
      <c r="I89" t="s">
        <v>1188</v>
      </c>
      <c r="J89" t="s">
        <v>1189</v>
      </c>
      <c r="K89" t="s">
        <v>1190</v>
      </c>
      <c r="L89" t="s">
        <v>1191</v>
      </c>
      <c r="M89" t="s">
        <v>1192</v>
      </c>
      <c r="N89" t="s">
        <v>1193</v>
      </c>
    </row>
    <row r="90" spans="1:14">
      <c r="A90" t="s">
        <v>1194</v>
      </c>
      <c r="B90" t="s">
        <v>1195</v>
      </c>
      <c r="C90" t="s">
        <v>1196</v>
      </c>
      <c r="D90" t="s">
        <v>1197</v>
      </c>
      <c r="E90" t="s">
        <v>1198</v>
      </c>
      <c r="F90" t="s">
        <v>1199</v>
      </c>
      <c r="G90" t="s">
        <v>1200</v>
      </c>
      <c r="H90" t="s">
        <v>1201</v>
      </c>
      <c r="I90" t="s">
        <v>1202</v>
      </c>
      <c r="J90" t="s">
        <v>1203</v>
      </c>
      <c r="K90" t="s">
        <v>1204</v>
      </c>
      <c r="L90" t="s">
        <v>1205</v>
      </c>
      <c r="M90" t="s">
        <v>1206</v>
      </c>
      <c r="N90" t="s">
        <v>1207</v>
      </c>
    </row>
    <row r="91" spans="1:14">
      <c r="A91" t="s">
        <v>1208</v>
      </c>
      <c r="B91" t="s">
        <v>1209</v>
      </c>
      <c r="C91" t="s">
        <v>1210</v>
      </c>
      <c r="D91" t="s">
        <v>1211</v>
      </c>
      <c r="E91" t="s">
        <v>1212</v>
      </c>
      <c r="F91" t="s">
        <v>1213</v>
      </c>
      <c r="G91" t="s">
        <v>1214</v>
      </c>
      <c r="H91" t="s">
        <v>1215</v>
      </c>
      <c r="I91" t="s">
        <v>1216</v>
      </c>
      <c r="J91" t="s">
        <v>1217</v>
      </c>
      <c r="K91" t="s">
        <v>1218</v>
      </c>
      <c r="L91" t="s">
        <v>1219</v>
      </c>
      <c r="M91" t="s">
        <v>1220</v>
      </c>
      <c r="N91" t="s">
        <v>1221</v>
      </c>
    </row>
    <row r="92" spans="1:14">
      <c r="A92" t="s">
        <v>1222</v>
      </c>
      <c r="B92" t="s">
        <v>1223</v>
      </c>
      <c r="C92" t="s">
        <v>1224</v>
      </c>
      <c r="D92" t="s">
        <v>1225</v>
      </c>
      <c r="E92" t="s">
        <v>1226</v>
      </c>
      <c r="F92" t="s">
        <v>1227</v>
      </c>
      <c r="G92" t="s">
        <v>1228</v>
      </c>
      <c r="H92" t="s">
        <v>1229</v>
      </c>
      <c r="I92" t="s">
        <v>1230</v>
      </c>
      <c r="J92" t="s">
        <v>1231</v>
      </c>
      <c r="K92" t="s">
        <v>1232</v>
      </c>
      <c r="L92" t="s">
        <v>1233</v>
      </c>
      <c r="M92" t="s">
        <v>1234</v>
      </c>
      <c r="N92" t="s">
        <v>1235</v>
      </c>
    </row>
    <row r="93" spans="1:14">
      <c r="A93" t="s">
        <v>1236</v>
      </c>
      <c r="B93" t="s">
        <v>1237</v>
      </c>
      <c r="C93" t="s">
        <v>1238</v>
      </c>
      <c r="D93" t="s">
        <v>1239</v>
      </c>
      <c r="E93" t="s">
        <v>1240</v>
      </c>
      <c r="F93" t="s">
        <v>1241</v>
      </c>
      <c r="G93" t="s">
        <v>1242</v>
      </c>
      <c r="H93" t="s">
        <v>1243</v>
      </c>
      <c r="I93" t="s">
        <v>1244</v>
      </c>
      <c r="J93" t="s">
        <v>1245</v>
      </c>
      <c r="K93" t="s">
        <v>1246</v>
      </c>
      <c r="L93" t="s">
        <v>1247</v>
      </c>
      <c r="M93" t="s">
        <v>130</v>
      </c>
      <c r="N93" t="s">
        <v>131</v>
      </c>
    </row>
    <row r="94" spans="1:14">
      <c r="A94" t="s">
        <v>1248</v>
      </c>
      <c r="B94" t="s">
        <v>1249</v>
      </c>
      <c r="C94" t="s">
        <v>1250</v>
      </c>
      <c r="D94" t="s">
        <v>1251</v>
      </c>
      <c r="E94" t="s">
        <v>1252</v>
      </c>
      <c r="F94" t="s">
        <v>1253</v>
      </c>
      <c r="G94" t="s">
        <v>1254</v>
      </c>
      <c r="H94" t="s">
        <v>1255</v>
      </c>
      <c r="I94" t="s">
        <v>1256</v>
      </c>
      <c r="J94" t="s">
        <v>1257</v>
      </c>
      <c r="K94" t="s">
        <v>1258</v>
      </c>
      <c r="L94" t="s">
        <v>1259</v>
      </c>
      <c r="M94" t="s">
        <v>130</v>
      </c>
      <c r="N94" t="s">
        <v>131</v>
      </c>
    </row>
    <row r="95" spans="1:14">
      <c r="A95" t="s">
        <v>1260</v>
      </c>
      <c r="B95" t="s">
        <v>1261</v>
      </c>
      <c r="C95" t="s">
        <v>1262</v>
      </c>
      <c r="D95" t="s">
        <v>1263</v>
      </c>
      <c r="E95" t="s">
        <v>1264</v>
      </c>
      <c r="F95" t="s">
        <v>1265</v>
      </c>
      <c r="G95" t="s">
        <v>1266</v>
      </c>
      <c r="H95" t="s">
        <v>1267</v>
      </c>
      <c r="I95" t="s">
        <v>1268</v>
      </c>
      <c r="J95" t="s">
        <v>1269</v>
      </c>
      <c r="K95" t="s">
        <v>1270</v>
      </c>
      <c r="L95" t="s">
        <v>1271</v>
      </c>
      <c r="M95" t="s">
        <v>130</v>
      </c>
      <c r="N95" t="s">
        <v>131</v>
      </c>
    </row>
    <row r="96" spans="1:14">
      <c r="A96" t="s">
        <v>1272</v>
      </c>
      <c r="B96" t="s">
        <v>1273</v>
      </c>
      <c r="C96" t="s">
        <v>1274</v>
      </c>
      <c r="D96" t="s">
        <v>1275</v>
      </c>
      <c r="E96" t="s">
        <v>1276</v>
      </c>
      <c r="F96" t="s">
        <v>1277</v>
      </c>
      <c r="G96" t="s">
        <v>1278</v>
      </c>
      <c r="H96" t="s">
        <v>1279</v>
      </c>
      <c r="I96" t="s">
        <v>1280</v>
      </c>
      <c r="J96" t="s">
        <v>1281</v>
      </c>
      <c r="K96" t="s">
        <v>1282</v>
      </c>
      <c r="L96" t="s">
        <v>1283</v>
      </c>
      <c r="M96" t="s">
        <v>130</v>
      </c>
      <c r="N96" t="s">
        <v>131</v>
      </c>
    </row>
    <row r="97" spans="1:14">
      <c r="A97" t="s">
        <v>1284</v>
      </c>
      <c r="B97" t="s">
        <v>1285</v>
      </c>
      <c r="C97" t="s">
        <v>1286</v>
      </c>
      <c r="D97" t="s">
        <v>1287</v>
      </c>
      <c r="E97" t="s">
        <v>1288</v>
      </c>
      <c r="F97" t="s">
        <v>1289</v>
      </c>
      <c r="G97" t="s">
        <v>1290</v>
      </c>
      <c r="H97" t="s">
        <v>1291</v>
      </c>
      <c r="I97" t="s">
        <v>1292</v>
      </c>
      <c r="J97" t="s">
        <v>1293</v>
      </c>
      <c r="K97" t="s">
        <v>1294</v>
      </c>
      <c r="L97" t="s">
        <v>1295</v>
      </c>
      <c r="M97" t="s">
        <v>1296</v>
      </c>
      <c r="N97" t="s">
        <v>1297</v>
      </c>
    </row>
    <row r="98" spans="1:14">
      <c r="A98" t="s">
        <v>1298</v>
      </c>
      <c r="B98" t="s">
        <v>1299</v>
      </c>
      <c r="C98" t="s">
        <v>1300</v>
      </c>
      <c r="D98" t="s">
        <v>1301</v>
      </c>
      <c r="E98" t="s">
        <v>1302</v>
      </c>
      <c r="F98" t="s">
        <v>1303</v>
      </c>
      <c r="G98" t="s">
        <v>1304</v>
      </c>
      <c r="H98" t="s">
        <v>1305</v>
      </c>
      <c r="I98" t="s">
        <v>1306</v>
      </c>
      <c r="J98" t="s">
        <v>1307</v>
      </c>
      <c r="K98" t="s">
        <v>1308</v>
      </c>
      <c r="L98" t="s">
        <v>1309</v>
      </c>
      <c r="M98" t="s">
        <v>1310</v>
      </c>
      <c r="N98" t="s">
        <v>1311</v>
      </c>
    </row>
    <row r="99" spans="1:14">
      <c r="A99" t="s">
        <v>1312</v>
      </c>
      <c r="B99" t="s">
        <v>1313</v>
      </c>
      <c r="C99" t="s">
        <v>1314</v>
      </c>
      <c r="D99" t="s">
        <v>1315</v>
      </c>
      <c r="E99" t="s">
        <v>1316</v>
      </c>
      <c r="F99" t="s">
        <v>1317</v>
      </c>
      <c r="G99" t="s">
        <v>1318</v>
      </c>
      <c r="H99" t="s">
        <v>1319</v>
      </c>
      <c r="I99" t="s">
        <v>1320</v>
      </c>
      <c r="J99" t="s">
        <v>1321</v>
      </c>
      <c r="K99" t="s">
        <v>1322</v>
      </c>
      <c r="L99" t="s">
        <v>1323</v>
      </c>
      <c r="M99" t="s">
        <v>1324</v>
      </c>
      <c r="N99" t="s">
        <v>1325</v>
      </c>
    </row>
    <row r="100" spans="1:14">
      <c r="A100" t="s">
        <v>1326</v>
      </c>
      <c r="B100" t="s">
        <v>1327</v>
      </c>
      <c r="C100" t="s">
        <v>1328</v>
      </c>
      <c r="D100" t="s">
        <v>1329</v>
      </c>
      <c r="E100" t="s">
        <v>1330</v>
      </c>
      <c r="F100" t="s">
        <v>1331</v>
      </c>
      <c r="G100" t="s">
        <v>1332</v>
      </c>
      <c r="H100" t="s">
        <v>1333</v>
      </c>
      <c r="I100" t="s">
        <v>1334</v>
      </c>
      <c r="J100" t="s">
        <v>1335</v>
      </c>
      <c r="K100" t="s">
        <v>1336</v>
      </c>
      <c r="L100" t="s">
        <v>1337</v>
      </c>
      <c r="M100" t="s">
        <v>1338</v>
      </c>
      <c r="N100" t="s">
        <v>1339</v>
      </c>
    </row>
    <row r="101" spans="1:14">
      <c r="A101" t="s">
        <v>1340</v>
      </c>
      <c r="B101" t="s">
        <v>1341</v>
      </c>
      <c r="C101" t="s">
        <v>1342</v>
      </c>
      <c r="D101" t="s">
        <v>1343</v>
      </c>
      <c r="E101" t="s">
        <v>1344</v>
      </c>
      <c r="F101" t="s">
        <v>1345</v>
      </c>
      <c r="G101" t="s">
        <v>1346</v>
      </c>
      <c r="H101" t="s">
        <v>1347</v>
      </c>
      <c r="I101" t="s">
        <v>1348</v>
      </c>
      <c r="J101" t="s">
        <v>1349</v>
      </c>
      <c r="K101" t="s">
        <v>1350</v>
      </c>
      <c r="L101" t="s">
        <v>1351</v>
      </c>
      <c r="M101" t="s">
        <v>1352</v>
      </c>
      <c r="N101" t="s">
        <v>1353</v>
      </c>
    </row>
    <row r="102" spans="1:14">
      <c r="A102" t="s">
        <v>1354</v>
      </c>
      <c r="B102" t="s">
        <v>1355</v>
      </c>
      <c r="C102" t="s">
        <v>1356</v>
      </c>
      <c r="D102" t="s">
        <v>1357</v>
      </c>
      <c r="E102" t="s">
        <v>1358</v>
      </c>
      <c r="F102" t="s">
        <v>1359</v>
      </c>
      <c r="G102" t="s">
        <v>1360</v>
      </c>
      <c r="H102" t="s">
        <v>1361</v>
      </c>
      <c r="I102" t="s">
        <v>1362</v>
      </c>
      <c r="J102" t="s">
        <v>1363</v>
      </c>
      <c r="K102" t="s">
        <v>1364</v>
      </c>
      <c r="L102" t="s">
        <v>1365</v>
      </c>
      <c r="M102" t="s">
        <v>1366</v>
      </c>
      <c r="N102" t="s">
        <v>1367</v>
      </c>
    </row>
    <row r="103" spans="1:14">
      <c r="A103" t="s">
        <v>1368</v>
      </c>
      <c r="B103" t="s">
        <v>1369</v>
      </c>
      <c r="C103" t="s">
        <v>1370</v>
      </c>
      <c r="D103" t="s">
        <v>1371</v>
      </c>
      <c r="E103" t="s">
        <v>1372</v>
      </c>
      <c r="F103" t="s">
        <v>1373</v>
      </c>
      <c r="G103" t="s">
        <v>1374</v>
      </c>
      <c r="H103" t="s">
        <v>1375</v>
      </c>
      <c r="I103" t="s">
        <v>1376</v>
      </c>
      <c r="J103" t="s">
        <v>1377</v>
      </c>
      <c r="K103" t="s">
        <v>1378</v>
      </c>
      <c r="L103" t="s">
        <v>1379</v>
      </c>
      <c r="M103" t="s">
        <v>1380</v>
      </c>
      <c r="N103" t="s">
        <v>1381</v>
      </c>
    </row>
    <row r="104" spans="1:14">
      <c r="A104" t="s">
        <v>1382</v>
      </c>
      <c r="B104" t="s">
        <v>1383</v>
      </c>
      <c r="C104" t="s">
        <v>1384</v>
      </c>
      <c r="D104" t="s">
        <v>1385</v>
      </c>
      <c r="E104" t="s">
        <v>1386</v>
      </c>
      <c r="F104" t="s">
        <v>1387</v>
      </c>
      <c r="G104" t="s">
        <v>1388</v>
      </c>
      <c r="H104" t="s">
        <v>1389</v>
      </c>
      <c r="I104" t="s">
        <v>1390</v>
      </c>
      <c r="J104" t="s">
        <v>1391</v>
      </c>
      <c r="K104" t="s">
        <v>1392</v>
      </c>
      <c r="L104" t="s">
        <v>1393</v>
      </c>
      <c r="M104" t="s">
        <v>1394</v>
      </c>
      <c r="N104" t="s">
        <v>1395</v>
      </c>
    </row>
    <row r="105" spans="1:14">
      <c r="A105" t="s">
        <v>1396</v>
      </c>
      <c r="B105" t="s">
        <v>1397</v>
      </c>
      <c r="C105" t="s">
        <v>1398</v>
      </c>
      <c r="D105" t="s">
        <v>1399</v>
      </c>
      <c r="E105" t="s">
        <v>1400</v>
      </c>
      <c r="F105" t="s">
        <v>1401</v>
      </c>
      <c r="G105" t="s">
        <v>1402</v>
      </c>
      <c r="H105" t="s">
        <v>1403</v>
      </c>
      <c r="I105" t="s">
        <v>1404</v>
      </c>
      <c r="J105" t="s">
        <v>1405</v>
      </c>
      <c r="K105" t="s">
        <v>1406</v>
      </c>
      <c r="L105" t="s">
        <v>1407</v>
      </c>
      <c r="M105" t="s">
        <v>130</v>
      </c>
      <c r="N105" t="s">
        <v>131</v>
      </c>
    </row>
    <row r="106" spans="1:14">
      <c r="A106" t="s">
        <v>1408</v>
      </c>
      <c r="B106" t="s">
        <v>1409</v>
      </c>
      <c r="C106" t="s">
        <v>1410</v>
      </c>
      <c r="D106" t="s">
        <v>1411</v>
      </c>
      <c r="E106" t="s">
        <v>1412</v>
      </c>
      <c r="F106" t="s">
        <v>1413</v>
      </c>
      <c r="G106" t="s">
        <v>1414</v>
      </c>
      <c r="H106" t="s">
        <v>1415</v>
      </c>
      <c r="I106" t="s">
        <v>1416</v>
      </c>
      <c r="J106" t="s">
        <v>1417</v>
      </c>
      <c r="K106" t="s">
        <v>1418</v>
      </c>
      <c r="L106" t="s">
        <v>1419</v>
      </c>
      <c r="M106" t="s">
        <v>130</v>
      </c>
      <c r="N106" t="s">
        <v>131</v>
      </c>
    </row>
    <row r="107" spans="1:14">
      <c r="A107" t="s">
        <v>1420</v>
      </c>
      <c r="B107" t="s">
        <v>1421</v>
      </c>
      <c r="C107" t="s">
        <v>1422</v>
      </c>
      <c r="D107" t="s">
        <v>1423</v>
      </c>
      <c r="E107" t="s">
        <v>1424</v>
      </c>
      <c r="F107" t="s">
        <v>1425</v>
      </c>
      <c r="G107" t="s">
        <v>1426</v>
      </c>
      <c r="H107" t="s">
        <v>1427</v>
      </c>
      <c r="I107" t="s">
        <v>1428</v>
      </c>
      <c r="J107" t="s">
        <v>1429</v>
      </c>
      <c r="K107" t="s">
        <v>1430</v>
      </c>
      <c r="L107" t="s">
        <v>1431</v>
      </c>
      <c r="M107" t="s">
        <v>130</v>
      </c>
      <c r="N107" t="s">
        <v>131</v>
      </c>
    </row>
    <row r="108" spans="1:14">
      <c r="A108" t="s">
        <v>1432</v>
      </c>
      <c r="B108" t="s">
        <v>1433</v>
      </c>
      <c r="C108" t="s">
        <v>1434</v>
      </c>
      <c r="D108" t="s">
        <v>1435</v>
      </c>
      <c r="E108" t="s">
        <v>1436</v>
      </c>
      <c r="F108" t="s">
        <v>1437</v>
      </c>
      <c r="G108" t="s">
        <v>1438</v>
      </c>
      <c r="H108" t="s">
        <v>1439</v>
      </c>
      <c r="I108" t="s">
        <v>1440</v>
      </c>
      <c r="J108" t="s">
        <v>1441</v>
      </c>
      <c r="K108" t="s">
        <v>1442</v>
      </c>
      <c r="L108" t="s">
        <v>1443</v>
      </c>
      <c r="M108" t="s">
        <v>130</v>
      </c>
      <c r="N108" t="s">
        <v>131</v>
      </c>
    </row>
    <row r="109" spans="1:14">
      <c r="A109" t="s">
        <v>1444</v>
      </c>
      <c r="B109" t="s">
        <v>1445</v>
      </c>
      <c r="C109" t="s">
        <v>1446</v>
      </c>
      <c r="D109" t="s">
        <v>1447</v>
      </c>
      <c r="E109" t="s">
        <v>1448</v>
      </c>
      <c r="F109" t="s">
        <v>1449</v>
      </c>
      <c r="G109" t="s">
        <v>1450</v>
      </c>
      <c r="H109" t="s">
        <v>1451</v>
      </c>
      <c r="I109" t="s">
        <v>1452</v>
      </c>
      <c r="J109" t="s">
        <v>1453</v>
      </c>
      <c r="K109" t="s">
        <v>1454</v>
      </c>
      <c r="L109" t="s">
        <v>1455</v>
      </c>
      <c r="M109" t="s">
        <v>1456</v>
      </c>
      <c r="N109" t="s">
        <v>1457</v>
      </c>
    </row>
    <row r="110" spans="1:14">
      <c r="A110" t="s">
        <v>1458</v>
      </c>
      <c r="B110" t="s">
        <v>1459</v>
      </c>
      <c r="C110" t="s">
        <v>1460</v>
      </c>
      <c r="D110" t="s">
        <v>1461</v>
      </c>
      <c r="E110" t="s">
        <v>1462</v>
      </c>
      <c r="F110" t="s">
        <v>1463</v>
      </c>
      <c r="G110" t="s">
        <v>1464</v>
      </c>
      <c r="H110" t="s">
        <v>1465</v>
      </c>
      <c r="I110" t="s">
        <v>1466</v>
      </c>
      <c r="J110" t="s">
        <v>1467</v>
      </c>
      <c r="K110" t="s">
        <v>1468</v>
      </c>
      <c r="L110" t="s">
        <v>1469</v>
      </c>
      <c r="M110" t="s">
        <v>1470</v>
      </c>
      <c r="N110" t="s">
        <v>1471</v>
      </c>
    </row>
    <row r="111" spans="1:14">
      <c r="A111" t="s">
        <v>1472</v>
      </c>
      <c r="B111" t="s">
        <v>1473</v>
      </c>
      <c r="C111" t="s">
        <v>1474</v>
      </c>
      <c r="D111" t="s">
        <v>1475</v>
      </c>
      <c r="E111" t="s">
        <v>1476</v>
      </c>
      <c r="F111" t="s">
        <v>1477</v>
      </c>
      <c r="G111" t="s">
        <v>1478</v>
      </c>
      <c r="H111" t="s">
        <v>1479</v>
      </c>
      <c r="I111" t="s">
        <v>1480</v>
      </c>
      <c r="J111" t="s">
        <v>1481</v>
      </c>
      <c r="K111" t="s">
        <v>1482</v>
      </c>
      <c r="L111" t="s">
        <v>1483</v>
      </c>
      <c r="M111" t="s">
        <v>1484</v>
      </c>
      <c r="N111" t="s">
        <v>1485</v>
      </c>
    </row>
    <row r="112" spans="1:14">
      <c r="A112" t="s">
        <v>1486</v>
      </c>
      <c r="B112" t="s">
        <v>1487</v>
      </c>
      <c r="C112" t="s">
        <v>1488</v>
      </c>
      <c r="D112" t="s">
        <v>1489</v>
      </c>
      <c r="E112" t="s">
        <v>1490</v>
      </c>
      <c r="F112" t="s">
        <v>1491</v>
      </c>
      <c r="G112" t="s">
        <v>1492</v>
      </c>
      <c r="H112" t="s">
        <v>1493</v>
      </c>
      <c r="I112" t="s">
        <v>1494</v>
      </c>
      <c r="J112" t="s">
        <v>1495</v>
      </c>
      <c r="K112" t="s">
        <v>1496</v>
      </c>
      <c r="L112" t="s">
        <v>1497</v>
      </c>
      <c r="M112" t="s">
        <v>1498</v>
      </c>
      <c r="N112" t="s">
        <v>1499</v>
      </c>
    </row>
    <row r="113" spans="1:14">
      <c r="A113" t="s">
        <v>1500</v>
      </c>
      <c r="B113" t="s">
        <v>1501</v>
      </c>
      <c r="C113" t="s">
        <v>1502</v>
      </c>
      <c r="D113" t="s">
        <v>1503</v>
      </c>
      <c r="E113" t="s">
        <v>1504</v>
      </c>
      <c r="F113" t="s">
        <v>1505</v>
      </c>
      <c r="G113" t="s">
        <v>1506</v>
      </c>
      <c r="H113" t="s">
        <v>1507</v>
      </c>
      <c r="I113" t="s">
        <v>1508</v>
      </c>
      <c r="J113" t="s">
        <v>1509</v>
      </c>
      <c r="K113" t="s">
        <v>1510</v>
      </c>
      <c r="L113" t="s">
        <v>1511</v>
      </c>
      <c r="M113" t="s">
        <v>1512</v>
      </c>
      <c r="N113" t="s">
        <v>1513</v>
      </c>
    </row>
    <row r="114" spans="1:14">
      <c r="A114" t="s">
        <v>1514</v>
      </c>
      <c r="B114" t="s">
        <v>1515</v>
      </c>
      <c r="C114" t="s">
        <v>1516</v>
      </c>
      <c r="D114" t="s">
        <v>1517</v>
      </c>
      <c r="E114" t="s">
        <v>1518</v>
      </c>
      <c r="F114" t="s">
        <v>1519</v>
      </c>
      <c r="G114" t="s">
        <v>1520</v>
      </c>
      <c r="H114" t="s">
        <v>1521</v>
      </c>
      <c r="I114" t="s">
        <v>1522</v>
      </c>
      <c r="J114" t="s">
        <v>1523</v>
      </c>
      <c r="K114" t="s">
        <v>1524</v>
      </c>
      <c r="L114" t="s">
        <v>1525</v>
      </c>
      <c r="M114" t="s">
        <v>1526</v>
      </c>
      <c r="N114" t="s">
        <v>1063</v>
      </c>
    </row>
    <row r="115" spans="1:14">
      <c r="A115" t="s">
        <v>1527</v>
      </c>
      <c r="B115" t="s">
        <v>1528</v>
      </c>
      <c r="C115" t="s">
        <v>1529</v>
      </c>
      <c r="D115" t="s">
        <v>1530</v>
      </c>
      <c r="E115" t="s">
        <v>1531</v>
      </c>
      <c r="F115" t="s">
        <v>1532</v>
      </c>
      <c r="G115" t="s">
        <v>1533</v>
      </c>
      <c r="H115" t="s">
        <v>1534</v>
      </c>
      <c r="I115" t="s">
        <v>1535</v>
      </c>
      <c r="J115" t="s">
        <v>1536</v>
      </c>
      <c r="K115" t="s">
        <v>1537</v>
      </c>
      <c r="L115" t="s">
        <v>1538</v>
      </c>
      <c r="M115" t="s">
        <v>1539</v>
      </c>
      <c r="N115" t="s">
        <v>1540</v>
      </c>
    </row>
    <row r="116" spans="1:14">
      <c r="A116" t="s">
        <v>1541</v>
      </c>
      <c r="B116" t="s">
        <v>1542</v>
      </c>
      <c r="C116" t="s">
        <v>1543</v>
      </c>
      <c r="D116" t="s">
        <v>1544</v>
      </c>
      <c r="E116" t="s">
        <v>1545</v>
      </c>
      <c r="F116" t="s">
        <v>1546</v>
      </c>
      <c r="G116" t="s">
        <v>1547</v>
      </c>
      <c r="H116" t="s">
        <v>1548</v>
      </c>
      <c r="I116" t="s">
        <v>1549</v>
      </c>
      <c r="J116" t="s">
        <v>1550</v>
      </c>
      <c r="K116" t="s">
        <v>1551</v>
      </c>
      <c r="L116" t="s">
        <v>1552</v>
      </c>
      <c r="M116" t="s">
        <v>1553</v>
      </c>
      <c r="N116" t="s">
        <v>1554</v>
      </c>
    </row>
    <row r="117" spans="1:14">
      <c r="A117" t="s">
        <v>1555</v>
      </c>
      <c r="B117" t="s">
        <v>1556</v>
      </c>
      <c r="C117" t="s">
        <v>1557</v>
      </c>
      <c r="D117" t="s">
        <v>1558</v>
      </c>
      <c r="E117" t="s">
        <v>1559</v>
      </c>
      <c r="F117" t="s">
        <v>1560</v>
      </c>
      <c r="G117" t="s">
        <v>1561</v>
      </c>
      <c r="H117" t="s">
        <v>1562</v>
      </c>
      <c r="I117" t="s">
        <v>1563</v>
      </c>
      <c r="J117" t="s">
        <v>1564</v>
      </c>
      <c r="K117" t="s">
        <v>1565</v>
      </c>
      <c r="L117" t="s">
        <v>1566</v>
      </c>
      <c r="M117" t="s">
        <v>130</v>
      </c>
      <c r="N117" t="s">
        <v>131</v>
      </c>
    </row>
    <row r="118" spans="1:14">
      <c r="A118" t="s">
        <v>1567</v>
      </c>
      <c r="B118" t="s">
        <v>1568</v>
      </c>
      <c r="C118" t="s">
        <v>1569</v>
      </c>
      <c r="D118" t="s">
        <v>1570</v>
      </c>
      <c r="E118" t="s">
        <v>1571</v>
      </c>
      <c r="F118" t="s">
        <v>1572</v>
      </c>
      <c r="G118" t="s">
        <v>1573</v>
      </c>
      <c r="H118" t="s">
        <v>1574</v>
      </c>
      <c r="I118" t="s">
        <v>1575</v>
      </c>
      <c r="J118" t="s">
        <v>1576</v>
      </c>
      <c r="K118" t="s">
        <v>1577</v>
      </c>
      <c r="L118" t="s">
        <v>1578</v>
      </c>
      <c r="M118" t="s">
        <v>130</v>
      </c>
      <c r="N118" t="s">
        <v>131</v>
      </c>
    </row>
    <row r="119" spans="1:14">
      <c r="A119" t="s">
        <v>1579</v>
      </c>
      <c r="B119" t="s">
        <v>1580</v>
      </c>
      <c r="C119" t="s">
        <v>1581</v>
      </c>
      <c r="D119" t="s">
        <v>1582</v>
      </c>
      <c r="E119" t="s">
        <v>1583</v>
      </c>
      <c r="F119" t="s">
        <v>1584</v>
      </c>
      <c r="G119" t="s">
        <v>1585</v>
      </c>
      <c r="H119" t="s">
        <v>1586</v>
      </c>
      <c r="I119" t="s">
        <v>1587</v>
      </c>
      <c r="J119" t="s">
        <v>1588</v>
      </c>
      <c r="K119" t="s">
        <v>1589</v>
      </c>
      <c r="L119" t="s">
        <v>1590</v>
      </c>
      <c r="M119" t="s">
        <v>130</v>
      </c>
      <c r="N119" t="s">
        <v>131</v>
      </c>
    </row>
    <row r="120" spans="1:14">
      <c r="A120" t="s">
        <v>1591</v>
      </c>
      <c r="B120" t="s">
        <v>1592</v>
      </c>
      <c r="C120" t="s">
        <v>1593</v>
      </c>
      <c r="D120" t="s">
        <v>1594</v>
      </c>
      <c r="E120" t="s">
        <v>1595</v>
      </c>
      <c r="F120" t="s">
        <v>1596</v>
      </c>
      <c r="G120" t="s">
        <v>1597</v>
      </c>
      <c r="H120" t="s">
        <v>1598</v>
      </c>
      <c r="I120" t="s">
        <v>1599</v>
      </c>
      <c r="J120" t="s">
        <v>1600</v>
      </c>
      <c r="K120" t="s">
        <v>1601</v>
      </c>
      <c r="L120" t="s">
        <v>1602</v>
      </c>
      <c r="M120" t="s">
        <v>130</v>
      </c>
      <c r="N120" t="s">
        <v>131</v>
      </c>
    </row>
    <row r="121" spans="1:14">
      <c r="A121" t="s">
        <v>1603</v>
      </c>
      <c r="B121" t="s">
        <v>1604</v>
      </c>
      <c r="C121" t="s">
        <v>1605</v>
      </c>
      <c r="D121" t="s">
        <v>1606</v>
      </c>
      <c r="E121" t="s">
        <v>1607</v>
      </c>
      <c r="F121" t="s">
        <v>1608</v>
      </c>
      <c r="G121" t="s">
        <v>1609</v>
      </c>
      <c r="H121" t="s">
        <v>1610</v>
      </c>
      <c r="I121" t="s">
        <v>1611</v>
      </c>
      <c r="J121" t="s">
        <v>1612</v>
      </c>
      <c r="K121" t="s">
        <v>1613</v>
      </c>
      <c r="L121" t="s">
        <v>1614</v>
      </c>
      <c r="M121" t="s">
        <v>1615</v>
      </c>
      <c r="N121" t="s">
        <v>1616</v>
      </c>
    </row>
    <row r="122" spans="1:14">
      <c r="A122" t="s">
        <v>1617</v>
      </c>
      <c r="B122" t="s">
        <v>1618</v>
      </c>
      <c r="C122" t="s">
        <v>1619</v>
      </c>
      <c r="D122" t="s">
        <v>1620</v>
      </c>
      <c r="E122" t="s">
        <v>1621</v>
      </c>
      <c r="F122" t="s">
        <v>1622</v>
      </c>
      <c r="G122" t="s">
        <v>1623</v>
      </c>
      <c r="H122" t="s">
        <v>1624</v>
      </c>
      <c r="I122" t="s">
        <v>1625</v>
      </c>
      <c r="J122" t="s">
        <v>1626</v>
      </c>
      <c r="K122" t="s">
        <v>1627</v>
      </c>
      <c r="L122" t="s">
        <v>1628</v>
      </c>
      <c r="M122" t="s">
        <v>1629</v>
      </c>
      <c r="N122" t="s">
        <v>1630</v>
      </c>
    </row>
    <row r="123" spans="1:14">
      <c r="A123" t="s">
        <v>1631</v>
      </c>
      <c r="B123" t="s">
        <v>1632</v>
      </c>
      <c r="C123" t="s">
        <v>1633</v>
      </c>
      <c r="D123" t="s">
        <v>1634</v>
      </c>
      <c r="E123" t="s">
        <v>1635</v>
      </c>
      <c r="F123" t="s">
        <v>1636</v>
      </c>
      <c r="G123" t="s">
        <v>1637</v>
      </c>
      <c r="H123" t="s">
        <v>1638</v>
      </c>
      <c r="I123" t="s">
        <v>1639</v>
      </c>
      <c r="J123" t="s">
        <v>1640</v>
      </c>
      <c r="K123" t="s">
        <v>1641</v>
      </c>
      <c r="L123" t="s">
        <v>1642</v>
      </c>
      <c r="M123" t="s">
        <v>1643</v>
      </c>
      <c r="N123" t="s">
        <v>1644</v>
      </c>
    </row>
    <row r="124" spans="1:14">
      <c r="A124" t="s">
        <v>1645</v>
      </c>
      <c r="B124" t="s">
        <v>1646</v>
      </c>
      <c r="C124" t="s">
        <v>1647</v>
      </c>
      <c r="D124" t="s">
        <v>1648</v>
      </c>
      <c r="E124" t="s">
        <v>1649</v>
      </c>
      <c r="F124" t="s">
        <v>1650</v>
      </c>
      <c r="G124" t="s">
        <v>1651</v>
      </c>
      <c r="H124" t="s">
        <v>1652</v>
      </c>
      <c r="I124" t="s">
        <v>1653</v>
      </c>
      <c r="J124" t="s">
        <v>1654</v>
      </c>
      <c r="K124" t="s">
        <v>1655</v>
      </c>
      <c r="L124" t="s">
        <v>1656</v>
      </c>
      <c r="M124" t="s">
        <v>1657</v>
      </c>
      <c r="N124" t="s">
        <v>1658</v>
      </c>
    </row>
    <row r="125" spans="1:14">
      <c r="A125" t="s">
        <v>1659</v>
      </c>
      <c r="B125" t="s">
        <v>1660</v>
      </c>
      <c r="C125" t="s">
        <v>1661</v>
      </c>
      <c r="D125" t="s">
        <v>1662</v>
      </c>
      <c r="E125" t="s">
        <v>1663</v>
      </c>
      <c r="F125" t="s">
        <v>1664</v>
      </c>
      <c r="G125" t="s">
        <v>1665</v>
      </c>
      <c r="H125" t="s">
        <v>1666</v>
      </c>
      <c r="I125" t="s">
        <v>1667</v>
      </c>
      <c r="J125" t="s">
        <v>1668</v>
      </c>
      <c r="K125" t="s">
        <v>1669</v>
      </c>
      <c r="L125" t="s">
        <v>1670</v>
      </c>
      <c r="M125" t="s">
        <v>1671</v>
      </c>
      <c r="N125" t="s">
        <v>688</v>
      </c>
    </row>
    <row r="126" spans="1:14">
      <c r="A126" t="s">
        <v>1672</v>
      </c>
      <c r="B126" t="s">
        <v>1673</v>
      </c>
      <c r="C126" t="s">
        <v>1674</v>
      </c>
      <c r="D126" t="s">
        <v>1675</v>
      </c>
      <c r="E126" t="s">
        <v>1676</v>
      </c>
      <c r="F126" t="s">
        <v>1677</v>
      </c>
      <c r="G126" t="s">
        <v>1678</v>
      </c>
      <c r="H126" t="s">
        <v>1679</v>
      </c>
      <c r="I126" t="s">
        <v>1680</v>
      </c>
      <c r="J126" t="s">
        <v>1681</v>
      </c>
      <c r="K126" t="s">
        <v>1682</v>
      </c>
      <c r="L126" t="s">
        <v>1683</v>
      </c>
      <c r="M126" t="s">
        <v>1684</v>
      </c>
      <c r="N126" t="s">
        <v>1685</v>
      </c>
    </row>
    <row r="127" spans="1:14">
      <c r="A127" t="s">
        <v>1686</v>
      </c>
      <c r="B127" t="s">
        <v>1687</v>
      </c>
      <c r="C127" t="s">
        <v>1688</v>
      </c>
      <c r="D127" t="s">
        <v>1689</v>
      </c>
      <c r="E127" t="s">
        <v>1690</v>
      </c>
      <c r="F127" t="s">
        <v>1691</v>
      </c>
      <c r="G127" t="s">
        <v>1692</v>
      </c>
      <c r="H127" t="s">
        <v>1693</v>
      </c>
      <c r="I127" t="s">
        <v>1694</v>
      </c>
      <c r="J127" t="s">
        <v>1695</v>
      </c>
      <c r="K127" t="s">
        <v>1696</v>
      </c>
      <c r="L127" t="s">
        <v>1697</v>
      </c>
      <c r="M127" t="s">
        <v>1698</v>
      </c>
      <c r="N127" t="s">
        <v>1699</v>
      </c>
    </row>
    <row r="128" spans="1:14">
      <c r="A128" t="s">
        <v>1700</v>
      </c>
      <c r="B128" t="s">
        <v>1701</v>
      </c>
      <c r="C128" t="s">
        <v>1702</v>
      </c>
      <c r="D128" t="s">
        <v>1703</v>
      </c>
      <c r="E128" t="s">
        <v>1704</v>
      </c>
      <c r="F128" t="s">
        <v>1705</v>
      </c>
      <c r="G128" t="s">
        <v>1706</v>
      </c>
      <c r="H128" t="s">
        <v>1707</v>
      </c>
      <c r="I128" t="s">
        <v>1708</v>
      </c>
      <c r="J128" t="s">
        <v>1709</v>
      </c>
      <c r="K128" t="s">
        <v>1710</v>
      </c>
      <c r="L128" t="s">
        <v>1711</v>
      </c>
      <c r="M128" t="s">
        <v>1712</v>
      </c>
      <c r="N128" t="s">
        <v>1713</v>
      </c>
    </row>
    <row r="129" spans="1:14">
      <c r="A129" t="s">
        <v>1714</v>
      </c>
      <c r="B129" t="s">
        <v>1715</v>
      </c>
      <c r="C129" t="s">
        <v>1716</v>
      </c>
      <c r="D129" t="s">
        <v>1717</v>
      </c>
      <c r="E129" t="s">
        <v>1718</v>
      </c>
      <c r="F129" t="s">
        <v>1719</v>
      </c>
      <c r="G129" t="s">
        <v>1720</v>
      </c>
      <c r="H129" t="s">
        <v>1721</v>
      </c>
      <c r="I129" t="s">
        <v>1722</v>
      </c>
      <c r="J129" t="s">
        <v>1723</v>
      </c>
      <c r="K129" t="s">
        <v>1724</v>
      </c>
      <c r="L129" t="s">
        <v>1725</v>
      </c>
      <c r="M129" t="s">
        <v>130</v>
      </c>
      <c r="N129" t="s">
        <v>131</v>
      </c>
    </row>
    <row r="130" spans="1:14">
      <c r="A130" t="s">
        <v>1726</v>
      </c>
      <c r="B130" t="s">
        <v>1727</v>
      </c>
      <c r="C130" t="s">
        <v>1728</v>
      </c>
      <c r="D130" t="s">
        <v>1729</v>
      </c>
      <c r="E130" t="s">
        <v>1730</v>
      </c>
      <c r="F130" t="s">
        <v>1731</v>
      </c>
      <c r="G130" t="s">
        <v>1732</v>
      </c>
      <c r="H130" t="s">
        <v>1733</v>
      </c>
      <c r="I130" t="s">
        <v>1734</v>
      </c>
      <c r="J130" t="s">
        <v>1735</v>
      </c>
      <c r="K130" t="s">
        <v>1736</v>
      </c>
      <c r="L130" t="s">
        <v>1737</v>
      </c>
      <c r="M130" t="s">
        <v>130</v>
      </c>
      <c r="N130" t="s">
        <v>131</v>
      </c>
    </row>
    <row r="131" spans="1:14">
      <c r="A131" t="s">
        <v>1738</v>
      </c>
      <c r="B131" t="s">
        <v>1739</v>
      </c>
      <c r="C131" t="s">
        <v>1740</v>
      </c>
      <c r="D131" t="s">
        <v>1741</v>
      </c>
      <c r="E131" t="s">
        <v>1742</v>
      </c>
      <c r="F131" t="s">
        <v>1743</v>
      </c>
      <c r="G131" t="s">
        <v>1744</v>
      </c>
      <c r="H131" t="s">
        <v>1745</v>
      </c>
      <c r="I131" t="s">
        <v>1746</v>
      </c>
      <c r="J131" t="s">
        <v>1747</v>
      </c>
      <c r="K131" t="s">
        <v>1748</v>
      </c>
      <c r="L131" t="s">
        <v>1749</v>
      </c>
      <c r="M131" t="s">
        <v>130</v>
      </c>
      <c r="N131" t="s">
        <v>131</v>
      </c>
    </row>
    <row r="132" spans="1:14">
      <c r="A132" t="s">
        <v>1750</v>
      </c>
      <c r="B132" t="s">
        <v>1751</v>
      </c>
      <c r="C132" t="s">
        <v>1752</v>
      </c>
      <c r="D132" t="s">
        <v>1753</v>
      </c>
      <c r="E132" t="s">
        <v>1754</v>
      </c>
      <c r="F132" t="s">
        <v>1755</v>
      </c>
      <c r="G132" t="s">
        <v>1756</v>
      </c>
      <c r="H132" t="s">
        <v>1757</v>
      </c>
      <c r="I132" t="s">
        <v>1758</v>
      </c>
      <c r="J132" t="s">
        <v>1759</v>
      </c>
      <c r="K132" t="s">
        <v>1760</v>
      </c>
      <c r="L132" t="s">
        <v>1761</v>
      </c>
      <c r="M132" t="s">
        <v>130</v>
      </c>
      <c r="N132" t="s">
        <v>131</v>
      </c>
    </row>
    <row r="133" spans="1:14">
      <c r="A133" t="s">
        <v>1762</v>
      </c>
      <c r="B133" t="s">
        <v>1763</v>
      </c>
      <c r="C133" t="s">
        <v>1764</v>
      </c>
      <c r="D133" t="s">
        <v>1765</v>
      </c>
      <c r="E133" t="s">
        <v>1766</v>
      </c>
      <c r="F133" t="s">
        <v>1767</v>
      </c>
      <c r="G133" t="s">
        <v>1768</v>
      </c>
      <c r="H133" t="s">
        <v>1769</v>
      </c>
      <c r="I133" t="s">
        <v>1770</v>
      </c>
      <c r="J133" t="s">
        <v>1771</v>
      </c>
      <c r="K133" t="s">
        <v>1772</v>
      </c>
      <c r="L133" t="s">
        <v>1773</v>
      </c>
      <c r="M133" t="s">
        <v>1774</v>
      </c>
      <c r="N133" t="s">
        <v>1775</v>
      </c>
    </row>
    <row r="134" spans="1:14">
      <c r="A134" t="s">
        <v>1776</v>
      </c>
      <c r="B134" t="s">
        <v>1777</v>
      </c>
      <c r="C134" t="s">
        <v>1778</v>
      </c>
      <c r="D134" t="s">
        <v>1779</v>
      </c>
      <c r="E134" t="s">
        <v>1780</v>
      </c>
      <c r="F134" t="s">
        <v>1781</v>
      </c>
      <c r="G134" t="s">
        <v>1782</v>
      </c>
      <c r="H134" t="s">
        <v>1783</v>
      </c>
      <c r="I134" t="s">
        <v>1784</v>
      </c>
      <c r="J134" t="s">
        <v>1785</v>
      </c>
      <c r="K134" t="s">
        <v>1786</v>
      </c>
      <c r="L134" t="s">
        <v>1787</v>
      </c>
      <c r="M134" t="s">
        <v>1788</v>
      </c>
      <c r="N134" t="s">
        <v>1789</v>
      </c>
    </row>
    <row r="135" spans="1:14">
      <c r="A135" t="s">
        <v>1790</v>
      </c>
      <c r="B135" t="s">
        <v>1791</v>
      </c>
      <c r="C135" t="s">
        <v>1792</v>
      </c>
      <c r="D135" t="s">
        <v>1793</v>
      </c>
      <c r="E135" t="s">
        <v>1794</v>
      </c>
      <c r="F135" t="s">
        <v>1795</v>
      </c>
      <c r="G135" t="s">
        <v>1796</v>
      </c>
      <c r="H135" t="s">
        <v>1797</v>
      </c>
      <c r="I135" t="s">
        <v>1798</v>
      </c>
      <c r="J135" t="s">
        <v>1799</v>
      </c>
      <c r="K135" t="s">
        <v>1800</v>
      </c>
      <c r="L135" t="s">
        <v>1801</v>
      </c>
      <c r="M135" t="s">
        <v>1802</v>
      </c>
      <c r="N135" t="s">
        <v>1803</v>
      </c>
    </row>
    <row r="136" spans="1:14">
      <c r="A136" t="s">
        <v>1804</v>
      </c>
      <c r="B136" t="s">
        <v>1805</v>
      </c>
      <c r="C136" t="s">
        <v>1806</v>
      </c>
      <c r="D136" t="s">
        <v>1807</v>
      </c>
      <c r="E136" t="s">
        <v>1808</v>
      </c>
      <c r="F136" t="s">
        <v>1809</v>
      </c>
      <c r="G136" t="s">
        <v>1810</v>
      </c>
      <c r="H136" t="s">
        <v>1811</v>
      </c>
      <c r="I136" t="s">
        <v>1812</v>
      </c>
      <c r="J136" t="s">
        <v>1813</v>
      </c>
      <c r="K136" t="s">
        <v>1814</v>
      </c>
      <c r="L136" t="s">
        <v>1815</v>
      </c>
      <c r="M136" t="s">
        <v>1816</v>
      </c>
      <c r="N136" t="s">
        <v>1817</v>
      </c>
    </row>
    <row r="137" spans="1:14">
      <c r="A137" t="s">
        <v>1818</v>
      </c>
      <c r="B137" t="s">
        <v>1819</v>
      </c>
      <c r="C137" t="s">
        <v>1820</v>
      </c>
      <c r="D137" t="s">
        <v>1821</v>
      </c>
      <c r="E137" t="s">
        <v>1822</v>
      </c>
      <c r="F137" t="s">
        <v>1823</v>
      </c>
      <c r="G137" t="s">
        <v>1824</v>
      </c>
      <c r="H137" t="s">
        <v>1825</v>
      </c>
      <c r="I137" t="s">
        <v>1826</v>
      </c>
      <c r="J137" t="s">
        <v>1827</v>
      </c>
      <c r="K137" t="s">
        <v>1828</v>
      </c>
      <c r="L137" t="s">
        <v>1829</v>
      </c>
      <c r="M137" t="s">
        <v>1830</v>
      </c>
      <c r="N137" t="s">
        <v>1831</v>
      </c>
    </row>
    <row r="138" spans="1:14">
      <c r="A138" t="s">
        <v>1832</v>
      </c>
      <c r="B138" t="s">
        <v>1833</v>
      </c>
      <c r="C138" t="s">
        <v>1834</v>
      </c>
      <c r="D138" t="s">
        <v>1835</v>
      </c>
      <c r="E138" t="s">
        <v>1836</v>
      </c>
      <c r="F138" t="s">
        <v>1837</v>
      </c>
      <c r="G138" t="s">
        <v>1838</v>
      </c>
      <c r="H138" t="s">
        <v>1839</v>
      </c>
      <c r="I138" t="s">
        <v>1840</v>
      </c>
      <c r="J138" t="s">
        <v>1841</v>
      </c>
      <c r="K138" t="s">
        <v>1842</v>
      </c>
      <c r="L138" t="s">
        <v>1843</v>
      </c>
      <c r="M138" t="s">
        <v>1844</v>
      </c>
      <c r="N138" t="s">
        <v>131</v>
      </c>
    </row>
    <row r="139" spans="1:14">
      <c r="A139" t="s">
        <v>1845</v>
      </c>
      <c r="B139" t="s">
        <v>1846</v>
      </c>
      <c r="C139" t="s">
        <v>1847</v>
      </c>
      <c r="D139" t="s">
        <v>1848</v>
      </c>
      <c r="E139" t="s">
        <v>1849</v>
      </c>
      <c r="F139" t="s">
        <v>1850</v>
      </c>
      <c r="G139" t="s">
        <v>1851</v>
      </c>
      <c r="H139" t="s">
        <v>1852</v>
      </c>
      <c r="I139" t="s">
        <v>1853</v>
      </c>
      <c r="J139" t="s">
        <v>1854</v>
      </c>
      <c r="K139" t="s">
        <v>1855</v>
      </c>
      <c r="L139" t="s">
        <v>1856</v>
      </c>
      <c r="M139" t="s">
        <v>1857</v>
      </c>
      <c r="N139" t="s">
        <v>1858</v>
      </c>
    </row>
    <row r="140" spans="1:14">
      <c r="A140" t="s">
        <v>1859</v>
      </c>
      <c r="B140" t="s">
        <v>1860</v>
      </c>
      <c r="C140" t="s">
        <v>1861</v>
      </c>
      <c r="D140" t="s">
        <v>1862</v>
      </c>
      <c r="E140" t="s">
        <v>1863</v>
      </c>
      <c r="F140" t="s">
        <v>1864</v>
      </c>
      <c r="G140" t="s">
        <v>1865</v>
      </c>
      <c r="H140" t="s">
        <v>1866</v>
      </c>
      <c r="I140" t="s">
        <v>1867</v>
      </c>
      <c r="J140" t="s">
        <v>1868</v>
      </c>
      <c r="K140" t="s">
        <v>1869</v>
      </c>
      <c r="L140" t="s">
        <v>1870</v>
      </c>
      <c r="M140" t="s">
        <v>1871</v>
      </c>
      <c r="N140" t="s">
        <v>1872</v>
      </c>
    </row>
    <row r="141" spans="1:14">
      <c r="A141" t="s">
        <v>1873</v>
      </c>
      <c r="B141" t="s">
        <v>1874</v>
      </c>
      <c r="C141" t="s">
        <v>1875</v>
      </c>
      <c r="D141" t="s">
        <v>1876</v>
      </c>
      <c r="E141" t="s">
        <v>1877</v>
      </c>
      <c r="F141" t="s">
        <v>1878</v>
      </c>
      <c r="G141" t="s">
        <v>1879</v>
      </c>
      <c r="H141" t="s">
        <v>1880</v>
      </c>
      <c r="I141" t="s">
        <v>1881</v>
      </c>
      <c r="J141" t="s">
        <v>1882</v>
      </c>
      <c r="K141" t="s">
        <v>1883</v>
      </c>
      <c r="L141" t="s">
        <v>1884</v>
      </c>
      <c r="M141" t="s">
        <v>130</v>
      </c>
      <c r="N141" t="s">
        <v>131</v>
      </c>
    </row>
    <row r="142" spans="1:14">
      <c r="A142" t="s">
        <v>1885</v>
      </c>
      <c r="B142" t="s">
        <v>1886</v>
      </c>
      <c r="C142" t="s">
        <v>1887</v>
      </c>
      <c r="D142" t="s">
        <v>1888</v>
      </c>
      <c r="E142" t="s">
        <v>1889</v>
      </c>
      <c r="F142" t="s">
        <v>1890</v>
      </c>
      <c r="G142" t="s">
        <v>1891</v>
      </c>
      <c r="H142" t="s">
        <v>1892</v>
      </c>
      <c r="I142" t="s">
        <v>1893</v>
      </c>
      <c r="J142" t="s">
        <v>1894</v>
      </c>
      <c r="K142" t="s">
        <v>1895</v>
      </c>
      <c r="L142" t="s">
        <v>1896</v>
      </c>
      <c r="M142" t="s">
        <v>130</v>
      </c>
      <c r="N142" t="s">
        <v>131</v>
      </c>
    </row>
    <row r="143" spans="1:14">
      <c r="A143" t="s">
        <v>1897</v>
      </c>
      <c r="B143" t="s">
        <v>1898</v>
      </c>
      <c r="C143" t="s">
        <v>1899</v>
      </c>
      <c r="D143" t="s">
        <v>1900</v>
      </c>
      <c r="E143" t="s">
        <v>1901</v>
      </c>
      <c r="F143" t="s">
        <v>1902</v>
      </c>
      <c r="G143" t="s">
        <v>1903</v>
      </c>
      <c r="H143" t="s">
        <v>1904</v>
      </c>
      <c r="I143" t="s">
        <v>1905</v>
      </c>
      <c r="J143" t="s">
        <v>1906</v>
      </c>
      <c r="K143" t="s">
        <v>1907</v>
      </c>
      <c r="L143" t="s">
        <v>1908</v>
      </c>
      <c r="M143" t="s">
        <v>130</v>
      </c>
      <c r="N143" t="s">
        <v>131</v>
      </c>
    </row>
    <row r="144" spans="1:14">
      <c r="A144" t="s">
        <v>1909</v>
      </c>
      <c r="B144" t="s">
        <v>1910</v>
      </c>
      <c r="C144" t="s">
        <v>1911</v>
      </c>
      <c r="D144" t="s">
        <v>1912</v>
      </c>
      <c r="E144" t="s">
        <v>1913</v>
      </c>
      <c r="F144" t="s">
        <v>1914</v>
      </c>
      <c r="G144" t="s">
        <v>1915</v>
      </c>
      <c r="H144" t="s">
        <v>1916</v>
      </c>
      <c r="I144" t="s">
        <v>1917</v>
      </c>
      <c r="J144" t="s">
        <v>1918</v>
      </c>
      <c r="K144" t="s">
        <v>1919</v>
      </c>
      <c r="L144" t="s">
        <v>1920</v>
      </c>
      <c r="M144" t="s">
        <v>130</v>
      </c>
      <c r="N144" t="s">
        <v>131</v>
      </c>
    </row>
    <row r="145" spans="1:14">
      <c r="A145" t="s">
        <v>1921</v>
      </c>
      <c r="B145" t="s">
        <v>1922</v>
      </c>
      <c r="C145" t="s">
        <v>1923</v>
      </c>
      <c r="D145" t="s">
        <v>1924</v>
      </c>
      <c r="E145" t="s">
        <v>1925</v>
      </c>
      <c r="F145" t="s">
        <v>1926</v>
      </c>
      <c r="G145" t="s">
        <v>1927</v>
      </c>
      <c r="H145" t="s">
        <v>1928</v>
      </c>
      <c r="I145" t="s">
        <v>1929</v>
      </c>
      <c r="J145" t="s">
        <v>1930</v>
      </c>
      <c r="K145" t="s">
        <v>1931</v>
      </c>
      <c r="L145" t="s">
        <v>1932</v>
      </c>
      <c r="M145" t="s">
        <v>1933</v>
      </c>
      <c r="N145" t="s">
        <v>1934</v>
      </c>
    </row>
    <row r="146" spans="1:14">
      <c r="A146" t="s">
        <v>1935</v>
      </c>
      <c r="B146" t="s">
        <v>1936</v>
      </c>
      <c r="C146" t="s">
        <v>1937</v>
      </c>
      <c r="D146" t="s">
        <v>1938</v>
      </c>
      <c r="E146" t="s">
        <v>1939</v>
      </c>
      <c r="F146" t="s">
        <v>1940</v>
      </c>
      <c r="G146" t="s">
        <v>1941</v>
      </c>
      <c r="H146" t="s">
        <v>1942</v>
      </c>
      <c r="I146" t="s">
        <v>1943</v>
      </c>
      <c r="J146" t="s">
        <v>1944</v>
      </c>
      <c r="K146" t="s">
        <v>1945</v>
      </c>
      <c r="L146" t="s">
        <v>1946</v>
      </c>
      <c r="M146" t="s">
        <v>1947</v>
      </c>
      <c r="N146" t="s">
        <v>1395</v>
      </c>
    </row>
    <row r="147" spans="1:14">
      <c r="A147" t="s">
        <v>1948</v>
      </c>
      <c r="B147" t="s">
        <v>1949</v>
      </c>
      <c r="C147" t="s">
        <v>1950</v>
      </c>
      <c r="D147" t="s">
        <v>1951</v>
      </c>
      <c r="E147" t="s">
        <v>1952</v>
      </c>
      <c r="F147" t="s">
        <v>1953</v>
      </c>
      <c r="G147" t="s">
        <v>1954</v>
      </c>
      <c r="H147" t="s">
        <v>1955</v>
      </c>
      <c r="I147" t="s">
        <v>1956</v>
      </c>
      <c r="J147" t="s">
        <v>1957</v>
      </c>
      <c r="K147" t="s">
        <v>1958</v>
      </c>
      <c r="L147" t="s">
        <v>1959</v>
      </c>
      <c r="M147" t="s">
        <v>1960</v>
      </c>
      <c r="N147" t="s">
        <v>1961</v>
      </c>
    </row>
    <row r="148" spans="1:14">
      <c r="A148" t="s">
        <v>1962</v>
      </c>
      <c r="B148" t="s">
        <v>1963</v>
      </c>
      <c r="C148" t="s">
        <v>1964</v>
      </c>
      <c r="D148" t="s">
        <v>1965</v>
      </c>
      <c r="E148" t="s">
        <v>1966</v>
      </c>
      <c r="F148" t="s">
        <v>1967</v>
      </c>
      <c r="G148" t="s">
        <v>1968</v>
      </c>
      <c r="H148" t="s">
        <v>1969</v>
      </c>
      <c r="I148" t="s">
        <v>1970</v>
      </c>
      <c r="J148" t="s">
        <v>1971</v>
      </c>
      <c r="K148" t="s">
        <v>1972</v>
      </c>
      <c r="L148" t="s">
        <v>1973</v>
      </c>
      <c r="M148" t="s">
        <v>1974</v>
      </c>
      <c r="N148" t="s">
        <v>1975</v>
      </c>
    </row>
    <row r="149" spans="1:14">
      <c r="A149" t="s">
        <v>1976</v>
      </c>
      <c r="B149" t="s">
        <v>1977</v>
      </c>
      <c r="C149" t="s">
        <v>1978</v>
      </c>
      <c r="D149" t="s">
        <v>1979</v>
      </c>
      <c r="E149" t="s">
        <v>1980</v>
      </c>
      <c r="F149" t="s">
        <v>1981</v>
      </c>
      <c r="G149" t="s">
        <v>1982</v>
      </c>
      <c r="H149" t="s">
        <v>1983</v>
      </c>
      <c r="I149" t="s">
        <v>1984</v>
      </c>
      <c r="J149" t="s">
        <v>1985</v>
      </c>
      <c r="K149" t="s">
        <v>1986</v>
      </c>
      <c r="L149" t="s">
        <v>1987</v>
      </c>
      <c r="M149" t="s">
        <v>1988</v>
      </c>
      <c r="N149" t="s">
        <v>1989</v>
      </c>
    </row>
    <row r="150" spans="1:14">
      <c r="A150" t="s">
        <v>1990</v>
      </c>
      <c r="B150" t="s">
        <v>1991</v>
      </c>
      <c r="C150" t="s">
        <v>1992</v>
      </c>
      <c r="D150" t="s">
        <v>1993</v>
      </c>
      <c r="E150" t="s">
        <v>1994</v>
      </c>
      <c r="F150" t="s">
        <v>1995</v>
      </c>
      <c r="G150" t="s">
        <v>1996</v>
      </c>
      <c r="H150" t="s">
        <v>1997</v>
      </c>
      <c r="I150" t="s">
        <v>1998</v>
      </c>
      <c r="J150" t="s">
        <v>1999</v>
      </c>
      <c r="K150" t="s">
        <v>2000</v>
      </c>
      <c r="L150" t="s">
        <v>2001</v>
      </c>
      <c r="M150" t="s">
        <v>2002</v>
      </c>
      <c r="N150" t="s">
        <v>2003</v>
      </c>
    </row>
    <row r="151" spans="1:14">
      <c r="A151" t="s">
        <v>2004</v>
      </c>
      <c r="B151" t="s">
        <v>2005</v>
      </c>
      <c r="C151" t="s">
        <v>2006</v>
      </c>
      <c r="D151" t="s">
        <v>2007</v>
      </c>
      <c r="E151" t="s">
        <v>2008</v>
      </c>
      <c r="F151" t="s">
        <v>2009</v>
      </c>
      <c r="G151" t="s">
        <v>2010</v>
      </c>
      <c r="H151" t="s">
        <v>2011</v>
      </c>
      <c r="I151" t="s">
        <v>2012</v>
      </c>
      <c r="J151" t="s">
        <v>2013</v>
      </c>
      <c r="K151" t="s">
        <v>2014</v>
      </c>
      <c r="L151" t="s">
        <v>2015</v>
      </c>
      <c r="M151" t="s">
        <v>2016</v>
      </c>
      <c r="N151" t="s">
        <v>2017</v>
      </c>
    </row>
    <row r="152" spans="1:14">
      <c r="A152" t="s">
        <v>2018</v>
      </c>
      <c r="B152" t="s">
        <v>2019</v>
      </c>
      <c r="C152" t="s">
        <v>2020</v>
      </c>
      <c r="D152" t="s">
        <v>2021</v>
      </c>
      <c r="E152" t="s">
        <v>2022</v>
      </c>
      <c r="F152" t="s">
        <v>2023</v>
      </c>
      <c r="G152" t="s">
        <v>2024</v>
      </c>
      <c r="H152" t="s">
        <v>2025</v>
      </c>
      <c r="I152" t="s">
        <v>2026</v>
      </c>
      <c r="J152" t="s">
        <v>2027</v>
      </c>
      <c r="K152" t="s">
        <v>2028</v>
      </c>
      <c r="L152" t="s">
        <v>2029</v>
      </c>
      <c r="M152" t="s">
        <v>2030</v>
      </c>
      <c r="N152" t="s">
        <v>2031</v>
      </c>
    </row>
    <row r="153" spans="1:14">
      <c r="A153" t="s">
        <v>2032</v>
      </c>
      <c r="B153" t="s">
        <v>2033</v>
      </c>
      <c r="C153" t="s">
        <v>2034</v>
      </c>
      <c r="D153" t="s">
        <v>2035</v>
      </c>
      <c r="E153" t="s">
        <v>2036</v>
      </c>
      <c r="F153" t="s">
        <v>2037</v>
      </c>
      <c r="G153" t="s">
        <v>2038</v>
      </c>
      <c r="H153" t="s">
        <v>2039</v>
      </c>
      <c r="I153" t="s">
        <v>2040</v>
      </c>
      <c r="J153" t="s">
        <v>2041</v>
      </c>
      <c r="K153" t="s">
        <v>2042</v>
      </c>
      <c r="L153" t="s">
        <v>2043</v>
      </c>
      <c r="M153" t="s">
        <v>130</v>
      </c>
      <c r="N153" t="s">
        <v>131</v>
      </c>
    </row>
    <row r="154" spans="1:14">
      <c r="A154" t="s">
        <v>2044</v>
      </c>
      <c r="B154" t="s">
        <v>2045</v>
      </c>
      <c r="C154" t="s">
        <v>2046</v>
      </c>
      <c r="D154" t="s">
        <v>2047</v>
      </c>
      <c r="E154" t="s">
        <v>2048</v>
      </c>
      <c r="F154" t="s">
        <v>2049</v>
      </c>
      <c r="G154" t="s">
        <v>2050</v>
      </c>
      <c r="H154" t="s">
        <v>2051</v>
      </c>
      <c r="I154" t="s">
        <v>2052</v>
      </c>
      <c r="J154" t="s">
        <v>2053</v>
      </c>
      <c r="K154" t="s">
        <v>2054</v>
      </c>
      <c r="L154" t="s">
        <v>2055</v>
      </c>
      <c r="M154" t="s">
        <v>130</v>
      </c>
      <c r="N154" t="s">
        <v>131</v>
      </c>
    </row>
    <row r="155" spans="1:14">
      <c r="A155" t="s">
        <v>2056</v>
      </c>
      <c r="B155" t="s">
        <v>2057</v>
      </c>
      <c r="C155" t="s">
        <v>2058</v>
      </c>
      <c r="D155" t="s">
        <v>2059</v>
      </c>
      <c r="E155" t="s">
        <v>2060</v>
      </c>
      <c r="F155" t="s">
        <v>2061</v>
      </c>
      <c r="G155" t="s">
        <v>2062</v>
      </c>
      <c r="H155" t="s">
        <v>2063</v>
      </c>
      <c r="I155" t="s">
        <v>2064</v>
      </c>
      <c r="J155" t="s">
        <v>2065</v>
      </c>
      <c r="K155" t="s">
        <v>2066</v>
      </c>
      <c r="L155" t="s">
        <v>2067</v>
      </c>
      <c r="M155" t="s">
        <v>130</v>
      </c>
      <c r="N155" t="s">
        <v>131</v>
      </c>
    </row>
    <row r="156" spans="1:14">
      <c r="A156" t="s">
        <v>2068</v>
      </c>
      <c r="B156" t="s">
        <v>2069</v>
      </c>
      <c r="C156" t="s">
        <v>2070</v>
      </c>
      <c r="D156" t="s">
        <v>2071</v>
      </c>
      <c r="E156" t="s">
        <v>2072</v>
      </c>
      <c r="F156" t="s">
        <v>2073</v>
      </c>
      <c r="G156" t="s">
        <v>2074</v>
      </c>
      <c r="H156" t="s">
        <v>2075</v>
      </c>
      <c r="I156" t="s">
        <v>2076</v>
      </c>
      <c r="J156" t="s">
        <v>2077</v>
      </c>
      <c r="K156" t="s">
        <v>2078</v>
      </c>
      <c r="L156" t="s">
        <v>2079</v>
      </c>
      <c r="M156" t="s">
        <v>130</v>
      </c>
      <c r="N156" t="s">
        <v>131</v>
      </c>
    </row>
    <row r="157" spans="1:14">
      <c r="A157" t="s">
        <v>2080</v>
      </c>
      <c r="B157" t="s">
        <v>2081</v>
      </c>
      <c r="C157" t="s">
        <v>2082</v>
      </c>
      <c r="D157" t="s">
        <v>2083</v>
      </c>
      <c r="E157" t="s">
        <v>2084</v>
      </c>
      <c r="F157" t="s">
        <v>2085</v>
      </c>
      <c r="G157" t="s">
        <v>2086</v>
      </c>
      <c r="H157" t="s">
        <v>2087</v>
      </c>
      <c r="I157" t="s">
        <v>2088</v>
      </c>
      <c r="J157" t="s">
        <v>2089</v>
      </c>
      <c r="K157" t="s">
        <v>2090</v>
      </c>
      <c r="L157" t="s">
        <v>2091</v>
      </c>
      <c r="M157" t="s">
        <v>2092</v>
      </c>
      <c r="N157" t="s">
        <v>2093</v>
      </c>
    </row>
    <row r="158" spans="1:14">
      <c r="A158" t="s">
        <v>2094</v>
      </c>
      <c r="B158" t="s">
        <v>2095</v>
      </c>
      <c r="C158" t="s">
        <v>2096</v>
      </c>
      <c r="D158" t="s">
        <v>2097</v>
      </c>
      <c r="E158" t="s">
        <v>2098</v>
      </c>
      <c r="F158" t="s">
        <v>2099</v>
      </c>
      <c r="G158" t="s">
        <v>2100</v>
      </c>
      <c r="H158" t="s">
        <v>2101</v>
      </c>
      <c r="I158" t="s">
        <v>2102</v>
      </c>
      <c r="J158" t="s">
        <v>2103</v>
      </c>
      <c r="K158" t="s">
        <v>2104</v>
      </c>
      <c r="L158" t="s">
        <v>2105</v>
      </c>
      <c r="M158" t="s">
        <v>2106</v>
      </c>
      <c r="N158" t="s">
        <v>2107</v>
      </c>
    </row>
    <row r="159" spans="1:14">
      <c r="A159" t="s">
        <v>2108</v>
      </c>
      <c r="B159" t="s">
        <v>2109</v>
      </c>
      <c r="C159" t="s">
        <v>2110</v>
      </c>
      <c r="D159" t="s">
        <v>2111</v>
      </c>
      <c r="E159" t="s">
        <v>2112</v>
      </c>
      <c r="F159" t="s">
        <v>2113</v>
      </c>
      <c r="G159" t="s">
        <v>2114</v>
      </c>
      <c r="H159" t="s">
        <v>2115</v>
      </c>
      <c r="I159" t="s">
        <v>2116</v>
      </c>
      <c r="J159" t="s">
        <v>2117</v>
      </c>
      <c r="K159" t="s">
        <v>2118</v>
      </c>
      <c r="L159" t="s">
        <v>2119</v>
      </c>
      <c r="M159" t="s">
        <v>2120</v>
      </c>
      <c r="N159" t="s">
        <v>2121</v>
      </c>
    </row>
    <row r="160" spans="1:14">
      <c r="A160" t="s">
        <v>2122</v>
      </c>
      <c r="B160" t="s">
        <v>2123</v>
      </c>
      <c r="C160" t="s">
        <v>2124</v>
      </c>
      <c r="D160" t="s">
        <v>2125</v>
      </c>
      <c r="E160" t="s">
        <v>2126</v>
      </c>
      <c r="F160" t="s">
        <v>2127</v>
      </c>
      <c r="G160" t="s">
        <v>2128</v>
      </c>
      <c r="H160" t="s">
        <v>2129</v>
      </c>
      <c r="I160" t="s">
        <v>2130</v>
      </c>
      <c r="J160" t="s">
        <v>2131</v>
      </c>
      <c r="K160" t="s">
        <v>2132</v>
      </c>
      <c r="L160" t="s">
        <v>2133</v>
      </c>
      <c r="M160" t="s">
        <v>2134</v>
      </c>
      <c r="N160" t="s">
        <v>2135</v>
      </c>
    </row>
    <row r="161" spans="1:14">
      <c r="A161" t="s">
        <v>2136</v>
      </c>
      <c r="B161" t="s">
        <v>2137</v>
      </c>
      <c r="C161" t="s">
        <v>2138</v>
      </c>
      <c r="D161" t="s">
        <v>2139</v>
      </c>
      <c r="E161" t="s">
        <v>2140</v>
      </c>
      <c r="F161" t="s">
        <v>2141</v>
      </c>
      <c r="G161" t="s">
        <v>2142</v>
      </c>
      <c r="H161" t="s">
        <v>2143</v>
      </c>
      <c r="I161" t="s">
        <v>2144</v>
      </c>
      <c r="J161" t="s">
        <v>2145</v>
      </c>
      <c r="K161" t="s">
        <v>2146</v>
      </c>
      <c r="L161" t="s">
        <v>2147</v>
      </c>
      <c r="M161" t="s">
        <v>2148</v>
      </c>
      <c r="N161" t="s">
        <v>2149</v>
      </c>
    </row>
    <row r="162" spans="1:14">
      <c r="A162" t="s">
        <v>2150</v>
      </c>
      <c r="B162" t="s">
        <v>2151</v>
      </c>
      <c r="C162" t="s">
        <v>2152</v>
      </c>
      <c r="D162" t="s">
        <v>2153</v>
      </c>
      <c r="E162" t="s">
        <v>2154</v>
      </c>
      <c r="F162" t="s">
        <v>2155</v>
      </c>
      <c r="G162" t="s">
        <v>2156</v>
      </c>
      <c r="H162" t="s">
        <v>2157</v>
      </c>
      <c r="I162" t="s">
        <v>2158</v>
      </c>
      <c r="J162" t="s">
        <v>2159</v>
      </c>
      <c r="K162" t="s">
        <v>2160</v>
      </c>
      <c r="L162" t="s">
        <v>2161</v>
      </c>
      <c r="M162" t="s">
        <v>2162</v>
      </c>
      <c r="N162" t="s">
        <v>2163</v>
      </c>
    </row>
    <row r="163" spans="1:14">
      <c r="A163" t="s">
        <v>2164</v>
      </c>
      <c r="B163" t="s">
        <v>2165</v>
      </c>
      <c r="C163" t="s">
        <v>2166</v>
      </c>
      <c r="D163" t="s">
        <v>2167</v>
      </c>
      <c r="E163" t="s">
        <v>2168</v>
      </c>
      <c r="F163" t="s">
        <v>2169</v>
      </c>
      <c r="G163" t="s">
        <v>2170</v>
      </c>
      <c r="H163" t="s">
        <v>2171</v>
      </c>
      <c r="I163" t="s">
        <v>2172</v>
      </c>
      <c r="J163" t="s">
        <v>2173</v>
      </c>
      <c r="K163" t="s">
        <v>2174</v>
      </c>
      <c r="L163" t="s">
        <v>2175</v>
      </c>
      <c r="M163" t="s">
        <v>2176</v>
      </c>
      <c r="N163" t="s">
        <v>2177</v>
      </c>
    </row>
    <row r="164" spans="1:14">
      <c r="A164" t="s">
        <v>2178</v>
      </c>
      <c r="B164" t="s">
        <v>2179</v>
      </c>
      <c r="C164" t="s">
        <v>2180</v>
      </c>
      <c r="D164" t="s">
        <v>2181</v>
      </c>
      <c r="E164" t="s">
        <v>2182</v>
      </c>
      <c r="F164" t="s">
        <v>2183</v>
      </c>
      <c r="G164" t="s">
        <v>2184</v>
      </c>
      <c r="H164" t="s">
        <v>2185</v>
      </c>
      <c r="I164" t="s">
        <v>2186</v>
      </c>
      <c r="J164" t="s">
        <v>2187</v>
      </c>
      <c r="K164" t="s">
        <v>2188</v>
      </c>
      <c r="L164" t="s">
        <v>2189</v>
      </c>
      <c r="M164" t="s">
        <v>2190</v>
      </c>
      <c r="N164" t="s">
        <v>2191</v>
      </c>
    </row>
    <row r="165" spans="1:14">
      <c r="A165" t="s">
        <v>2192</v>
      </c>
      <c r="B165" t="s">
        <v>2193</v>
      </c>
      <c r="C165" t="s">
        <v>2194</v>
      </c>
      <c r="D165" t="s">
        <v>2195</v>
      </c>
      <c r="E165" t="s">
        <v>2196</v>
      </c>
      <c r="F165" t="s">
        <v>2197</v>
      </c>
      <c r="G165" t="s">
        <v>2198</v>
      </c>
      <c r="H165" t="s">
        <v>2199</v>
      </c>
      <c r="I165" t="s">
        <v>2200</v>
      </c>
      <c r="J165" t="s">
        <v>2201</v>
      </c>
      <c r="K165" t="s">
        <v>2202</v>
      </c>
      <c r="L165" t="s">
        <v>2203</v>
      </c>
      <c r="M165" t="s">
        <v>130</v>
      </c>
      <c r="N165" t="s">
        <v>131</v>
      </c>
    </row>
    <row r="166" spans="1:14">
      <c r="A166" t="s">
        <v>2204</v>
      </c>
      <c r="B166" t="s">
        <v>2205</v>
      </c>
      <c r="C166" t="s">
        <v>2206</v>
      </c>
      <c r="D166" t="s">
        <v>2207</v>
      </c>
      <c r="E166" t="s">
        <v>2208</v>
      </c>
      <c r="F166" t="s">
        <v>2209</v>
      </c>
      <c r="G166" t="s">
        <v>2210</v>
      </c>
      <c r="H166" t="s">
        <v>2211</v>
      </c>
      <c r="I166" t="s">
        <v>2212</v>
      </c>
      <c r="J166" t="s">
        <v>2213</v>
      </c>
      <c r="K166" t="s">
        <v>2214</v>
      </c>
      <c r="L166" t="s">
        <v>2215</v>
      </c>
      <c r="M166" t="s">
        <v>130</v>
      </c>
      <c r="N166" t="s">
        <v>131</v>
      </c>
    </row>
    <row r="167" spans="1:14">
      <c r="A167" t="s">
        <v>2216</v>
      </c>
      <c r="B167" t="s">
        <v>2217</v>
      </c>
      <c r="C167" t="s">
        <v>2218</v>
      </c>
      <c r="D167" t="s">
        <v>2219</v>
      </c>
      <c r="E167" t="s">
        <v>2220</v>
      </c>
      <c r="F167" t="s">
        <v>2221</v>
      </c>
      <c r="G167" t="s">
        <v>2222</v>
      </c>
      <c r="H167" t="s">
        <v>2223</v>
      </c>
      <c r="I167" t="s">
        <v>2224</v>
      </c>
      <c r="J167" t="s">
        <v>2225</v>
      </c>
      <c r="K167" t="s">
        <v>2226</v>
      </c>
      <c r="L167" t="s">
        <v>2227</v>
      </c>
      <c r="M167" t="s">
        <v>130</v>
      </c>
      <c r="N167" t="s">
        <v>131</v>
      </c>
    </row>
    <row r="168" spans="1:14">
      <c r="A168" t="s">
        <v>2228</v>
      </c>
      <c r="B168" t="s">
        <v>2229</v>
      </c>
      <c r="C168" t="s">
        <v>2230</v>
      </c>
      <c r="D168" t="s">
        <v>2231</v>
      </c>
      <c r="E168" t="s">
        <v>2232</v>
      </c>
      <c r="F168" t="s">
        <v>2233</v>
      </c>
      <c r="G168" t="s">
        <v>2234</v>
      </c>
      <c r="H168" t="s">
        <v>2235</v>
      </c>
      <c r="I168" t="s">
        <v>2236</v>
      </c>
      <c r="J168" t="s">
        <v>2237</v>
      </c>
      <c r="K168" t="s">
        <v>2238</v>
      </c>
      <c r="L168" t="s">
        <v>2239</v>
      </c>
      <c r="M168" t="s">
        <v>130</v>
      </c>
      <c r="N168" t="s">
        <v>131</v>
      </c>
    </row>
    <row r="169" spans="1:14">
      <c r="A169" t="s">
        <v>2240</v>
      </c>
      <c r="B169" t="s">
        <v>2241</v>
      </c>
      <c r="C169" t="s">
        <v>2242</v>
      </c>
      <c r="D169" t="s">
        <v>2243</v>
      </c>
      <c r="E169" t="s">
        <v>2244</v>
      </c>
      <c r="F169" t="s">
        <v>2245</v>
      </c>
      <c r="G169" t="s">
        <v>2246</v>
      </c>
      <c r="H169" t="s">
        <v>2247</v>
      </c>
      <c r="I169" t="s">
        <v>2248</v>
      </c>
      <c r="J169" t="s">
        <v>2249</v>
      </c>
      <c r="K169" t="s">
        <v>2250</v>
      </c>
      <c r="L169" t="s">
        <v>2251</v>
      </c>
      <c r="M169" t="s">
        <v>2252</v>
      </c>
      <c r="N169" t="s">
        <v>2253</v>
      </c>
    </row>
    <row r="170" spans="1:14">
      <c r="A170" t="s">
        <v>2254</v>
      </c>
      <c r="B170" t="s">
        <v>2255</v>
      </c>
      <c r="C170" t="s">
        <v>2256</v>
      </c>
      <c r="D170" t="s">
        <v>2257</v>
      </c>
      <c r="E170" t="s">
        <v>2258</v>
      </c>
      <c r="F170" t="s">
        <v>2259</v>
      </c>
      <c r="G170" t="s">
        <v>2260</v>
      </c>
      <c r="H170" t="s">
        <v>2261</v>
      </c>
      <c r="I170" t="s">
        <v>2262</v>
      </c>
      <c r="J170" t="s">
        <v>2263</v>
      </c>
      <c r="K170" t="s">
        <v>2264</v>
      </c>
      <c r="L170" t="s">
        <v>2265</v>
      </c>
      <c r="M170" t="s">
        <v>2266</v>
      </c>
      <c r="N170" t="s">
        <v>2267</v>
      </c>
    </row>
    <row r="171" spans="1:14">
      <c r="A171" t="s">
        <v>2268</v>
      </c>
      <c r="B171" t="s">
        <v>2269</v>
      </c>
      <c r="C171" t="s">
        <v>2270</v>
      </c>
      <c r="D171" t="s">
        <v>2271</v>
      </c>
      <c r="E171" t="s">
        <v>2272</v>
      </c>
      <c r="F171" t="s">
        <v>2273</v>
      </c>
      <c r="G171" t="s">
        <v>2274</v>
      </c>
      <c r="H171" t="s">
        <v>2275</v>
      </c>
      <c r="I171" t="s">
        <v>2276</v>
      </c>
      <c r="J171" t="s">
        <v>2277</v>
      </c>
      <c r="K171" t="s">
        <v>2278</v>
      </c>
      <c r="L171" t="s">
        <v>2279</v>
      </c>
      <c r="M171" t="s">
        <v>2280</v>
      </c>
      <c r="N171" t="s">
        <v>2281</v>
      </c>
    </row>
    <row r="172" spans="1:14">
      <c r="A172" t="s">
        <v>2282</v>
      </c>
      <c r="B172" t="s">
        <v>2283</v>
      </c>
      <c r="C172" t="s">
        <v>2284</v>
      </c>
      <c r="D172" t="s">
        <v>2285</v>
      </c>
      <c r="E172" t="s">
        <v>2286</v>
      </c>
      <c r="F172" t="s">
        <v>2287</v>
      </c>
      <c r="G172" t="s">
        <v>2288</v>
      </c>
      <c r="H172" t="s">
        <v>2289</v>
      </c>
      <c r="I172" t="s">
        <v>2290</v>
      </c>
      <c r="J172" t="s">
        <v>2291</v>
      </c>
      <c r="K172" t="s">
        <v>2292</v>
      </c>
      <c r="L172" t="s">
        <v>2293</v>
      </c>
      <c r="M172" t="s">
        <v>2294</v>
      </c>
      <c r="N172" t="s">
        <v>2295</v>
      </c>
    </row>
    <row r="173" spans="1:14">
      <c r="A173" t="s">
        <v>2296</v>
      </c>
      <c r="B173" t="s">
        <v>2297</v>
      </c>
      <c r="C173" t="s">
        <v>2298</v>
      </c>
      <c r="D173" t="s">
        <v>2299</v>
      </c>
      <c r="E173" t="s">
        <v>2300</v>
      </c>
      <c r="F173" t="s">
        <v>2301</v>
      </c>
      <c r="G173" t="s">
        <v>2302</v>
      </c>
      <c r="H173" t="s">
        <v>2303</v>
      </c>
      <c r="I173" t="s">
        <v>2304</v>
      </c>
      <c r="J173" t="s">
        <v>2305</v>
      </c>
      <c r="K173" t="s">
        <v>2306</v>
      </c>
      <c r="L173" t="s">
        <v>2307</v>
      </c>
      <c r="M173" t="s">
        <v>2308</v>
      </c>
      <c r="N173" t="s">
        <v>2309</v>
      </c>
    </row>
    <row r="174" spans="1:14">
      <c r="A174" t="s">
        <v>2310</v>
      </c>
      <c r="B174" t="s">
        <v>2311</v>
      </c>
      <c r="C174" t="s">
        <v>2312</v>
      </c>
      <c r="D174" t="s">
        <v>2313</v>
      </c>
      <c r="E174" t="s">
        <v>2314</v>
      </c>
      <c r="F174" t="s">
        <v>2315</v>
      </c>
      <c r="G174" t="s">
        <v>2316</v>
      </c>
      <c r="H174" t="s">
        <v>2317</v>
      </c>
      <c r="I174" t="s">
        <v>2318</v>
      </c>
      <c r="J174" t="s">
        <v>2319</v>
      </c>
      <c r="K174" t="s">
        <v>2320</v>
      </c>
      <c r="L174" t="s">
        <v>2321</v>
      </c>
      <c r="M174" t="s">
        <v>2322</v>
      </c>
      <c r="N174" t="s">
        <v>2323</v>
      </c>
    </row>
    <row r="175" spans="1:14">
      <c r="A175" t="s">
        <v>2324</v>
      </c>
      <c r="B175" t="s">
        <v>2325</v>
      </c>
      <c r="C175" t="s">
        <v>2326</v>
      </c>
      <c r="D175" t="s">
        <v>2327</v>
      </c>
      <c r="E175" t="s">
        <v>2328</v>
      </c>
      <c r="F175" t="s">
        <v>2329</v>
      </c>
      <c r="G175" t="s">
        <v>2330</v>
      </c>
      <c r="H175" t="s">
        <v>2331</v>
      </c>
      <c r="I175" t="s">
        <v>2332</v>
      </c>
      <c r="J175" t="s">
        <v>2333</v>
      </c>
      <c r="K175" t="s">
        <v>2334</v>
      </c>
      <c r="L175" t="s">
        <v>2335</v>
      </c>
      <c r="M175" t="s">
        <v>2336</v>
      </c>
      <c r="N175" t="s">
        <v>2337</v>
      </c>
    </row>
    <row r="176" spans="1:14">
      <c r="A176" t="s">
        <v>2338</v>
      </c>
      <c r="B176" t="s">
        <v>2339</v>
      </c>
      <c r="C176" t="s">
        <v>2340</v>
      </c>
      <c r="D176" t="s">
        <v>2341</v>
      </c>
      <c r="E176" t="s">
        <v>2342</v>
      </c>
      <c r="F176" t="s">
        <v>2343</v>
      </c>
      <c r="G176" t="s">
        <v>2344</v>
      </c>
      <c r="H176" t="s">
        <v>2345</v>
      </c>
      <c r="I176" t="s">
        <v>2346</v>
      </c>
      <c r="J176" t="s">
        <v>2347</v>
      </c>
      <c r="K176" t="s">
        <v>2348</v>
      </c>
      <c r="L176" t="s">
        <v>2349</v>
      </c>
      <c r="M176" t="s">
        <v>2350</v>
      </c>
      <c r="N176" t="s">
        <v>75</v>
      </c>
    </row>
    <row r="177" spans="1:14">
      <c r="A177" t="s">
        <v>2351</v>
      </c>
      <c r="B177" t="s">
        <v>2352</v>
      </c>
      <c r="C177" t="s">
        <v>2353</v>
      </c>
      <c r="D177" t="s">
        <v>2354</v>
      </c>
      <c r="E177" t="s">
        <v>2355</v>
      </c>
      <c r="F177" t="s">
        <v>2356</v>
      </c>
      <c r="G177" t="s">
        <v>2357</v>
      </c>
      <c r="H177" t="s">
        <v>2358</v>
      </c>
      <c r="I177" t="s">
        <v>2359</v>
      </c>
      <c r="J177" t="s">
        <v>2360</v>
      </c>
      <c r="K177" t="s">
        <v>2361</v>
      </c>
      <c r="L177" t="s">
        <v>2362</v>
      </c>
      <c r="M177" t="s">
        <v>130</v>
      </c>
      <c r="N177" t="s">
        <v>131</v>
      </c>
    </row>
    <row r="178" spans="1:14">
      <c r="A178" t="s">
        <v>2363</v>
      </c>
      <c r="B178" t="s">
        <v>2364</v>
      </c>
      <c r="C178" t="s">
        <v>2365</v>
      </c>
      <c r="D178" t="s">
        <v>2366</v>
      </c>
      <c r="E178" t="s">
        <v>2367</v>
      </c>
      <c r="F178" t="s">
        <v>2368</v>
      </c>
      <c r="G178" t="s">
        <v>2369</v>
      </c>
      <c r="H178" t="s">
        <v>2370</v>
      </c>
      <c r="I178" t="s">
        <v>2371</v>
      </c>
      <c r="J178" t="s">
        <v>2372</v>
      </c>
      <c r="K178" t="s">
        <v>2373</v>
      </c>
      <c r="L178" t="s">
        <v>2374</v>
      </c>
      <c r="M178" t="s">
        <v>130</v>
      </c>
      <c r="N178" t="s">
        <v>131</v>
      </c>
    </row>
    <row r="179" spans="1:14">
      <c r="A179" t="s">
        <v>2375</v>
      </c>
      <c r="B179" t="s">
        <v>2376</v>
      </c>
      <c r="C179" t="s">
        <v>2377</v>
      </c>
      <c r="D179" t="s">
        <v>2378</v>
      </c>
      <c r="E179" t="s">
        <v>2379</v>
      </c>
      <c r="F179" t="s">
        <v>2380</v>
      </c>
      <c r="G179" t="s">
        <v>2381</v>
      </c>
      <c r="H179" t="s">
        <v>2382</v>
      </c>
      <c r="I179" t="s">
        <v>2383</v>
      </c>
      <c r="J179" t="s">
        <v>2384</v>
      </c>
      <c r="K179" t="s">
        <v>2385</v>
      </c>
      <c r="L179" t="s">
        <v>2386</v>
      </c>
      <c r="M179" t="s">
        <v>130</v>
      </c>
      <c r="N179" t="s">
        <v>131</v>
      </c>
    </row>
    <row r="180" spans="1:14">
      <c r="A180" t="s">
        <v>2387</v>
      </c>
      <c r="B180" t="s">
        <v>2388</v>
      </c>
      <c r="C180" t="s">
        <v>2389</v>
      </c>
      <c r="D180" t="s">
        <v>2390</v>
      </c>
      <c r="E180" t="s">
        <v>2391</v>
      </c>
      <c r="F180" t="s">
        <v>2392</v>
      </c>
      <c r="G180" t="s">
        <v>2393</v>
      </c>
      <c r="H180" t="s">
        <v>2394</v>
      </c>
      <c r="I180" t="s">
        <v>2395</v>
      </c>
      <c r="J180" t="s">
        <v>2396</v>
      </c>
      <c r="K180" t="s">
        <v>2397</v>
      </c>
      <c r="L180" t="s">
        <v>2398</v>
      </c>
      <c r="M180" t="s">
        <v>130</v>
      </c>
      <c r="N180" t="s">
        <v>131</v>
      </c>
    </row>
    <row r="181" spans="1:14">
      <c r="A181" t="s">
        <v>2399</v>
      </c>
      <c r="B181" t="s">
        <v>2400</v>
      </c>
      <c r="C181" t="s">
        <v>2401</v>
      </c>
      <c r="D181" t="s">
        <v>2402</v>
      </c>
      <c r="E181" t="s">
        <v>2403</v>
      </c>
      <c r="F181" t="s">
        <v>2404</v>
      </c>
      <c r="G181" t="s">
        <v>2405</v>
      </c>
      <c r="H181" t="s">
        <v>2406</v>
      </c>
      <c r="I181" t="s">
        <v>2407</v>
      </c>
      <c r="J181" t="s">
        <v>2408</v>
      </c>
      <c r="K181" t="s">
        <v>2409</v>
      </c>
      <c r="L181" t="s">
        <v>2410</v>
      </c>
      <c r="M181" t="s">
        <v>2411</v>
      </c>
      <c r="N181" t="s">
        <v>2412</v>
      </c>
    </row>
    <row r="182" spans="1:14">
      <c r="A182" t="s">
        <v>2413</v>
      </c>
      <c r="B182" t="s">
        <v>2414</v>
      </c>
      <c r="C182" t="s">
        <v>2415</v>
      </c>
      <c r="D182" t="s">
        <v>2416</v>
      </c>
      <c r="E182" t="s">
        <v>2417</v>
      </c>
      <c r="F182" t="s">
        <v>2418</v>
      </c>
      <c r="G182" t="s">
        <v>2419</v>
      </c>
      <c r="H182" t="s">
        <v>2420</v>
      </c>
      <c r="I182" t="s">
        <v>2421</v>
      </c>
      <c r="J182" t="s">
        <v>2422</v>
      </c>
      <c r="K182" t="s">
        <v>2423</v>
      </c>
      <c r="L182" t="s">
        <v>2424</v>
      </c>
      <c r="M182" t="s">
        <v>1394</v>
      </c>
      <c r="N182" t="s">
        <v>2425</v>
      </c>
    </row>
    <row r="183" spans="1:14">
      <c r="A183" t="s">
        <v>2426</v>
      </c>
      <c r="B183" t="s">
        <v>2427</v>
      </c>
      <c r="C183" t="s">
        <v>2428</v>
      </c>
      <c r="D183" t="s">
        <v>2429</v>
      </c>
      <c r="E183" t="s">
        <v>2430</v>
      </c>
      <c r="F183" t="s">
        <v>2431</v>
      </c>
      <c r="G183" t="s">
        <v>2432</v>
      </c>
      <c r="H183" t="s">
        <v>2433</v>
      </c>
      <c r="I183" t="s">
        <v>2434</v>
      </c>
      <c r="J183" t="s">
        <v>2435</v>
      </c>
      <c r="K183" t="s">
        <v>2436</v>
      </c>
      <c r="L183" t="s">
        <v>2437</v>
      </c>
      <c r="M183" t="s">
        <v>2438</v>
      </c>
      <c r="N183" t="s">
        <v>2439</v>
      </c>
    </row>
    <row r="184" spans="1:14">
      <c r="A184" t="s">
        <v>2440</v>
      </c>
      <c r="B184" t="s">
        <v>2441</v>
      </c>
      <c r="C184" t="s">
        <v>2442</v>
      </c>
      <c r="D184" t="s">
        <v>2433</v>
      </c>
      <c r="E184" t="s">
        <v>2443</v>
      </c>
      <c r="F184" t="s">
        <v>2444</v>
      </c>
      <c r="G184" t="s">
        <v>2445</v>
      </c>
      <c r="H184" t="s">
        <v>2446</v>
      </c>
      <c r="I184" t="s">
        <v>2447</v>
      </c>
      <c r="J184" t="s">
        <v>2448</v>
      </c>
      <c r="K184" t="s">
        <v>2449</v>
      </c>
      <c r="L184" t="s">
        <v>2450</v>
      </c>
      <c r="M184" t="s">
        <v>2451</v>
      </c>
      <c r="N184" t="s">
        <v>2452</v>
      </c>
    </row>
    <row r="185" spans="1:14">
      <c r="A185" t="s">
        <v>2453</v>
      </c>
      <c r="B185" t="s">
        <v>2454</v>
      </c>
      <c r="C185" t="s">
        <v>2455</v>
      </c>
      <c r="D185" t="s">
        <v>2456</v>
      </c>
      <c r="E185" t="s">
        <v>2457</v>
      </c>
      <c r="F185" t="s">
        <v>2458</v>
      </c>
      <c r="G185" t="s">
        <v>2459</v>
      </c>
      <c r="H185" t="s">
        <v>2460</v>
      </c>
      <c r="I185" t="s">
        <v>2461</v>
      </c>
      <c r="J185" t="s">
        <v>2462</v>
      </c>
      <c r="K185" t="s">
        <v>2463</v>
      </c>
      <c r="L185" t="s">
        <v>2464</v>
      </c>
      <c r="M185" t="s">
        <v>2465</v>
      </c>
      <c r="N185" t="s">
        <v>2466</v>
      </c>
    </row>
    <row r="186" spans="1:14">
      <c r="A186" t="s">
        <v>2467</v>
      </c>
      <c r="B186" t="s">
        <v>2468</v>
      </c>
      <c r="C186" t="s">
        <v>2469</v>
      </c>
      <c r="D186" t="s">
        <v>2470</v>
      </c>
      <c r="E186" t="s">
        <v>130</v>
      </c>
      <c r="F186" t="s">
        <v>2471</v>
      </c>
      <c r="G186" t="s">
        <v>2472</v>
      </c>
      <c r="H186" t="s">
        <v>2473</v>
      </c>
      <c r="I186" t="s">
        <v>2474</v>
      </c>
      <c r="J186" t="s">
        <v>2475</v>
      </c>
      <c r="K186" t="s">
        <v>2476</v>
      </c>
      <c r="L186" t="s">
        <v>2477</v>
      </c>
      <c r="M186" t="s">
        <v>2478</v>
      </c>
      <c r="N186" t="s">
        <v>2479</v>
      </c>
    </row>
    <row r="187" spans="1:14">
      <c r="A187" t="s">
        <v>2480</v>
      </c>
      <c r="B187" t="s">
        <v>2481</v>
      </c>
      <c r="C187" t="s">
        <v>2482</v>
      </c>
      <c r="D187" t="s">
        <v>2483</v>
      </c>
      <c r="E187" t="s">
        <v>130</v>
      </c>
      <c r="F187" t="s">
        <v>2484</v>
      </c>
      <c r="G187" t="s">
        <v>2485</v>
      </c>
      <c r="H187" t="s">
        <v>2486</v>
      </c>
      <c r="I187" t="s">
        <v>2487</v>
      </c>
      <c r="J187" t="s">
        <v>2488</v>
      </c>
      <c r="K187" t="s">
        <v>2476</v>
      </c>
      <c r="L187" t="s">
        <v>2489</v>
      </c>
      <c r="M187" t="s">
        <v>2490</v>
      </c>
      <c r="N187" t="s">
        <v>2491</v>
      </c>
    </row>
    <row r="188" spans="1:14">
      <c r="A188" t="s">
        <v>2492</v>
      </c>
      <c r="B188" t="s">
        <v>2493</v>
      </c>
      <c r="C188" t="s">
        <v>2494</v>
      </c>
      <c r="D188" t="s">
        <v>2495</v>
      </c>
      <c r="E188" t="s">
        <v>130</v>
      </c>
      <c r="F188" t="s">
        <v>2496</v>
      </c>
      <c r="G188" t="s">
        <v>2497</v>
      </c>
      <c r="H188" t="s">
        <v>2498</v>
      </c>
      <c r="I188" t="s">
        <v>2499</v>
      </c>
      <c r="J188" t="s">
        <v>2500</v>
      </c>
      <c r="K188" t="s">
        <v>2476</v>
      </c>
      <c r="L188" t="s">
        <v>2501</v>
      </c>
      <c r="M188" t="s">
        <v>2502</v>
      </c>
      <c r="N188" t="s">
        <v>2503</v>
      </c>
    </row>
    <row r="189" spans="1:14">
      <c r="A189" t="s">
        <v>2504</v>
      </c>
      <c r="B189" t="s">
        <v>2505</v>
      </c>
      <c r="C189" t="s">
        <v>2506</v>
      </c>
      <c r="D189" t="s">
        <v>2420</v>
      </c>
      <c r="E189" t="s">
        <v>130</v>
      </c>
      <c r="F189" t="s">
        <v>2507</v>
      </c>
      <c r="G189" t="s">
        <v>2508</v>
      </c>
      <c r="H189" t="s">
        <v>2509</v>
      </c>
      <c r="I189" t="s">
        <v>2510</v>
      </c>
      <c r="J189" t="s">
        <v>2511</v>
      </c>
      <c r="K189" t="s">
        <v>2476</v>
      </c>
      <c r="L189" t="s">
        <v>2512</v>
      </c>
      <c r="M189" t="s">
        <v>130</v>
      </c>
      <c r="N189" t="s">
        <v>131</v>
      </c>
    </row>
    <row r="190" spans="1:14">
      <c r="A190" t="s">
        <v>2513</v>
      </c>
      <c r="B190" t="s">
        <v>2514</v>
      </c>
      <c r="C190" t="s">
        <v>2515</v>
      </c>
      <c r="D190" t="s">
        <v>2416</v>
      </c>
      <c r="E190" t="s">
        <v>130</v>
      </c>
      <c r="F190" t="s">
        <v>2516</v>
      </c>
      <c r="G190" t="s">
        <v>2517</v>
      </c>
      <c r="H190" t="s">
        <v>2518</v>
      </c>
      <c r="I190" t="s">
        <v>2519</v>
      </c>
      <c r="J190" t="s">
        <v>2520</v>
      </c>
      <c r="K190" t="s">
        <v>2476</v>
      </c>
      <c r="L190" t="s">
        <v>2521</v>
      </c>
      <c r="M190" t="s">
        <v>130</v>
      </c>
      <c r="N190" t="s">
        <v>131</v>
      </c>
    </row>
    <row r="191" spans="1:14">
      <c r="A191" t="s">
        <v>2522</v>
      </c>
      <c r="B191" t="s">
        <v>2523</v>
      </c>
      <c r="C191" t="s">
        <v>2524</v>
      </c>
      <c r="D191" t="s">
        <v>2525</v>
      </c>
      <c r="E191" t="s">
        <v>130</v>
      </c>
      <c r="F191" t="s">
        <v>2526</v>
      </c>
      <c r="G191" t="s">
        <v>2527</v>
      </c>
      <c r="H191" t="s">
        <v>2528</v>
      </c>
      <c r="I191" t="s">
        <v>2529</v>
      </c>
      <c r="J191" t="s">
        <v>2530</v>
      </c>
      <c r="K191" t="s">
        <v>2476</v>
      </c>
      <c r="L191" t="s">
        <v>2531</v>
      </c>
      <c r="M191" t="s">
        <v>130</v>
      </c>
      <c r="N191" t="s">
        <v>131</v>
      </c>
    </row>
    <row r="192" spans="1:14">
      <c r="A192" t="s">
        <v>2532</v>
      </c>
      <c r="B192" t="s">
        <v>2533</v>
      </c>
      <c r="C192" t="s">
        <v>2534</v>
      </c>
      <c r="D192" t="s">
        <v>2535</v>
      </c>
      <c r="E192" t="s">
        <v>130</v>
      </c>
      <c r="F192" t="s">
        <v>2536</v>
      </c>
      <c r="G192" t="s">
        <v>2537</v>
      </c>
      <c r="H192" t="s">
        <v>2538</v>
      </c>
      <c r="I192" t="s">
        <v>2539</v>
      </c>
      <c r="J192" t="s">
        <v>2540</v>
      </c>
      <c r="K192" t="s">
        <v>2476</v>
      </c>
      <c r="L192" t="s">
        <v>2541</v>
      </c>
      <c r="M192" t="s">
        <v>130</v>
      </c>
      <c r="N192" t="s">
        <v>131</v>
      </c>
    </row>
    <row r="193" spans="1:14">
      <c r="A193" t="s">
        <v>2542</v>
      </c>
      <c r="B193" t="s">
        <v>2543</v>
      </c>
      <c r="C193" t="s">
        <v>2544</v>
      </c>
      <c r="D193" t="s">
        <v>2545</v>
      </c>
      <c r="E193" t="s">
        <v>130</v>
      </c>
      <c r="F193" t="s">
        <v>2546</v>
      </c>
      <c r="G193" t="s">
        <v>2547</v>
      </c>
      <c r="H193" t="s">
        <v>2548</v>
      </c>
      <c r="I193" t="s">
        <v>2549</v>
      </c>
      <c r="J193" t="s">
        <v>2550</v>
      </c>
      <c r="K193" t="s">
        <v>2476</v>
      </c>
      <c r="L193" t="s">
        <v>2551</v>
      </c>
      <c r="M193" t="s">
        <v>2552</v>
      </c>
      <c r="N193" t="s">
        <v>2553</v>
      </c>
    </row>
    <row r="194" spans="1:14">
      <c r="A194" t="s">
        <v>2554</v>
      </c>
      <c r="B194" t="s">
        <v>2555</v>
      </c>
      <c r="C194" t="s">
        <v>2556</v>
      </c>
      <c r="D194" t="s">
        <v>2557</v>
      </c>
      <c r="E194" t="s">
        <v>130</v>
      </c>
      <c r="F194" t="s">
        <v>2558</v>
      </c>
      <c r="G194" t="s">
        <v>2559</v>
      </c>
      <c r="H194" t="s">
        <v>2560</v>
      </c>
      <c r="I194" t="s">
        <v>2561</v>
      </c>
      <c r="J194" t="s">
        <v>2562</v>
      </c>
      <c r="K194" t="s">
        <v>2476</v>
      </c>
      <c r="L194" t="s">
        <v>2563</v>
      </c>
      <c r="M194" t="s">
        <v>2564</v>
      </c>
      <c r="N194" t="s">
        <v>2565</v>
      </c>
    </row>
    <row r="195" spans="1:14">
      <c r="A195" t="s">
        <v>2566</v>
      </c>
      <c r="B195" t="s">
        <v>2567</v>
      </c>
      <c r="C195" t="s">
        <v>2568</v>
      </c>
      <c r="D195" t="s">
        <v>2569</v>
      </c>
      <c r="E195" t="s">
        <v>130</v>
      </c>
      <c r="F195" t="s">
        <v>2570</v>
      </c>
      <c r="G195" t="s">
        <v>2571</v>
      </c>
      <c r="H195" t="s">
        <v>2572</v>
      </c>
      <c r="I195" t="s">
        <v>2573</v>
      </c>
      <c r="J195" t="s">
        <v>2574</v>
      </c>
      <c r="K195" t="s">
        <v>2476</v>
      </c>
      <c r="L195" t="s">
        <v>2575</v>
      </c>
      <c r="M195" t="s">
        <v>2576</v>
      </c>
      <c r="N195" t="s">
        <v>2577</v>
      </c>
    </row>
    <row r="196" spans="1:14">
      <c r="A196" t="s">
        <v>2578</v>
      </c>
      <c r="B196" t="s">
        <v>2579</v>
      </c>
      <c r="C196" t="s">
        <v>2580</v>
      </c>
      <c r="D196" t="s">
        <v>2581</v>
      </c>
      <c r="E196" t="s">
        <v>130</v>
      </c>
      <c r="F196" t="s">
        <v>2582</v>
      </c>
      <c r="G196" t="s">
        <v>2583</v>
      </c>
      <c r="H196" t="s">
        <v>2584</v>
      </c>
      <c r="I196" t="s">
        <v>2585</v>
      </c>
      <c r="J196" t="s">
        <v>2586</v>
      </c>
      <c r="K196" t="s">
        <v>2476</v>
      </c>
      <c r="L196" t="s">
        <v>2587</v>
      </c>
      <c r="M196" t="s">
        <v>2588</v>
      </c>
      <c r="N196" t="s">
        <v>2589</v>
      </c>
    </row>
    <row r="197" spans="1:14">
      <c r="A197" t="s">
        <v>2590</v>
      </c>
      <c r="B197" t="s">
        <v>2591</v>
      </c>
      <c r="C197" t="s">
        <v>2592</v>
      </c>
      <c r="D197" t="s">
        <v>2416</v>
      </c>
      <c r="E197" t="s">
        <v>130</v>
      </c>
      <c r="F197" t="s">
        <v>2593</v>
      </c>
      <c r="G197" t="s">
        <v>2594</v>
      </c>
      <c r="H197" t="s">
        <v>2595</v>
      </c>
      <c r="I197" t="s">
        <v>2596</v>
      </c>
      <c r="J197" t="s">
        <v>2597</v>
      </c>
      <c r="K197" t="s">
        <v>2476</v>
      </c>
      <c r="L197" t="s">
        <v>2598</v>
      </c>
      <c r="M197" t="s">
        <v>2599</v>
      </c>
      <c r="N197" t="s">
        <v>2600</v>
      </c>
    </row>
    <row r="198" spans="1:14">
      <c r="A198" t="s">
        <v>2601</v>
      </c>
      <c r="B198" t="s">
        <v>2602</v>
      </c>
      <c r="C198" t="s">
        <v>2603</v>
      </c>
      <c r="D198" t="s">
        <v>2604</v>
      </c>
      <c r="E198" t="s">
        <v>130</v>
      </c>
      <c r="F198" t="s">
        <v>2605</v>
      </c>
      <c r="G198" t="s">
        <v>2606</v>
      </c>
      <c r="H198" t="s">
        <v>2607</v>
      </c>
      <c r="I198" t="s">
        <v>2608</v>
      </c>
      <c r="J198" t="s">
        <v>2609</v>
      </c>
      <c r="K198" t="s">
        <v>2476</v>
      </c>
      <c r="L198" t="s">
        <v>2610</v>
      </c>
      <c r="M198" t="s">
        <v>2611</v>
      </c>
      <c r="N198" t="s">
        <v>2612</v>
      </c>
    </row>
    <row r="199" spans="1:14">
      <c r="A199" t="s">
        <v>2613</v>
      </c>
      <c r="B199" t="s">
        <v>2614</v>
      </c>
      <c r="C199" t="s">
        <v>2615</v>
      </c>
      <c r="D199" t="s">
        <v>2616</v>
      </c>
      <c r="E199" t="s">
        <v>130</v>
      </c>
      <c r="F199" t="s">
        <v>2617</v>
      </c>
      <c r="G199" t="s">
        <v>2618</v>
      </c>
      <c r="H199" t="s">
        <v>2619</v>
      </c>
      <c r="I199" t="s">
        <v>2620</v>
      </c>
      <c r="J199" t="s">
        <v>2621</v>
      </c>
      <c r="K199" t="s">
        <v>2476</v>
      </c>
      <c r="L199" t="s">
        <v>2622</v>
      </c>
      <c r="M199" t="s">
        <v>2623</v>
      </c>
      <c r="N199" t="s">
        <v>2624</v>
      </c>
    </row>
    <row r="200" spans="1:14">
      <c r="A200" t="s">
        <v>2625</v>
      </c>
      <c r="B200" t="s">
        <v>2626</v>
      </c>
      <c r="C200" t="s">
        <v>2627</v>
      </c>
      <c r="D200" t="s">
        <v>2628</v>
      </c>
      <c r="E200" t="s">
        <v>130</v>
      </c>
      <c r="F200" t="s">
        <v>2629</v>
      </c>
      <c r="G200" t="s">
        <v>2630</v>
      </c>
      <c r="H200" t="s">
        <v>2631</v>
      </c>
      <c r="I200" t="s">
        <v>2632</v>
      </c>
      <c r="J200" t="s">
        <v>2633</v>
      </c>
      <c r="K200" t="s">
        <v>2476</v>
      </c>
      <c r="L200" t="s">
        <v>2634</v>
      </c>
      <c r="M200" t="s">
        <v>2635</v>
      </c>
      <c r="N200" t="s">
        <v>2636</v>
      </c>
    </row>
    <row r="201" spans="1:14">
      <c r="A201" t="s">
        <v>2637</v>
      </c>
      <c r="B201" t="s">
        <v>2638</v>
      </c>
      <c r="C201" t="s">
        <v>2639</v>
      </c>
      <c r="D201" t="s">
        <v>2640</v>
      </c>
      <c r="E201" t="s">
        <v>130</v>
      </c>
      <c r="F201" t="s">
        <v>2641</v>
      </c>
      <c r="G201" t="s">
        <v>2642</v>
      </c>
      <c r="H201" t="s">
        <v>2643</v>
      </c>
      <c r="I201" t="s">
        <v>2644</v>
      </c>
      <c r="J201" t="s">
        <v>2645</v>
      </c>
      <c r="K201" t="s">
        <v>2476</v>
      </c>
      <c r="L201" t="s">
        <v>2646</v>
      </c>
      <c r="M201" t="s">
        <v>130</v>
      </c>
      <c r="N201" t="s">
        <v>131</v>
      </c>
    </row>
    <row r="202" spans="1:14">
      <c r="A202" t="s">
        <v>2647</v>
      </c>
      <c r="B202" t="s">
        <v>2648</v>
      </c>
      <c r="C202" t="s">
        <v>2649</v>
      </c>
      <c r="D202" t="s">
        <v>2650</v>
      </c>
      <c r="E202" t="s">
        <v>130</v>
      </c>
      <c r="F202" t="s">
        <v>2651</v>
      </c>
      <c r="G202" t="s">
        <v>2652</v>
      </c>
      <c r="H202" t="s">
        <v>2653</v>
      </c>
      <c r="I202" t="s">
        <v>2654</v>
      </c>
      <c r="J202" t="s">
        <v>2655</v>
      </c>
      <c r="K202" t="s">
        <v>2476</v>
      </c>
      <c r="L202" t="s">
        <v>2656</v>
      </c>
      <c r="M202" t="s">
        <v>130</v>
      </c>
      <c r="N202" t="s">
        <v>131</v>
      </c>
    </row>
    <row r="203" spans="1:14">
      <c r="A203" t="s">
        <v>2657</v>
      </c>
      <c r="B203" t="s">
        <v>2658</v>
      </c>
      <c r="C203" t="s">
        <v>2659</v>
      </c>
      <c r="D203" t="s">
        <v>2660</v>
      </c>
      <c r="E203" t="s">
        <v>130</v>
      </c>
      <c r="F203" t="s">
        <v>2661</v>
      </c>
      <c r="G203" t="s">
        <v>2662</v>
      </c>
      <c r="H203" t="s">
        <v>2663</v>
      </c>
      <c r="I203" t="s">
        <v>2664</v>
      </c>
      <c r="J203" t="s">
        <v>2665</v>
      </c>
      <c r="K203" t="s">
        <v>2476</v>
      </c>
      <c r="L203" t="s">
        <v>2666</v>
      </c>
      <c r="M203" t="s">
        <v>130</v>
      </c>
      <c r="N203" t="s">
        <v>131</v>
      </c>
    </row>
    <row r="204" spans="1:14">
      <c r="A204" t="s">
        <v>2667</v>
      </c>
      <c r="B204" t="s">
        <v>2668</v>
      </c>
      <c r="C204" t="s">
        <v>2669</v>
      </c>
      <c r="D204" t="s">
        <v>2670</v>
      </c>
      <c r="E204" t="s">
        <v>130</v>
      </c>
      <c r="F204" t="s">
        <v>2671</v>
      </c>
      <c r="G204" t="s">
        <v>2672</v>
      </c>
      <c r="H204" t="s">
        <v>2673</v>
      </c>
      <c r="I204" t="s">
        <v>2674</v>
      </c>
      <c r="J204" t="s">
        <v>2675</v>
      </c>
      <c r="K204" t="s">
        <v>2476</v>
      </c>
      <c r="L204" t="s">
        <v>2676</v>
      </c>
      <c r="M204" t="s">
        <v>130</v>
      </c>
      <c r="N204" t="s">
        <v>131</v>
      </c>
    </row>
    <row r="205" spans="1:14">
      <c r="A205" t="s">
        <v>2677</v>
      </c>
      <c r="B205" t="s">
        <v>2678</v>
      </c>
      <c r="C205" t="s">
        <v>2679</v>
      </c>
      <c r="D205" t="s">
        <v>2680</v>
      </c>
      <c r="E205" t="s">
        <v>130</v>
      </c>
      <c r="F205" t="s">
        <v>2681</v>
      </c>
      <c r="G205" t="s">
        <v>2682</v>
      </c>
      <c r="H205" t="s">
        <v>2683</v>
      </c>
      <c r="I205" t="s">
        <v>2684</v>
      </c>
      <c r="J205" t="s">
        <v>2685</v>
      </c>
      <c r="K205" t="s">
        <v>2476</v>
      </c>
      <c r="L205" t="s">
        <v>2686</v>
      </c>
      <c r="M205" t="s">
        <v>2687</v>
      </c>
      <c r="N205" t="s">
        <v>2688</v>
      </c>
    </row>
    <row r="206" spans="1:14">
      <c r="A206" t="s">
        <v>2689</v>
      </c>
      <c r="B206" t="s">
        <v>2690</v>
      </c>
      <c r="C206" t="s">
        <v>2691</v>
      </c>
      <c r="D206" t="s">
        <v>2692</v>
      </c>
      <c r="E206" t="s">
        <v>130</v>
      </c>
      <c r="F206" t="s">
        <v>2693</v>
      </c>
      <c r="G206" t="s">
        <v>2694</v>
      </c>
      <c r="H206" t="s">
        <v>2695</v>
      </c>
      <c r="I206" t="s">
        <v>2696</v>
      </c>
      <c r="J206" t="s">
        <v>2697</v>
      </c>
      <c r="K206" t="s">
        <v>2476</v>
      </c>
      <c r="L206" t="s">
        <v>2698</v>
      </c>
      <c r="M206" t="s">
        <v>2699</v>
      </c>
      <c r="N206" t="s">
        <v>2700</v>
      </c>
    </row>
    <row r="207" spans="1:14">
      <c r="A207" t="s">
        <v>2701</v>
      </c>
      <c r="B207" t="s">
        <v>2702</v>
      </c>
      <c r="C207" t="s">
        <v>2703</v>
      </c>
      <c r="D207" t="s">
        <v>2704</v>
      </c>
      <c r="E207" t="s">
        <v>130</v>
      </c>
      <c r="F207" t="s">
        <v>2705</v>
      </c>
      <c r="G207" t="s">
        <v>2706</v>
      </c>
      <c r="H207" t="s">
        <v>2707</v>
      </c>
      <c r="I207" t="s">
        <v>2708</v>
      </c>
      <c r="J207" t="s">
        <v>2709</v>
      </c>
      <c r="K207" t="s">
        <v>2476</v>
      </c>
      <c r="L207" t="s">
        <v>2710</v>
      </c>
      <c r="M207" t="s">
        <v>2711</v>
      </c>
      <c r="N207" t="s">
        <v>2712</v>
      </c>
    </row>
    <row r="208" spans="1:14">
      <c r="A208" t="s">
        <v>2713</v>
      </c>
      <c r="B208" t="s">
        <v>2714</v>
      </c>
      <c r="C208" t="s">
        <v>2715</v>
      </c>
      <c r="D208" t="s">
        <v>2716</v>
      </c>
      <c r="E208" t="s">
        <v>130</v>
      </c>
      <c r="F208" t="s">
        <v>2717</v>
      </c>
      <c r="G208" t="s">
        <v>2718</v>
      </c>
      <c r="H208" t="s">
        <v>2509</v>
      </c>
      <c r="I208" t="s">
        <v>2719</v>
      </c>
      <c r="J208" t="s">
        <v>2720</v>
      </c>
      <c r="K208" t="s">
        <v>2476</v>
      </c>
      <c r="L208" t="s">
        <v>2721</v>
      </c>
      <c r="M208" t="s">
        <v>2722</v>
      </c>
      <c r="N208" t="s">
        <v>2723</v>
      </c>
    </row>
    <row r="209" spans="1:14">
      <c r="A209" t="s">
        <v>2724</v>
      </c>
      <c r="B209" t="s">
        <v>2725</v>
      </c>
      <c r="C209" t="s">
        <v>2726</v>
      </c>
      <c r="D209" t="s">
        <v>2727</v>
      </c>
      <c r="E209" t="s">
        <v>130</v>
      </c>
      <c r="F209" t="s">
        <v>2728</v>
      </c>
      <c r="G209" t="s">
        <v>2729</v>
      </c>
      <c r="H209" t="s">
        <v>2730</v>
      </c>
      <c r="I209" t="s">
        <v>2731</v>
      </c>
      <c r="J209" t="s">
        <v>2732</v>
      </c>
      <c r="K209" t="s">
        <v>2476</v>
      </c>
      <c r="L209" t="s">
        <v>2733</v>
      </c>
      <c r="M209" t="s">
        <v>2734</v>
      </c>
      <c r="N209" t="s">
        <v>2735</v>
      </c>
    </row>
    <row r="210" spans="1:14">
      <c r="A210" t="s">
        <v>2736</v>
      </c>
      <c r="B210" t="s">
        <v>2737</v>
      </c>
      <c r="C210" t="s">
        <v>2738</v>
      </c>
      <c r="D210" t="s">
        <v>2739</v>
      </c>
      <c r="E210" t="s">
        <v>130</v>
      </c>
      <c r="F210" t="s">
        <v>2740</v>
      </c>
      <c r="G210" t="s">
        <v>2741</v>
      </c>
      <c r="H210" t="s">
        <v>2742</v>
      </c>
      <c r="I210" t="s">
        <v>2743</v>
      </c>
      <c r="J210" t="s">
        <v>2744</v>
      </c>
      <c r="K210" t="s">
        <v>2476</v>
      </c>
      <c r="L210" t="s">
        <v>2745</v>
      </c>
      <c r="M210" t="s">
        <v>2746</v>
      </c>
      <c r="N210" t="s">
        <v>2747</v>
      </c>
    </row>
    <row r="211" spans="1:14">
      <c r="A211" t="s">
        <v>2748</v>
      </c>
      <c r="B211" t="s">
        <v>2749</v>
      </c>
      <c r="C211" t="s">
        <v>2750</v>
      </c>
      <c r="D211" t="s">
        <v>2751</v>
      </c>
      <c r="E211" t="s">
        <v>130</v>
      </c>
      <c r="F211" t="s">
        <v>2752</v>
      </c>
      <c r="G211" t="s">
        <v>2753</v>
      </c>
      <c r="H211" t="s">
        <v>2604</v>
      </c>
      <c r="I211" t="s">
        <v>2754</v>
      </c>
      <c r="J211" t="s">
        <v>2755</v>
      </c>
      <c r="K211" t="s">
        <v>2476</v>
      </c>
      <c r="L211" t="s">
        <v>2756</v>
      </c>
      <c r="M211" t="s">
        <v>2757</v>
      </c>
      <c r="N211" t="s">
        <v>514</v>
      </c>
    </row>
    <row r="212" spans="1:14">
      <c r="A212" t="s">
        <v>2758</v>
      </c>
      <c r="B212" t="s">
        <v>2759</v>
      </c>
      <c r="C212" t="s">
        <v>2760</v>
      </c>
      <c r="D212" t="s">
        <v>2761</v>
      </c>
      <c r="E212" t="s">
        <v>130</v>
      </c>
      <c r="F212" t="s">
        <v>2762</v>
      </c>
      <c r="G212" t="s">
        <v>2763</v>
      </c>
      <c r="H212" t="s">
        <v>2764</v>
      </c>
      <c r="I212" t="s">
        <v>2765</v>
      </c>
      <c r="J212" t="s">
        <v>2766</v>
      </c>
      <c r="K212" t="s">
        <v>2476</v>
      </c>
      <c r="L212" t="s">
        <v>2767</v>
      </c>
      <c r="M212" t="s">
        <v>2768</v>
      </c>
      <c r="N212" t="s">
        <v>2769</v>
      </c>
    </row>
    <row r="213" spans="1:14">
      <c r="A213" t="s">
        <v>2770</v>
      </c>
      <c r="B213" t="s">
        <v>2771</v>
      </c>
      <c r="C213" t="s">
        <v>2772</v>
      </c>
      <c r="D213" t="s">
        <v>2692</v>
      </c>
      <c r="E213" t="s">
        <v>130</v>
      </c>
      <c r="F213" t="s">
        <v>2773</v>
      </c>
      <c r="G213" t="s">
        <v>2774</v>
      </c>
      <c r="H213" t="s">
        <v>2775</v>
      </c>
      <c r="I213" t="s">
        <v>2776</v>
      </c>
      <c r="J213" t="s">
        <v>2777</v>
      </c>
      <c r="K213" t="s">
        <v>2476</v>
      </c>
      <c r="L213" t="s">
        <v>2778</v>
      </c>
      <c r="M213" t="s">
        <v>130</v>
      </c>
      <c r="N213" t="s">
        <v>131</v>
      </c>
    </row>
    <row r="214" spans="1:14">
      <c r="A214" t="s">
        <v>2779</v>
      </c>
      <c r="B214" t="s">
        <v>2780</v>
      </c>
      <c r="C214" t="s">
        <v>2781</v>
      </c>
      <c r="D214" t="s">
        <v>2782</v>
      </c>
      <c r="E214" t="s">
        <v>130</v>
      </c>
      <c r="F214" t="s">
        <v>2783</v>
      </c>
      <c r="G214" t="s">
        <v>2784</v>
      </c>
      <c r="H214" t="s">
        <v>2785</v>
      </c>
      <c r="I214" t="s">
        <v>2786</v>
      </c>
      <c r="J214" t="s">
        <v>2787</v>
      </c>
      <c r="K214" t="s">
        <v>2476</v>
      </c>
      <c r="L214" t="s">
        <v>2788</v>
      </c>
      <c r="M214" t="s">
        <v>130</v>
      </c>
      <c r="N214" t="s">
        <v>131</v>
      </c>
    </row>
    <row r="215" spans="1:14">
      <c r="A215" t="s">
        <v>2789</v>
      </c>
      <c r="B215" t="s">
        <v>2790</v>
      </c>
      <c r="C215" t="s">
        <v>2791</v>
      </c>
      <c r="D215" t="s">
        <v>2792</v>
      </c>
      <c r="E215" t="s">
        <v>130</v>
      </c>
      <c r="F215" t="s">
        <v>2793</v>
      </c>
      <c r="G215" t="s">
        <v>2794</v>
      </c>
      <c r="H215" t="s">
        <v>2795</v>
      </c>
      <c r="I215" t="s">
        <v>2796</v>
      </c>
      <c r="J215" t="s">
        <v>2797</v>
      </c>
      <c r="K215" t="s">
        <v>2476</v>
      </c>
      <c r="L215" t="s">
        <v>2798</v>
      </c>
      <c r="M215" t="s">
        <v>130</v>
      </c>
      <c r="N215" t="s">
        <v>131</v>
      </c>
    </row>
    <row r="216" spans="1:14">
      <c r="A216" t="s">
        <v>2799</v>
      </c>
      <c r="B216" t="s">
        <v>2800</v>
      </c>
      <c r="C216" t="s">
        <v>2801</v>
      </c>
      <c r="D216" t="s">
        <v>2802</v>
      </c>
      <c r="E216" t="s">
        <v>130</v>
      </c>
      <c r="F216" t="s">
        <v>2803</v>
      </c>
      <c r="G216" t="s">
        <v>2804</v>
      </c>
      <c r="H216" t="s">
        <v>2805</v>
      </c>
      <c r="I216" t="s">
        <v>2806</v>
      </c>
      <c r="J216" t="s">
        <v>2807</v>
      </c>
      <c r="K216" t="s">
        <v>2476</v>
      </c>
      <c r="L216" t="s">
        <v>2808</v>
      </c>
      <c r="M216" t="s">
        <v>130</v>
      </c>
      <c r="N216" t="s">
        <v>131</v>
      </c>
    </row>
    <row r="217" spans="1:14">
      <c r="A217" t="s">
        <v>2809</v>
      </c>
      <c r="B217" t="s">
        <v>2810</v>
      </c>
      <c r="C217" t="s">
        <v>2811</v>
      </c>
      <c r="D217" t="s">
        <v>2812</v>
      </c>
      <c r="E217" t="s">
        <v>130</v>
      </c>
      <c r="F217" t="s">
        <v>2813</v>
      </c>
      <c r="G217" t="s">
        <v>2814</v>
      </c>
      <c r="H217" t="s">
        <v>2815</v>
      </c>
      <c r="I217" t="s">
        <v>2816</v>
      </c>
      <c r="J217" t="s">
        <v>2817</v>
      </c>
      <c r="K217" t="s">
        <v>2476</v>
      </c>
      <c r="L217" t="s">
        <v>2818</v>
      </c>
      <c r="M217" t="s">
        <v>2819</v>
      </c>
      <c r="N217" t="s">
        <v>2820</v>
      </c>
    </row>
    <row r="218" spans="1:14">
      <c r="A218" t="s">
        <v>2821</v>
      </c>
      <c r="B218" t="s">
        <v>2822</v>
      </c>
      <c r="C218" t="s">
        <v>2823</v>
      </c>
      <c r="D218" t="s">
        <v>2824</v>
      </c>
      <c r="E218" t="s">
        <v>130</v>
      </c>
      <c r="F218" t="s">
        <v>2825</v>
      </c>
      <c r="G218" t="s">
        <v>2826</v>
      </c>
      <c r="H218" t="s">
        <v>2827</v>
      </c>
      <c r="I218" t="s">
        <v>2828</v>
      </c>
      <c r="J218" t="s">
        <v>2829</v>
      </c>
      <c r="K218" t="s">
        <v>2476</v>
      </c>
      <c r="L218" t="s">
        <v>2830</v>
      </c>
      <c r="M218" t="s">
        <v>2831</v>
      </c>
      <c r="N218" t="s">
        <v>2832</v>
      </c>
    </row>
    <row r="219" spans="1:14">
      <c r="A219" t="s">
        <v>2833</v>
      </c>
      <c r="B219" t="s">
        <v>2834</v>
      </c>
      <c r="C219" t="s">
        <v>2835</v>
      </c>
      <c r="D219" t="s">
        <v>2836</v>
      </c>
      <c r="E219" t="s">
        <v>130</v>
      </c>
      <c r="F219" t="s">
        <v>2837</v>
      </c>
      <c r="G219" t="s">
        <v>2838</v>
      </c>
      <c r="H219" t="s">
        <v>2839</v>
      </c>
      <c r="I219" t="s">
        <v>2840</v>
      </c>
      <c r="J219" t="s">
        <v>2841</v>
      </c>
      <c r="K219" t="s">
        <v>2476</v>
      </c>
      <c r="L219" t="s">
        <v>2842</v>
      </c>
      <c r="M219" t="s">
        <v>2843</v>
      </c>
      <c r="N219" t="s">
        <v>2844</v>
      </c>
    </row>
    <row r="220" spans="1:14">
      <c r="A220" t="s">
        <v>2845</v>
      </c>
      <c r="B220" t="s">
        <v>2846</v>
      </c>
      <c r="C220" t="s">
        <v>2847</v>
      </c>
      <c r="D220" t="s">
        <v>2630</v>
      </c>
      <c r="E220" t="s">
        <v>130</v>
      </c>
      <c r="F220" t="s">
        <v>2848</v>
      </c>
      <c r="G220" t="s">
        <v>2849</v>
      </c>
      <c r="H220" t="s">
        <v>2850</v>
      </c>
      <c r="I220" t="s">
        <v>2851</v>
      </c>
      <c r="J220" t="s">
        <v>2852</v>
      </c>
      <c r="K220" t="s">
        <v>2476</v>
      </c>
      <c r="L220" t="s">
        <v>2853</v>
      </c>
      <c r="M220" t="s">
        <v>2854</v>
      </c>
      <c r="N220" t="s">
        <v>2855</v>
      </c>
    </row>
    <row r="221" spans="1:14">
      <c r="A221" t="s">
        <v>2856</v>
      </c>
      <c r="B221" t="s">
        <v>2857</v>
      </c>
      <c r="C221" t="s">
        <v>2858</v>
      </c>
      <c r="D221" t="s">
        <v>2859</v>
      </c>
      <c r="E221" t="s">
        <v>130</v>
      </c>
      <c r="F221" t="s">
        <v>2860</v>
      </c>
      <c r="G221" t="s">
        <v>2861</v>
      </c>
      <c r="H221" t="s">
        <v>2862</v>
      </c>
      <c r="I221" t="s">
        <v>2863</v>
      </c>
      <c r="J221" t="s">
        <v>2864</v>
      </c>
      <c r="K221" t="s">
        <v>2476</v>
      </c>
      <c r="L221" t="s">
        <v>2865</v>
      </c>
      <c r="M221" t="s">
        <v>2866</v>
      </c>
      <c r="N221" t="s">
        <v>2867</v>
      </c>
    </row>
    <row r="222" spans="1:14">
      <c r="A222" t="s">
        <v>2868</v>
      </c>
      <c r="B222" t="s">
        <v>2869</v>
      </c>
      <c r="C222" t="s">
        <v>2870</v>
      </c>
      <c r="D222" t="s">
        <v>2871</v>
      </c>
      <c r="E222" t="s">
        <v>130</v>
      </c>
      <c r="F222" t="s">
        <v>2872</v>
      </c>
      <c r="G222" t="s">
        <v>2873</v>
      </c>
      <c r="H222" t="s">
        <v>2874</v>
      </c>
      <c r="I222" t="s">
        <v>2875</v>
      </c>
      <c r="J222" t="s">
        <v>2876</v>
      </c>
      <c r="K222" t="s">
        <v>2476</v>
      </c>
      <c r="L222" t="s">
        <v>2877</v>
      </c>
      <c r="M222" t="s">
        <v>2878</v>
      </c>
      <c r="N222" t="s">
        <v>2879</v>
      </c>
    </row>
    <row r="223" spans="1:14">
      <c r="A223" t="s">
        <v>2880</v>
      </c>
      <c r="B223" t="s">
        <v>2881</v>
      </c>
      <c r="C223" t="s">
        <v>2882</v>
      </c>
      <c r="D223" t="s">
        <v>2883</v>
      </c>
      <c r="E223" t="s">
        <v>130</v>
      </c>
      <c r="F223" t="s">
        <v>2884</v>
      </c>
      <c r="G223" t="s">
        <v>2885</v>
      </c>
      <c r="H223" t="s">
        <v>2886</v>
      </c>
      <c r="I223" t="s">
        <v>2887</v>
      </c>
      <c r="J223" t="s">
        <v>2888</v>
      </c>
      <c r="K223" t="s">
        <v>2476</v>
      </c>
      <c r="L223" t="s">
        <v>2889</v>
      </c>
      <c r="M223" t="s">
        <v>2890</v>
      </c>
      <c r="N223" t="s">
        <v>2891</v>
      </c>
    </row>
    <row r="224" spans="1:14">
      <c r="A224" t="s">
        <v>2892</v>
      </c>
      <c r="B224" t="s">
        <v>2893</v>
      </c>
      <c r="C224" t="s">
        <v>2894</v>
      </c>
      <c r="D224" t="s">
        <v>2802</v>
      </c>
      <c r="E224" t="s">
        <v>130</v>
      </c>
      <c r="F224" t="s">
        <v>2895</v>
      </c>
      <c r="G224" t="s">
        <v>2896</v>
      </c>
      <c r="H224" t="s">
        <v>2897</v>
      </c>
      <c r="I224" t="s">
        <v>2898</v>
      </c>
      <c r="J224" t="s">
        <v>2899</v>
      </c>
      <c r="K224" t="s">
        <v>2476</v>
      </c>
      <c r="L224" t="s">
        <v>2900</v>
      </c>
      <c r="M224" t="s">
        <v>2901</v>
      </c>
      <c r="N224" t="s">
        <v>2902</v>
      </c>
    </row>
    <row r="225" spans="1:14">
      <c r="A225" t="s">
        <v>2903</v>
      </c>
      <c r="B225" t="s">
        <v>2904</v>
      </c>
      <c r="C225" t="s">
        <v>2905</v>
      </c>
      <c r="D225" t="s">
        <v>2906</v>
      </c>
      <c r="E225" t="s">
        <v>130</v>
      </c>
      <c r="F225" t="s">
        <v>2907</v>
      </c>
      <c r="G225" t="s">
        <v>2908</v>
      </c>
      <c r="H225" t="s">
        <v>2909</v>
      </c>
      <c r="I225" t="s">
        <v>2910</v>
      </c>
      <c r="J225" t="s">
        <v>2911</v>
      </c>
      <c r="K225" t="s">
        <v>2476</v>
      </c>
      <c r="L225" t="s">
        <v>2912</v>
      </c>
      <c r="M225" t="s">
        <v>130</v>
      </c>
      <c r="N225" t="s">
        <v>131</v>
      </c>
    </row>
    <row r="226" spans="1:14">
      <c r="A226" t="s">
        <v>2913</v>
      </c>
      <c r="B226" t="s">
        <v>2914</v>
      </c>
      <c r="C226" t="s">
        <v>2915</v>
      </c>
      <c r="D226" t="s">
        <v>2916</v>
      </c>
      <c r="E226" t="s">
        <v>130</v>
      </c>
      <c r="F226" t="s">
        <v>2917</v>
      </c>
      <c r="G226" t="s">
        <v>2918</v>
      </c>
      <c r="H226" t="s">
        <v>2919</v>
      </c>
      <c r="I226" t="s">
        <v>2920</v>
      </c>
      <c r="J226" t="s">
        <v>2921</v>
      </c>
      <c r="K226" t="s">
        <v>2476</v>
      </c>
      <c r="L226" t="s">
        <v>2922</v>
      </c>
      <c r="M226" t="s">
        <v>130</v>
      </c>
      <c r="N226" t="s">
        <v>131</v>
      </c>
    </row>
    <row r="227" spans="1:14">
      <c r="A227" t="s">
        <v>2923</v>
      </c>
      <c r="B227" t="s">
        <v>2924</v>
      </c>
      <c r="C227" t="s">
        <v>2925</v>
      </c>
      <c r="D227" t="s">
        <v>2926</v>
      </c>
      <c r="E227" t="s">
        <v>130</v>
      </c>
      <c r="F227" t="s">
        <v>2927</v>
      </c>
      <c r="G227" t="s">
        <v>2928</v>
      </c>
      <c r="H227" t="s">
        <v>2929</v>
      </c>
      <c r="I227" t="s">
        <v>2930</v>
      </c>
      <c r="J227" t="s">
        <v>2931</v>
      </c>
      <c r="K227" t="s">
        <v>2476</v>
      </c>
      <c r="L227" t="s">
        <v>2932</v>
      </c>
      <c r="M227" t="s">
        <v>130</v>
      </c>
      <c r="N227" t="s">
        <v>131</v>
      </c>
    </row>
    <row r="228" spans="1:14">
      <c r="A228" t="s">
        <v>2933</v>
      </c>
      <c r="B228" t="s">
        <v>2934</v>
      </c>
      <c r="C228" t="s">
        <v>2935</v>
      </c>
      <c r="D228" t="s">
        <v>2936</v>
      </c>
      <c r="E228" t="s">
        <v>130</v>
      </c>
      <c r="F228" t="s">
        <v>2937</v>
      </c>
      <c r="G228" t="s">
        <v>2938</v>
      </c>
      <c r="H228" t="s">
        <v>2939</v>
      </c>
      <c r="I228" t="s">
        <v>2940</v>
      </c>
      <c r="J228" t="s">
        <v>2941</v>
      </c>
      <c r="K228" t="s">
        <v>2476</v>
      </c>
      <c r="L228" t="s">
        <v>2942</v>
      </c>
      <c r="M228" t="s">
        <v>130</v>
      </c>
      <c r="N228" t="s">
        <v>131</v>
      </c>
    </row>
    <row r="229" spans="1:14">
      <c r="A229" t="s">
        <v>2943</v>
      </c>
      <c r="B229" t="s">
        <v>2944</v>
      </c>
      <c r="C229" t="s">
        <v>2945</v>
      </c>
      <c r="D229" t="s">
        <v>2946</v>
      </c>
      <c r="E229" t="s">
        <v>130</v>
      </c>
      <c r="F229" t="s">
        <v>2947</v>
      </c>
      <c r="G229" t="s">
        <v>2948</v>
      </c>
      <c r="H229" t="s">
        <v>2949</v>
      </c>
      <c r="I229" t="s">
        <v>2950</v>
      </c>
      <c r="J229" t="s">
        <v>2951</v>
      </c>
      <c r="K229" t="s">
        <v>2476</v>
      </c>
      <c r="L229" t="s">
        <v>2952</v>
      </c>
      <c r="M229" t="s">
        <v>2953</v>
      </c>
      <c r="N229" t="s">
        <v>2954</v>
      </c>
    </row>
    <row r="230" spans="1:14">
      <c r="A230" t="s">
        <v>2955</v>
      </c>
      <c r="B230" t="s">
        <v>2956</v>
      </c>
      <c r="C230" t="s">
        <v>2957</v>
      </c>
      <c r="D230" t="s">
        <v>2958</v>
      </c>
      <c r="E230" t="s">
        <v>130</v>
      </c>
      <c r="F230" t="s">
        <v>2959</v>
      </c>
      <c r="G230" t="s">
        <v>2960</v>
      </c>
      <c r="H230" t="s">
        <v>2961</v>
      </c>
      <c r="I230" t="s">
        <v>2962</v>
      </c>
      <c r="J230" t="s">
        <v>2963</v>
      </c>
      <c r="K230" t="s">
        <v>2476</v>
      </c>
      <c r="L230" t="s">
        <v>2964</v>
      </c>
      <c r="M230" t="s">
        <v>2965</v>
      </c>
      <c r="N230" t="s">
        <v>2966</v>
      </c>
    </row>
    <row r="231" spans="1:14">
      <c r="A231" t="s">
        <v>2967</v>
      </c>
      <c r="B231" t="s">
        <v>2968</v>
      </c>
      <c r="C231" t="s">
        <v>2969</v>
      </c>
      <c r="D231" t="s">
        <v>2970</v>
      </c>
      <c r="E231" t="s">
        <v>130</v>
      </c>
      <c r="F231" t="s">
        <v>2971</v>
      </c>
      <c r="G231" t="s">
        <v>2972</v>
      </c>
      <c r="H231" t="s">
        <v>2973</v>
      </c>
      <c r="I231" t="s">
        <v>2974</v>
      </c>
      <c r="J231" t="s">
        <v>2975</v>
      </c>
      <c r="K231" t="s">
        <v>2476</v>
      </c>
      <c r="L231" t="s">
        <v>2976</v>
      </c>
      <c r="M231" t="s">
        <v>2977</v>
      </c>
      <c r="N231" t="s">
        <v>2978</v>
      </c>
    </row>
    <row r="232" spans="1:14">
      <c r="A232" t="s">
        <v>2979</v>
      </c>
      <c r="B232" t="s">
        <v>2980</v>
      </c>
      <c r="C232" t="s">
        <v>2981</v>
      </c>
      <c r="D232" t="s">
        <v>2946</v>
      </c>
      <c r="E232" t="s">
        <v>130</v>
      </c>
      <c r="F232" t="s">
        <v>2982</v>
      </c>
      <c r="G232" t="s">
        <v>2983</v>
      </c>
      <c r="H232" t="s">
        <v>2984</v>
      </c>
      <c r="I232" t="s">
        <v>2985</v>
      </c>
      <c r="J232" t="s">
        <v>2986</v>
      </c>
      <c r="K232" t="s">
        <v>2476</v>
      </c>
      <c r="L232" t="s">
        <v>2987</v>
      </c>
      <c r="M232" t="s">
        <v>1006</v>
      </c>
      <c r="N232" t="s">
        <v>2988</v>
      </c>
    </row>
    <row r="233" spans="1:14">
      <c r="A233" t="s">
        <v>2989</v>
      </c>
      <c r="B233" t="s">
        <v>2990</v>
      </c>
      <c r="C233" t="s">
        <v>2991</v>
      </c>
      <c r="D233" t="s">
        <v>2992</v>
      </c>
      <c r="E233" t="s">
        <v>130</v>
      </c>
      <c r="F233" t="s">
        <v>2993</v>
      </c>
      <c r="G233" t="s">
        <v>2994</v>
      </c>
      <c r="H233" t="s">
        <v>2345</v>
      </c>
      <c r="I233" t="s">
        <v>2995</v>
      </c>
      <c r="J233" t="s">
        <v>2996</v>
      </c>
      <c r="K233" t="s">
        <v>2476</v>
      </c>
      <c r="L233" t="s">
        <v>2997</v>
      </c>
      <c r="M233" t="s">
        <v>2998</v>
      </c>
      <c r="N233" t="s">
        <v>2999</v>
      </c>
    </row>
    <row r="234" spans="1:14">
      <c r="A234" t="s">
        <v>3000</v>
      </c>
      <c r="B234" t="s">
        <v>3001</v>
      </c>
      <c r="C234" t="s">
        <v>3002</v>
      </c>
      <c r="D234" t="s">
        <v>3003</v>
      </c>
      <c r="E234" t="s">
        <v>130</v>
      </c>
      <c r="F234" t="s">
        <v>3004</v>
      </c>
      <c r="G234" t="s">
        <v>3005</v>
      </c>
      <c r="H234" t="s">
        <v>3006</v>
      </c>
      <c r="I234" t="s">
        <v>3007</v>
      </c>
      <c r="J234" t="s">
        <v>3008</v>
      </c>
      <c r="K234" t="s">
        <v>2476</v>
      </c>
      <c r="L234" t="s">
        <v>3009</v>
      </c>
      <c r="M234" t="s">
        <v>3010</v>
      </c>
      <c r="N234" t="s">
        <v>3011</v>
      </c>
    </row>
    <row r="235" spans="1:14">
      <c r="A235" t="s">
        <v>3012</v>
      </c>
      <c r="B235" t="s">
        <v>3013</v>
      </c>
      <c r="C235" t="s">
        <v>3014</v>
      </c>
      <c r="D235" t="s">
        <v>3015</v>
      </c>
      <c r="E235" t="s">
        <v>130</v>
      </c>
      <c r="F235" t="s">
        <v>3016</v>
      </c>
      <c r="G235" t="s">
        <v>3017</v>
      </c>
      <c r="H235" t="s">
        <v>3018</v>
      </c>
      <c r="I235" t="s">
        <v>3019</v>
      </c>
      <c r="J235" t="s">
        <v>3020</v>
      </c>
      <c r="K235" t="s">
        <v>2476</v>
      </c>
      <c r="L235" t="s">
        <v>3021</v>
      </c>
      <c r="M235" t="s">
        <v>3022</v>
      </c>
      <c r="N235" t="s">
        <v>3023</v>
      </c>
    </row>
    <row r="236" spans="1:14">
      <c r="A236" t="s">
        <v>3024</v>
      </c>
      <c r="B236" t="s">
        <v>3025</v>
      </c>
      <c r="C236" t="s">
        <v>3026</v>
      </c>
      <c r="D236" t="s">
        <v>3027</v>
      </c>
      <c r="E236" t="s">
        <v>130</v>
      </c>
      <c r="F236" t="s">
        <v>3028</v>
      </c>
      <c r="G236" t="s">
        <v>3029</v>
      </c>
      <c r="H236" t="s">
        <v>2939</v>
      </c>
      <c r="I236" t="s">
        <v>3030</v>
      </c>
      <c r="J236" t="s">
        <v>3031</v>
      </c>
      <c r="K236" t="s">
        <v>2476</v>
      </c>
      <c r="L236" t="s">
        <v>3032</v>
      </c>
      <c r="M236" t="s">
        <v>3033</v>
      </c>
      <c r="N236" t="s">
        <v>3034</v>
      </c>
    </row>
    <row r="237" spans="1:14">
      <c r="A237" t="s">
        <v>3035</v>
      </c>
      <c r="B237" t="s">
        <v>3036</v>
      </c>
      <c r="C237" t="s">
        <v>3037</v>
      </c>
      <c r="D237" t="s">
        <v>3038</v>
      </c>
      <c r="E237" t="s">
        <v>130</v>
      </c>
      <c r="F237" t="s">
        <v>3039</v>
      </c>
      <c r="G237" t="s">
        <v>3040</v>
      </c>
      <c r="H237" t="s">
        <v>3041</v>
      </c>
      <c r="I237" t="s">
        <v>3042</v>
      </c>
      <c r="J237" t="s">
        <v>3043</v>
      </c>
      <c r="K237" t="s">
        <v>2476</v>
      </c>
      <c r="L237" t="s">
        <v>3044</v>
      </c>
      <c r="M237" t="s">
        <v>130</v>
      </c>
      <c r="N237" t="s">
        <v>131</v>
      </c>
    </row>
    <row r="238" spans="1:14">
      <c r="A238" t="s">
        <v>3045</v>
      </c>
      <c r="B238" t="s">
        <v>3046</v>
      </c>
      <c r="C238" t="s">
        <v>3047</v>
      </c>
      <c r="D238" t="s">
        <v>3048</v>
      </c>
      <c r="E238" t="s">
        <v>130</v>
      </c>
      <c r="F238" t="s">
        <v>3049</v>
      </c>
      <c r="G238" t="s">
        <v>3050</v>
      </c>
      <c r="H238" t="s">
        <v>3051</v>
      </c>
      <c r="I238" t="s">
        <v>3052</v>
      </c>
      <c r="J238" t="s">
        <v>3053</v>
      </c>
      <c r="K238" t="s">
        <v>2476</v>
      </c>
      <c r="L238" t="s">
        <v>3054</v>
      </c>
      <c r="M238" t="s">
        <v>130</v>
      </c>
      <c r="N238" t="s">
        <v>131</v>
      </c>
    </row>
    <row r="239" spans="1:14">
      <c r="A239" t="s">
        <v>3055</v>
      </c>
      <c r="B239" t="s">
        <v>3056</v>
      </c>
      <c r="C239" t="s">
        <v>3057</v>
      </c>
      <c r="D239" t="s">
        <v>3058</v>
      </c>
      <c r="E239" t="s">
        <v>130</v>
      </c>
      <c r="F239" t="s">
        <v>3059</v>
      </c>
      <c r="G239" t="s">
        <v>3060</v>
      </c>
      <c r="H239" t="s">
        <v>3061</v>
      </c>
      <c r="I239" t="s">
        <v>3062</v>
      </c>
      <c r="J239" t="s">
        <v>3063</v>
      </c>
      <c r="K239" t="s">
        <v>2476</v>
      </c>
      <c r="L239" t="s">
        <v>3064</v>
      </c>
      <c r="M239" t="s">
        <v>130</v>
      </c>
      <c r="N239" t="s">
        <v>131</v>
      </c>
    </row>
    <row r="240" spans="1:14">
      <c r="A240" t="s">
        <v>3065</v>
      </c>
      <c r="B240" t="s">
        <v>3066</v>
      </c>
      <c r="C240" t="s">
        <v>3067</v>
      </c>
      <c r="D240" t="s">
        <v>3068</v>
      </c>
      <c r="E240" t="s">
        <v>130</v>
      </c>
      <c r="F240" t="s">
        <v>3069</v>
      </c>
      <c r="G240" t="s">
        <v>3070</v>
      </c>
      <c r="H240" t="s">
        <v>3071</v>
      </c>
      <c r="I240" t="s">
        <v>3072</v>
      </c>
      <c r="J240" t="s">
        <v>3073</v>
      </c>
      <c r="K240" t="s">
        <v>2476</v>
      </c>
      <c r="L240" t="s">
        <v>3074</v>
      </c>
      <c r="M240" t="s">
        <v>130</v>
      </c>
      <c r="N240" t="s">
        <v>131</v>
      </c>
    </row>
    <row r="241" spans="1:14">
      <c r="A241" t="s">
        <v>3075</v>
      </c>
      <c r="B241" t="s">
        <v>3076</v>
      </c>
      <c r="C241" t="s">
        <v>3077</v>
      </c>
      <c r="D241" t="s">
        <v>3078</v>
      </c>
      <c r="E241" t="s">
        <v>130</v>
      </c>
      <c r="F241" t="s">
        <v>3079</v>
      </c>
      <c r="G241" t="s">
        <v>3080</v>
      </c>
      <c r="H241" t="s">
        <v>3081</v>
      </c>
      <c r="I241" t="s">
        <v>3082</v>
      </c>
      <c r="J241" t="s">
        <v>3083</v>
      </c>
      <c r="K241" t="s">
        <v>2476</v>
      </c>
      <c r="L241" t="s">
        <v>3084</v>
      </c>
      <c r="M241" t="s">
        <v>3085</v>
      </c>
      <c r="N241" t="s">
        <v>889</v>
      </c>
    </row>
    <row r="242" spans="1:14">
      <c r="A242" t="s">
        <v>3086</v>
      </c>
      <c r="B242" t="s">
        <v>3087</v>
      </c>
      <c r="C242" t="s">
        <v>3088</v>
      </c>
      <c r="D242" t="s">
        <v>3089</v>
      </c>
      <c r="E242" t="s">
        <v>130</v>
      </c>
      <c r="F242" t="s">
        <v>3090</v>
      </c>
      <c r="G242" t="s">
        <v>3091</v>
      </c>
      <c r="H242" t="s">
        <v>3092</v>
      </c>
      <c r="I242" t="s">
        <v>3093</v>
      </c>
      <c r="J242" t="s">
        <v>3094</v>
      </c>
      <c r="K242" t="s">
        <v>2476</v>
      </c>
      <c r="L242" t="s">
        <v>3095</v>
      </c>
      <c r="M242" t="s">
        <v>3096</v>
      </c>
      <c r="N242" t="s">
        <v>2149</v>
      </c>
    </row>
    <row r="243" spans="1:14">
      <c r="A243" t="s">
        <v>3097</v>
      </c>
      <c r="B243" t="s">
        <v>3098</v>
      </c>
      <c r="C243" t="s">
        <v>3099</v>
      </c>
      <c r="D243" t="s">
        <v>3100</v>
      </c>
      <c r="E243" t="s">
        <v>130</v>
      </c>
      <c r="F243" t="s">
        <v>3101</v>
      </c>
      <c r="G243" t="s">
        <v>2559</v>
      </c>
      <c r="H243" t="s">
        <v>3102</v>
      </c>
      <c r="I243" t="s">
        <v>3103</v>
      </c>
      <c r="J243" t="s">
        <v>3104</v>
      </c>
      <c r="K243" t="s">
        <v>2476</v>
      </c>
      <c r="L243" t="s">
        <v>3105</v>
      </c>
      <c r="M243" t="s">
        <v>3106</v>
      </c>
      <c r="N243" t="s">
        <v>3107</v>
      </c>
    </row>
    <row r="244" spans="1:14">
      <c r="A244" t="s">
        <v>3108</v>
      </c>
      <c r="B244" t="s">
        <v>3109</v>
      </c>
      <c r="C244" t="s">
        <v>3110</v>
      </c>
      <c r="D244" t="s">
        <v>3111</v>
      </c>
      <c r="E244" t="s">
        <v>130</v>
      </c>
      <c r="F244" t="s">
        <v>3112</v>
      </c>
      <c r="G244" t="s">
        <v>3113</v>
      </c>
      <c r="H244" t="s">
        <v>3114</v>
      </c>
      <c r="I244" t="s">
        <v>3115</v>
      </c>
      <c r="J244" t="s">
        <v>3116</v>
      </c>
      <c r="K244" t="s">
        <v>2476</v>
      </c>
      <c r="L244" t="s">
        <v>3117</v>
      </c>
      <c r="M244" t="s">
        <v>3118</v>
      </c>
      <c r="N244" t="s">
        <v>3119</v>
      </c>
    </row>
    <row r="245" spans="1:14">
      <c r="A245" t="s">
        <v>3120</v>
      </c>
      <c r="B245" t="s">
        <v>3121</v>
      </c>
      <c r="C245" t="s">
        <v>3122</v>
      </c>
      <c r="D245" t="s">
        <v>3123</v>
      </c>
      <c r="E245" t="s">
        <v>130</v>
      </c>
      <c r="F245" t="s">
        <v>3124</v>
      </c>
      <c r="G245" t="s">
        <v>3125</v>
      </c>
      <c r="H245" t="s">
        <v>3126</v>
      </c>
      <c r="I245" t="s">
        <v>3127</v>
      </c>
      <c r="J245" t="s">
        <v>3128</v>
      </c>
      <c r="K245" t="s">
        <v>2476</v>
      </c>
      <c r="L245" t="s">
        <v>3129</v>
      </c>
      <c r="M245" t="s">
        <v>3130</v>
      </c>
      <c r="N245" t="s">
        <v>3131</v>
      </c>
    </row>
    <row r="246" spans="1:14">
      <c r="A246" t="s">
        <v>3132</v>
      </c>
      <c r="B246" t="s">
        <v>3133</v>
      </c>
      <c r="C246" t="s">
        <v>3134</v>
      </c>
      <c r="D246" t="s">
        <v>3123</v>
      </c>
      <c r="E246" t="s">
        <v>130</v>
      </c>
      <c r="F246" t="s">
        <v>3135</v>
      </c>
      <c r="G246" t="s">
        <v>3136</v>
      </c>
      <c r="H246" t="s">
        <v>3137</v>
      </c>
      <c r="I246" t="s">
        <v>3138</v>
      </c>
      <c r="J246" t="s">
        <v>3139</v>
      </c>
      <c r="K246" t="s">
        <v>2476</v>
      </c>
      <c r="L246" t="s">
        <v>3140</v>
      </c>
      <c r="M246" t="s">
        <v>3141</v>
      </c>
      <c r="N246" t="s">
        <v>3142</v>
      </c>
    </row>
    <row r="247" spans="1:14">
      <c r="A247" t="s">
        <v>3143</v>
      </c>
      <c r="B247" t="s">
        <v>3144</v>
      </c>
      <c r="C247" t="s">
        <v>3145</v>
      </c>
      <c r="D247" t="s">
        <v>3146</v>
      </c>
      <c r="E247" t="s">
        <v>130</v>
      </c>
      <c r="F247" t="s">
        <v>3147</v>
      </c>
      <c r="G247" t="s">
        <v>3148</v>
      </c>
      <c r="H247" t="s">
        <v>3149</v>
      </c>
      <c r="I247" t="s">
        <v>3150</v>
      </c>
      <c r="J247" t="s">
        <v>3151</v>
      </c>
      <c r="K247" t="s">
        <v>2476</v>
      </c>
      <c r="L247" t="s">
        <v>3152</v>
      </c>
      <c r="M247" t="s">
        <v>2890</v>
      </c>
      <c r="N247" t="s">
        <v>2891</v>
      </c>
    </row>
    <row r="248" spans="1:14">
      <c r="A248" t="s">
        <v>3153</v>
      </c>
      <c r="B248" t="s">
        <v>3154</v>
      </c>
      <c r="C248" t="s">
        <v>3155</v>
      </c>
      <c r="D248" t="s">
        <v>3156</v>
      </c>
      <c r="E248" t="s">
        <v>130</v>
      </c>
      <c r="F248" t="s">
        <v>3157</v>
      </c>
      <c r="G248" t="s">
        <v>3158</v>
      </c>
      <c r="H248" t="s">
        <v>3159</v>
      </c>
      <c r="I248" t="s">
        <v>3160</v>
      </c>
      <c r="J248" t="s">
        <v>3161</v>
      </c>
      <c r="K248" t="s">
        <v>2476</v>
      </c>
      <c r="L248" t="s">
        <v>3162</v>
      </c>
      <c r="M248" t="s">
        <v>3163</v>
      </c>
      <c r="N248" t="s">
        <v>3164</v>
      </c>
    </row>
    <row r="249" spans="1:14">
      <c r="A249" t="s">
        <v>3165</v>
      </c>
      <c r="B249" t="s">
        <v>3166</v>
      </c>
      <c r="C249" t="s">
        <v>3167</v>
      </c>
      <c r="D249" t="s">
        <v>3168</v>
      </c>
      <c r="E249" t="s">
        <v>130</v>
      </c>
      <c r="F249" t="s">
        <v>3169</v>
      </c>
      <c r="G249" t="s">
        <v>3170</v>
      </c>
      <c r="H249" t="s">
        <v>3171</v>
      </c>
      <c r="I249" t="s">
        <v>3172</v>
      </c>
      <c r="J249" t="s">
        <v>3173</v>
      </c>
      <c r="K249" t="s">
        <v>2476</v>
      </c>
      <c r="L249" t="s">
        <v>3174</v>
      </c>
      <c r="M249" t="s">
        <v>130</v>
      </c>
      <c r="N249" t="s">
        <v>131</v>
      </c>
    </row>
    <row r="250" spans="1:14">
      <c r="A250" t="s">
        <v>3175</v>
      </c>
      <c r="B250" t="s">
        <v>3176</v>
      </c>
      <c r="C250" t="s">
        <v>3177</v>
      </c>
      <c r="D250" t="s">
        <v>3178</v>
      </c>
      <c r="E250" t="s">
        <v>130</v>
      </c>
      <c r="F250" t="s">
        <v>3179</v>
      </c>
      <c r="G250" t="s">
        <v>3180</v>
      </c>
      <c r="H250" t="s">
        <v>3181</v>
      </c>
      <c r="I250" t="s">
        <v>3182</v>
      </c>
      <c r="J250" t="s">
        <v>3183</v>
      </c>
      <c r="K250" t="s">
        <v>2476</v>
      </c>
      <c r="L250" t="s">
        <v>3184</v>
      </c>
      <c r="M250" t="s">
        <v>130</v>
      </c>
      <c r="N250" t="s">
        <v>131</v>
      </c>
    </row>
    <row r="251" spans="1:14">
      <c r="A251" t="s">
        <v>3185</v>
      </c>
      <c r="B251" t="s">
        <v>3186</v>
      </c>
      <c r="C251" t="s">
        <v>3187</v>
      </c>
      <c r="D251" t="s">
        <v>3081</v>
      </c>
      <c r="E251" t="s">
        <v>130</v>
      </c>
      <c r="F251" t="s">
        <v>3188</v>
      </c>
      <c r="G251" t="s">
        <v>3189</v>
      </c>
      <c r="H251" t="s">
        <v>3190</v>
      </c>
      <c r="I251" t="s">
        <v>3191</v>
      </c>
      <c r="J251" t="s">
        <v>3192</v>
      </c>
      <c r="K251" t="s">
        <v>2476</v>
      </c>
      <c r="L251" t="s">
        <v>3193</v>
      </c>
      <c r="M251" t="s">
        <v>130</v>
      </c>
      <c r="N251" t="s">
        <v>131</v>
      </c>
    </row>
    <row r="252" spans="1:14">
      <c r="A252" t="s">
        <v>3194</v>
      </c>
      <c r="B252" t="s">
        <v>3195</v>
      </c>
      <c r="C252" t="s">
        <v>3196</v>
      </c>
      <c r="D252" t="s">
        <v>3197</v>
      </c>
      <c r="E252" t="s">
        <v>130</v>
      </c>
      <c r="F252" t="s">
        <v>3198</v>
      </c>
      <c r="G252" t="s">
        <v>3199</v>
      </c>
      <c r="H252" t="s">
        <v>3200</v>
      </c>
      <c r="I252" t="s">
        <v>3201</v>
      </c>
      <c r="J252" t="s">
        <v>3202</v>
      </c>
      <c r="K252" t="s">
        <v>2476</v>
      </c>
      <c r="L252" t="s">
        <v>3203</v>
      </c>
      <c r="M252" t="s">
        <v>130</v>
      </c>
      <c r="N252" t="s">
        <v>131</v>
      </c>
    </row>
    <row r="253" spans="1:14">
      <c r="A253" t="s">
        <v>3204</v>
      </c>
      <c r="B253" t="s">
        <v>3205</v>
      </c>
      <c r="C253" t="s">
        <v>3206</v>
      </c>
      <c r="D253" t="s">
        <v>3207</v>
      </c>
      <c r="E253" t="s">
        <v>130</v>
      </c>
      <c r="F253" t="s">
        <v>3208</v>
      </c>
      <c r="G253" t="s">
        <v>3209</v>
      </c>
      <c r="H253" t="s">
        <v>3210</v>
      </c>
      <c r="I253" t="s">
        <v>3211</v>
      </c>
      <c r="J253" t="s">
        <v>3212</v>
      </c>
      <c r="K253" t="s">
        <v>2476</v>
      </c>
      <c r="L253" t="s">
        <v>3213</v>
      </c>
      <c r="M253" t="s">
        <v>2030</v>
      </c>
      <c r="N253" t="s">
        <v>3214</v>
      </c>
    </row>
    <row r="254" spans="1:14">
      <c r="A254" t="s">
        <v>3215</v>
      </c>
      <c r="B254" t="s">
        <v>3216</v>
      </c>
      <c r="C254" t="s">
        <v>3217</v>
      </c>
      <c r="D254" t="s">
        <v>3218</v>
      </c>
      <c r="E254" t="s">
        <v>130</v>
      </c>
      <c r="F254" t="s">
        <v>3219</v>
      </c>
      <c r="G254" t="s">
        <v>3220</v>
      </c>
      <c r="H254" t="s">
        <v>3221</v>
      </c>
      <c r="I254" t="s">
        <v>3222</v>
      </c>
      <c r="J254" t="s">
        <v>3223</v>
      </c>
      <c r="K254" t="s">
        <v>2476</v>
      </c>
      <c r="L254" t="s">
        <v>3224</v>
      </c>
      <c r="M254" t="s">
        <v>3225</v>
      </c>
      <c r="N254" t="s">
        <v>3226</v>
      </c>
    </row>
    <row r="255" spans="1:14">
      <c r="A255" t="s">
        <v>3227</v>
      </c>
      <c r="B255" t="s">
        <v>3228</v>
      </c>
      <c r="C255" t="s">
        <v>3229</v>
      </c>
      <c r="D255" t="s">
        <v>3230</v>
      </c>
      <c r="E255" t="s">
        <v>130</v>
      </c>
      <c r="F255" t="s">
        <v>3231</v>
      </c>
      <c r="G255" t="s">
        <v>3232</v>
      </c>
      <c r="H255" t="s">
        <v>3233</v>
      </c>
      <c r="I255" t="s">
        <v>3234</v>
      </c>
      <c r="J255" t="s">
        <v>3235</v>
      </c>
      <c r="K255" t="s">
        <v>2476</v>
      </c>
      <c r="L255" t="s">
        <v>3236</v>
      </c>
      <c r="M255" t="s">
        <v>3237</v>
      </c>
      <c r="N255" t="s">
        <v>3238</v>
      </c>
    </row>
    <row r="256" spans="1:14">
      <c r="A256" t="s">
        <v>3239</v>
      </c>
      <c r="B256" t="s">
        <v>3240</v>
      </c>
      <c r="C256" t="s">
        <v>3241</v>
      </c>
      <c r="D256" t="s">
        <v>3242</v>
      </c>
      <c r="E256" t="s">
        <v>130</v>
      </c>
      <c r="F256" t="s">
        <v>3243</v>
      </c>
      <c r="G256" t="s">
        <v>3244</v>
      </c>
      <c r="H256" t="s">
        <v>3245</v>
      </c>
      <c r="I256" t="s">
        <v>3246</v>
      </c>
      <c r="J256" t="s">
        <v>3247</v>
      </c>
      <c r="K256" t="s">
        <v>2476</v>
      </c>
      <c r="L256" t="s">
        <v>3248</v>
      </c>
      <c r="M256" t="s">
        <v>3249</v>
      </c>
      <c r="N256" t="s">
        <v>3250</v>
      </c>
    </row>
    <row r="257" spans="1:14">
      <c r="A257" t="s">
        <v>3251</v>
      </c>
      <c r="B257" t="s">
        <v>3252</v>
      </c>
      <c r="C257" t="s">
        <v>3253</v>
      </c>
      <c r="D257" t="s">
        <v>3254</v>
      </c>
      <c r="E257" t="s">
        <v>130</v>
      </c>
      <c r="F257" t="s">
        <v>3255</v>
      </c>
      <c r="G257" t="s">
        <v>3256</v>
      </c>
      <c r="H257" t="s">
        <v>3257</v>
      </c>
      <c r="I257" t="s">
        <v>3258</v>
      </c>
      <c r="J257" t="s">
        <v>3259</v>
      </c>
      <c r="K257" t="s">
        <v>2476</v>
      </c>
      <c r="L257" t="s">
        <v>3260</v>
      </c>
      <c r="M257" t="s">
        <v>3261</v>
      </c>
      <c r="N257" t="s">
        <v>2565</v>
      </c>
    </row>
    <row r="258" spans="1:14">
      <c r="A258" t="s">
        <v>3262</v>
      </c>
      <c r="B258" t="s">
        <v>3263</v>
      </c>
      <c r="C258" t="s">
        <v>3263</v>
      </c>
      <c r="D258" t="s">
        <v>130</v>
      </c>
      <c r="E258" t="s">
        <v>130</v>
      </c>
      <c r="F258" t="s">
        <v>3264</v>
      </c>
      <c r="G258" t="s">
        <v>3265</v>
      </c>
      <c r="H258" t="s">
        <v>3266</v>
      </c>
      <c r="I258" t="s">
        <v>3267</v>
      </c>
      <c r="J258" t="s">
        <v>3268</v>
      </c>
      <c r="K258" t="s">
        <v>2476</v>
      </c>
      <c r="L258" t="s">
        <v>3269</v>
      </c>
      <c r="M258" t="s">
        <v>3270</v>
      </c>
      <c r="N258" t="s">
        <v>3271</v>
      </c>
    </row>
    <row r="259" spans="1:14">
      <c r="A259" t="s">
        <v>3272</v>
      </c>
      <c r="B259" t="s">
        <v>3273</v>
      </c>
      <c r="C259" t="s">
        <v>3273</v>
      </c>
      <c r="D259" t="s">
        <v>130</v>
      </c>
      <c r="E259" t="s">
        <v>130</v>
      </c>
      <c r="F259" t="s">
        <v>3274</v>
      </c>
      <c r="G259" t="s">
        <v>3275</v>
      </c>
      <c r="H259" t="s">
        <v>3276</v>
      </c>
      <c r="I259" t="s">
        <v>3277</v>
      </c>
      <c r="J259" t="s">
        <v>3278</v>
      </c>
      <c r="K259" t="s">
        <v>2476</v>
      </c>
      <c r="L259" t="s">
        <v>3279</v>
      </c>
      <c r="M259" t="s">
        <v>3280</v>
      </c>
      <c r="N259" t="s">
        <v>2723</v>
      </c>
    </row>
    <row r="260" spans="1:14">
      <c r="A260" t="s">
        <v>3281</v>
      </c>
      <c r="B260" t="s">
        <v>3282</v>
      </c>
      <c r="C260" t="s">
        <v>3282</v>
      </c>
      <c r="D260" t="s">
        <v>130</v>
      </c>
      <c r="E260" t="s">
        <v>130</v>
      </c>
      <c r="F260" t="s">
        <v>3283</v>
      </c>
      <c r="G260" t="s">
        <v>3284</v>
      </c>
      <c r="H260" t="s">
        <v>3285</v>
      </c>
      <c r="I260" t="s">
        <v>3286</v>
      </c>
      <c r="J260" t="s">
        <v>3287</v>
      </c>
      <c r="K260" t="s">
        <v>2476</v>
      </c>
      <c r="L260" t="s">
        <v>3288</v>
      </c>
      <c r="M260" t="s">
        <v>3289</v>
      </c>
      <c r="N260" t="s">
        <v>3290</v>
      </c>
    </row>
    <row r="261" spans="1:14">
      <c r="A261" t="s">
        <v>3291</v>
      </c>
      <c r="B261" t="s">
        <v>3292</v>
      </c>
      <c r="C261" t="s">
        <v>3292</v>
      </c>
      <c r="D261" t="s">
        <v>130</v>
      </c>
      <c r="E261" t="s">
        <v>130</v>
      </c>
      <c r="F261" t="s">
        <v>3293</v>
      </c>
      <c r="G261" t="s">
        <v>3294</v>
      </c>
      <c r="H261" t="s">
        <v>3295</v>
      </c>
      <c r="I261" t="s">
        <v>3296</v>
      </c>
      <c r="J261" t="s">
        <v>3297</v>
      </c>
      <c r="K261" t="s">
        <v>2476</v>
      </c>
      <c r="L261" t="s">
        <v>3298</v>
      </c>
      <c r="M261" t="s">
        <v>130</v>
      </c>
      <c r="N261" t="s">
        <v>131</v>
      </c>
    </row>
    <row r="262" spans="1:14">
      <c r="A262" t="s">
        <v>3299</v>
      </c>
      <c r="B262" t="s">
        <v>3300</v>
      </c>
      <c r="C262" t="s">
        <v>3300</v>
      </c>
      <c r="D262" t="s">
        <v>130</v>
      </c>
      <c r="E262" t="s">
        <v>130</v>
      </c>
      <c r="F262" t="s">
        <v>3301</v>
      </c>
      <c r="G262" t="s">
        <v>3302</v>
      </c>
      <c r="H262" t="s">
        <v>3303</v>
      </c>
      <c r="I262" t="s">
        <v>3304</v>
      </c>
      <c r="J262" t="s">
        <v>3305</v>
      </c>
      <c r="K262" t="s">
        <v>2476</v>
      </c>
      <c r="L262" t="s">
        <v>3306</v>
      </c>
      <c r="M262" t="s">
        <v>130</v>
      </c>
      <c r="N262" t="s">
        <v>131</v>
      </c>
    </row>
    <row r="263" spans="1:14">
      <c r="A263" t="s">
        <v>3307</v>
      </c>
      <c r="B263" t="s">
        <v>3308</v>
      </c>
      <c r="C263" t="s">
        <v>3308</v>
      </c>
      <c r="D263" t="s">
        <v>130</v>
      </c>
      <c r="E263" t="s">
        <v>130</v>
      </c>
      <c r="F263" t="s">
        <v>3309</v>
      </c>
      <c r="G263" t="s">
        <v>3310</v>
      </c>
      <c r="H263" t="s">
        <v>3311</v>
      </c>
      <c r="I263" t="s">
        <v>3312</v>
      </c>
      <c r="J263" t="s">
        <v>3313</v>
      </c>
      <c r="K263" t="s">
        <v>2476</v>
      </c>
      <c r="L263" t="s">
        <v>3314</v>
      </c>
      <c r="M263" t="s">
        <v>130</v>
      </c>
      <c r="N263" t="s">
        <v>131</v>
      </c>
    </row>
    <row r="264" spans="1:14">
      <c r="A264" t="s">
        <v>3315</v>
      </c>
      <c r="B264" t="s">
        <v>3316</v>
      </c>
      <c r="C264" t="s">
        <v>3316</v>
      </c>
      <c r="D264" t="s">
        <v>130</v>
      </c>
      <c r="E264" t="s">
        <v>130</v>
      </c>
      <c r="F264" t="s">
        <v>3317</v>
      </c>
      <c r="G264" t="s">
        <v>3318</v>
      </c>
      <c r="H264" t="s">
        <v>3319</v>
      </c>
      <c r="I264" t="s">
        <v>3320</v>
      </c>
      <c r="J264" t="s">
        <v>3321</v>
      </c>
      <c r="K264" t="s">
        <v>2476</v>
      </c>
      <c r="L264" t="s">
        <v>3322</v>
      </c>
      <c r="M264" t="s">
        <v>130</v>
      </c>
      <c r="N264" t="s">
        <v>131</v>
      </c>
    </row>
    <row r="265" spans="1:14">
      <c r="A265" t="s">
        <v>3323</v>
      </c>
      <c r="B265" t="s">
        <v>3324</v>
      </c>
      <c r="C265" t="s">
        <v>3324</v>
      </c>
      <c r="D265" t="s">
        <v>130</v>
      </c>
      <c r="E265" t="s">
        <v>130</v>
      </c>
      <c r="F265" t="s">
        <v>3325</v>
      </c>
      <c r="G265" t="s">
        <v>3326</v>
      </c>
      <c r="H265" t="s">
        <v>3327</v>
      </c>
      <c r="I265" t="s">
        <v>3328</v>
      </c>
      <c r="J265" t="s">
        <v>3329</v>
      </c>
      <c r="K265" t="s">
        <v>2476</v>
      </c>
      <c r="L265" t="s">
        <v>3330</v>
      </c>
      <c r="M265" t="s">
        <v>3331</v>
      </c>
      <c r="N265" t="s">
        <v>3332</v>
      </c>
    </row>
    <row r="266" spans="1:14">
      <c r="A266" t="s">
        <v>3333</v>
      </c>
      <c r="B266" t="s">
        <v>3334</v>
      </c>
      <c r="C266" t="s">
        <v>3334</v>
      </c>
      <c r="D266" t="s">
        <v>130</v>
      </c>
      <c r="E266" t="s">
        <v>130</v>
      </c>
      <c r="F266" t="s">
        <v>3335</v>
      </c>
      <c r="G266" t="s">
        <v>3336</v>
      </c>
      <c r="H266" t="s">
        <v>3337</v>
      </c>
      <c r="I266" t="s">
        <v>3338</v>
      </c>
      <c r="J266" t="s">
        <v>3339</v>
      </c>
      <c r="K266" t="s">
        <v>2476</v>
      </c>
      <c r="L266" t="s">
        <v>3340</v>
      </c>
      <c r="M266" t="s">
        <v>3341</v>
      </c>
      <c r="N266" t="s">
        <v>2712</v>
      </c>
    </row>
    <row r="267" spans="1:14">
      <c r="A267" t="s">
        <v>3342</v>
      </c>
      <c r="B267" t="s">
        <v>3343</v>
      </c>
      <c r="C267" t="s">
        <v>3343</v>
      </c>
      <c r="D267" t="s">
        <v>130</v>
      </c>
      <c r="E267" t="s">
        <v>130</v>
      </c>
      <c r="F267" t="s">
        <v>3344</v>
      </c>
      <c r="G267" t="s">
        <v>3345</v>
      </c>
      <c r="H267" t="s">
        <v>3346</v>
      </c>
      <c r="I267" t="s">
        <v>3347</v>
      </c>
      <c r="J267" t="s">
        <v>3348</v>
      </c>
      <c r="K267" t="s">
        <v>2476</v>
      </c>
      <c r="L267" t="s">
        <v>3349</v>
      </c>
      <c r="M267" t="s">
        <v>3350</v>
      </c>
      <c r="N267" t="s">
        <v>3351</v>
      </c>
    </row>
    <row r="268" spans="1:14">
      <c r="A268" t="s">
        <v>3352</v>
      </c>
      <c r="B268" t="s">
        <v>3353</v>
      </c>
      <c r="C268" t="s">
        <v>3353</v>
      </c>
      <c r="D268" t="s">
        <v>130</v>
      </c>
      <c r="E268" t="s">
        <v>130</v>
      </c>
      <c r="F268" t="s">
        <v>3354</v>
      </c>
      <c r="G268" t="s">
        <v>3355</v>
      </c>
      <c r="H268" t="s">
        <v>3356</v>
      </c>
      <c r="I268" t="s">
        <v>3357</v>
      </c>
      <c r="J268" t="s">
        <v>3358</v>
      </c>
      <c r="K268" t="s">
        <v>2476</v>
      </c>
      <c r="L268" t="s">
        <v>3359</v>
      </c>
      <c r="M268" t="s">
        <v>3360</v>
      </c>
      <c r="N268" t="s">
        <v>3361</v>
      </c>
    </row>
    <row r="269" spans="1:14">
      <c r="A269" t="s">
        <v>3362</v>
      </c>
      <c r="B269" t="s">
        <v>3363</v>
      </c>
      <c r="C269" t="s">
        <v>3363</v>
      </c>
      <c r="D269" t="s">
        <v>130</v>
      </c>
      <c r="E269" t="s">
        <v>130</v>
      </c>
      <c r="F269" t="s">
        <v>3364</v>
      </c>
      <c r="G269" t="s">
        <v>3365</v>
      </c>
      <c r="H269" t="s">
        <v>2805</v>
      </c>
      <c r="I269" t="s">
        <v>3366</v>
      </c>
      <c r="J269" t="s">
        <v>3367</v>
      </c>
      <c r="K269" t="s">
        <v>2476</v>
      </c>
      <c r="L269" t="s">
        <v>3368</v>
      </c>
      <c r="M269" t="s">
        <v>3369</v>
      </c>
      <c r="N269" t="s">
        <v>3370</v>
      </c>
    </row>
    <row r="270" spans="1:14">
      <c r="A270" t="s">
        <v>3371</v>
      </c>
      <c r="B270" t="s">
        <v>3372</v>
      </c>
      <c r="C270" t="s">
        <v>3372</v>
      </c>
      <c r="D270" t="s">
        <v>130</v>
      </c>
      <c r="E270" t="s">
        <v>130</v>
      </c>
      <c r="F270" t="s">
        <v>3373</v>
      </c>
      <c r="G270" t="s">
        <v>3374</v>
      </c>
      <c r="H270" t="s">
        <v>3375</v>
      </c>
      <c r="I270" t="s">
        <v>3376</v>
      </c>
      <c r="J270" t="s">
        <v>3377</v>
      </c>
      <c r="K270" t="s">
        <v>2476</v>
      </c>
      <c r="L270" t="s">
        <v>3378</v>
      </c>
      <c r="M270" t="s">
        <v>3379</v>
      </c>
      <c r="N270" t="s">
        <v>1803</v>
      </c>
    </row>
    <row r="271" spans="1:14">
      <c r="A271" t="s">
        <v>3380</v>
      </c>
      <c r="B271" t="s">
        <v>3381</v>
      </c>
      <c r="C271" t="s">
        <v>3381</v>
      </c>
      <c r="D271" t="s">
        <v>130</v>
      </c>
      <c r="E271" t="s">
        <v>130</v>
      </c>
      <c r="F271" t="s">
        <v>3382</v>
      </c>
      <c r="G271" t="s">
        <v>3383</v>
      </c>
      <c r="H271" t="s">
        <v>3384</v>
      </c>
      <c r="I271" t="s">
        <v>3385</v>
      </c>
      <c r="J271" t="s">
        <v>3386</v>
      </c>
      <c r="K271" t="s">
        <v>2476</v>
      </c>
      <c r="L271" t="s">
        <v>3387</v>
      </c>
      <c r="M271" t="s">
        <v>3388</v>
      </c>
      <c r="N271" t="s">
        <v>3389</v>
      </c>
    </row>
    <row r="272" spans="1:14">
      <c r="A272" t="s">
        <v>3390</v>
      </c>
      <c r="B272" t="s">
        <v>3391</v>
      </c>
      <c r="C272" t="s">
        <v>3391</v>
      </c>
      <c r="D272" t="s">
        <v>130</v>
      </c>
      <c r="E272" t="s">
        <v>130</v>
      </c>
      <c r="F272" t="s">
        <v>3392</v>
      </c>
      <c r="G272" t="s">
        <v>3393</v>
      </c>
      <c r="H272" t="s">
        <v>3394</v>
      </c>
      <c r="I272" t="s">
        <v>3395</v>
      </c>
      <c r="J272" t="s">
        <v>3396</v>
      </c>
      <c r="K272" t="s">
        <v>2476</v>
      </c>
      <c r="L272" t="s">
        <v>3397</v>
      </c>
      <c r="M272" t="s">
        <v>3398</v>
      </c>
      <c r="N272" t="s">
        <v>3399</v>
      </c>
    </row>
    <row r="273" spans="1:14">
      <c r="A273" t="s">
        <v>3400</v>
      </c>
      <c r="B273" t="s">
        <v>3401</v>
      </c>
      <c r="C273" t="s">
        <v>3401</v>
      </c>
      <c r="D273" t="s">
        <v>130</v>
      </c>
      <c r="E273" t="s">
        <v>130</v>
      </c>
      <c r="F273" t="s">
        <v>3402</v>
      </c>
      <c r="G273" t="s">
        <v>3403</v>
      </c>
      <c r="H273" t="s">
        <v>3404</v>
      </c>
      <c r="I273" t="s">
        <v>3405</v>
      </c>
      <c r="J273" t="s">
        <v>3406</v>
      </c>
      <c r="K273" t="s">
        <v>2476</v>
      </c>
      <c r="L273" t="s">
        <v>3407</v>
      </c>
      <c r="M273" t="s">
        <v>130</v>
      </c>
      <c r="N273" t="s">
        <v>131</v>
      </c>
    </row>
    <row r="274" spans="1:14">
      <c r="A274" t="s">
        <v>3408</v>
      </c>
      <c r="B274" t="s">
        <v>3409</v>
      </c>
      <c r="C274" t="s">
        <v>3409</v>
      </c>
      <c r="D274" t="s">
        <v>130</v>
      </c>
      <c r="E274" t="s">
        <v>130</v>
      </c>
      <c r="F274" t="s">
        <v>3410</v>
      </c>
      <c r="G274" t="s">
        <v>3411</v>
      </c>
      <c r="H274" t="s">
        <v>3319</v>
      </c>
      <c r="I274" t="s">
        <v>3412</v>
      </c>
      <c r="J274" t="s">
        <v>3413</v>
      </c>
      <c r="K274" t="s">
        <v>2476</v>
      </c>
      <c r="L274" t="s">
        <v>3414</v>
      </c>
      <c r="M274" t="s">
        <v>130</v>
      </c>
      <c r="N274" t="s">
        <v>131</v>
      </c>
    </row>
    <row r="275" spans="1:14">
      <c r="A275" t="s">
        <v>3415</v>
      </c>
      <c r="B275" t="s">
        <v>3416</v>
      </c>
      <c r="C275" t="s">
        <v>3416</v>
      </c>
      <c r="D275" t="s">
        <v>130</v>
      </c>
      <c r="E275" t="s">
        <v>130</v>
      </c>
      <c r="F275" t="s">
        <v>3417</v>
      </c>
      <c r="G275" t="s">
        <v>3418</v>
      </c>
      <c r="H275" t="s">
        <v>3419</v>
      </c>
      <c r="I275" t="s">
        <v>3420</v>
      </c>
      <c r="J275" t="s">
        <v>3421</v>
      </c>
      <c r="K275" t="s">
        <v>2476</v>
      </c>
      <c r="L275" t="s">
        <v>3422</v>
      </c>
      <c r="M275" t="s">
        <v>130</v>
      </c>
      <c r="N275" t="s">
        <v>131</v>
      </c>
    </row>
    <row r="276" spans="1:14">
      <c r="A276" t="s">
        <v>3423</v>
      </c>
      <c r="B276" t="s">
        <v>3424</v>
      </c>
      <c r="C276" t="s">
        <v>3424</v>
      </c>
      <c r="D276" t="s">
        <v>130</v>
      </c>
      <c r="E276" t="s">
        <v>130</v>
      </c>
      <c r="F276" t="s">
        <v>3425</v>
      </c>
      <c r="G276" t="s">
        <v>3426</v>
      </c>
      <c r="H276" t="s">
        <v>2775</v>
      </c>
      <c r="I276" t="s">
        <v>3427</v>
      </c>
      <c r="J276" t="s">
        <v>3428</v>
      </c>
      <c r="K276" t="s">
        <v>2476</v>
      </c>
      <c r="L276" t="s">
        <v>3429</v>
      </c>
      <c r="M276" t="s">
        <v>130</v>
      </c>
      <c r="N276" t="s">
        <v>131</v>
      </c>
    </row>
    <row r="277" spans="1:14">
      <c r="A277" t="s">
        <v>3430</v>
      </c>
      <c r="B277" t="s">
        <v>3431</v>
      </c>
      <c r="C277" t="s">
        <v>3431</v>
      </c>
      <c r="D277" t="s">
        <v>130</v>
      </c>
      <c r="E277" t="s">
        <v>130</v>
      </c>
      <c r="F277" t="s">
        <v>3432</v>
      </c>
      <c r="G277" t="s">
        <v>3433</v>
      </c>
      <c r="H277" t="s">
        <v>3434</v>
      </c>
      <c r="I277" t="s">
        <v>3435</v>
      </c>
      <c r="J277" t="s">
        <v>3436</v>
      </c>
      <c r="K277" t="s">
        <v>2476</v>
      </c>
      <c r="L277" t="s">
        <v>3437</v>
      </c>
      <c r="M277" t="s">
        <v>3438</v>
      </c>
      <c r="N277" t="s">
        <v>3439</v>
      </c>
    </row>
    <row r="278" spans="1:14">
      <c r="A278" t="s">
        <v>3440</v>
      </c>
      <c r="B278" t="s">
        <v>3441</v>
      </c>
      <c r="C278" t="s">
        <v>3441</v>
      </c>
      <c r="D278" t="s">
        <v>130</v>
      </c>
      <c r="E278" t="s">
        <v>130</v>
      </c>
      <c r="F278" t="s">
        <v>3442</v>
      </c>
      <c r="G278" t="s">
        <v>3443</v>
      </c>
      <c r="H278" t="s">
        <v>3444</v>
      </c>
      <c r="I278" t="s">
        <v>3445</v>
      </c>
      <c r="J278" t="s">
        <v>3446</v>
      </c>
      <c r="K278" t="s">
        <v>2476</v>
      </c>
      <c r="L278" t="s">
        <v>3447</v>
      </c>
      <c r="M278" t="s">
        <v>3448</v>
      </c>
      <c r="N278" t="s">
        <v>131</v>
      </c>
    </row>
    <row r="279" spans="1:14">
      <c r="A279" t="s">
        <v>3449</v>
      </c>
      <c r="B279" t="s">
        <v>3450</v>
      </c>
      <c r="C279" t="s">
        <v>3450</v>
      </c>
      <c r="D279" t="s">
        <v>130</v>
      </c>
      <c r="E279" t="s">
        <v>130</v>
      </c>
      <c r="F279" t="s">
        <v>3451</v>
      </c>
      <c r="G279" t="s">
        <v>3452</v>
      </c>
      <c r="H279" t="s">
        <v>3453</v>
      </c>
      <c r="I279" t="s">
        <v>3454</v>
      </c>
      <c r="J279" t="s">
        <v>3455</v>
      </c>
      <c r="K279" t="s">
        <v>2476</v>
      </c>
      <c r="L279" t="s">
        <v>3456</v>
      </c>
      <c r="M279" t="s">
        <v>3457</v>
      </c>
      <c r="N279" t="s">
        <v>3458</v>
      </c>
    </row>
    <row r="280" spans="1:14">
      <c r="A280" t="s">
        <v>3459</v>
      </c>
      <c r="B280" t="s">
        <v>3460</v>
      </c>
      <c r="C280" t="s">
        <v>3460</v>
      </c>
      <c r="D280" t="s">
        <v>130</v>
      </c>
      <c r="E280" t="s">
        <v>130</v>
      </c>
      <c r="F280" t="s">
        <v>3461</v>
      </c>
      <c r="G280" t="s">
        <v>3462</v>
      </c>
      <c r="H280" t="s">
        <v>3463</v>
      </c>
      <c r="I280" t="s">
        <v>3464</v>
      </c>
      <c r="J280" t="s">
        <v>3465</v>
      </c>
      <c r="K280" t="s">
        <v>2476</v>
      </c>
      <c r="L280" t="s">
        <v>3466</v>
      </c>
      <c r="M280" t="s">
        <v>3467</v>
      </c>
      <c r="N280" t="s">
        <v>3468</v>
      </c>
    </row>
    <row r="281" spans="1:14">
      <c r="A281" t="s">
        <v>3469</v>
      </c>
      <c r="B281" t="s">
        <v>3470</v>
      </c>
      <c r="C281" t="s">
        <v>3470</v>
      </c>
      <c r="D281" t="s">
        <v>130</v>
      </c>
      <c r="E281" t="s">
        <v>130</v>
      </c>
      <c r="F281" t="s">
        <v>3471</v>
      </c>
      <c r="G281" t="s">
        <v>3472</v>
      </c>
      <c r="H281" t="s">
        <v>3473</v>
      </c>
      <c r="I281" t="s">
        <v>3474</v>
      </c>
      <c r="J281" t="s">
        <v>3475</v>
      </c>
      <c r="K281" t="s">
        <v>2476</v>
      </c>
      <c r="L281" t="s">
        <v>3476</v>
      </c>
      <c r="M281" t="s">
        <v>3477</v>
      </c>
      <c r="N281" t="s">
        <v>3478</v>
      </c>
    </row>
    <row r="282" spans="1:14">
      <c r="A282" t="s">
        <v>3479</v>
      </c>
      <c r="B282" t="s">
        <v>3480</v>
      </c>
      <c r="C282" t="s">
        <v>3480</v>
      </c>
      <c r="D282" t="s">
        <v>130</v>
      </c>
      <c r="E282" t="s">
        <v>130</v>
      </c>
      <c r="F282" t="s">
        <v>3481</v>
      </c>
      <c r="G282" t="s">
        <v>3482</v>
      </c>
      <c r="H282" t="s">
        <v>3483</v>
      </c>
      <c r="I282" t="s">
        <v>3484</v>
      </c>
      <c r="J282" t="s">
        <v>3485</v>
      </c>
      <c r="K282" t="s">
        <v>2476</v>
      </c>
      <c r="L282" t="s">
        <v>3486</v>
      </c>
      <c r="M282" t="s">
        <v>3487</v>
      </c>
      <c r="N282" t="s">
        <v>3488</v>
      </c>
    </row>
    <row r="283" spans="1:14">
      <c r="A283" t="s">
        <v>3489</v>
      </c>
      <c r="B283" t="s">
        <v>3490</v>
      </c>
      <c r="C283" t="s">
        <v>3490</v>
      </c>
      <c r="D283" t="s">
        <v>130</v>
      </c>
      <c r="E283" t="s">
        <v>130</v>
      </c>
      <c r="F283" t="s">
        <v>3491</v>
      </c>
      <c r="G283" t="s">
        <v>3492</v>
      </c>
      <c r="H283" t="s">
        <v>3493</v>
      </c>
      <c r="I283" t="s">
        <v>3494</v>
      </c>
      <c r="J283" t="s">
        <v>3495</v>
      </c>
      <c r="K283" t="s">
        <v>2476</v>
      </c>
      <c r="L283" t="s">
        <v>3496</v>
      </c>
      <c r="M283" t="s">
        <v>3497</v>
      </c>
      <c r="N283" t="s">
        <v>3498</v>
      </c>
    </row>
    <row r="284" spans="1:14">
      <c r="A284" t="s">
        <v>3499</v>
      </c>
      <c r="B284" t="s">
        <v>3500</v>
      </c>
      <c r="C284" t="s">
        <v>3500</v>
      </c>
      <c r="D284" t="s">
        <v>130</v>
      </c>
      <c r="E284" t="s">
        <v>130</v>
      </c>
      <c r="F284" t="s">
        <v>3501</v>
      </c>
      <c r="G284" t="s">
        <v>3502</v>
      </c>
      <c r="H284" t="s">
        <v>3503</v>
      </c>
      <c r="I284" t="s">
        <v>3504</v>
      </c>
      <c r="J284" t="s">
        <v>3505</v>
      </c>
      <c r="K284" t="s">
        <v>2476</v>
      </c>
      <c r="L284" t="s">
        <v>3506</v>
      </c>
      <c r="M284" t="s">
        <v>818</v>
      </c>
      <c r="N284" t="s">
        <v>3507</v>
      </c>
    </row>
    <row r="285" spans="1:14">
      <c r="A285" t="s">
        <v>3508</v>
      </c>
      <c r="B285" t="s">
        <v>3509</v>
      </c>
      <c r="C285" t="s">
        <v>3509</v>
      </c>
      <c r="D285" t="s">
        <v>130</v>
      </c>
      <c r="E285" t="s">
        <v>130</v>
      </c>
      <c r="F285" t="s">
        <v>3510</v>
      </c>
      <c r="G285" t="s">
        <v>3511</v>
      </c>
      <c r="H285" t="s">
        <v>3512</v>
      </c>
      <c r="I285" t="s">
        <v>3513</v>
      </c>
      <c r="J285" t="s">
        <v>3514</v>
      </c>
      <c r="K285" t="s">
        <v>2476</v>
      </c>
      <c r="L285" t="s">
        <v>3515</v>
      </c>
      <c r="M285" t="s">
        <v>130</v>
      </c>
      <c r="N285" t="s">
        <v>131</v>
      </c>
    </row>
    <row r="286" spans="1:14">
      <c r="A286" t="s">
        <v>3516</v>
      </c>
      <c r="B286" t="s">
        <v>3517</v>
      </c>
      <c r="C286" t="s">
        <v>3517</v>
      </c>
      <c r="D286" t="s">
        <v>130</v>
      </c>
      <c r="E286" t="s">
        <v>130</v>
      </c>
      <c r="F286" t="s">
        <v>3518</v>
      </c>
      <c r="G286" t="s">
        <v>445</v>
      </c>
      <c r="H286" t="s">
        <v>3519</v>
      </c>
      <c r="I286" t="s">
        <v>3520</v>
      </c>
      <c r="J286" t="s">
        <v>3521</v>
      </c>
      <c r="K286" t="s">
        <v>2476</v>
      </c>
      <c r="L286" t="s">
        <v>3522</v>
      </c>
      <c r="M286" t="s">
        <v>130</v>
      </c>
      <c r="N286" t="s">
        <v>131</v>
      </c>
    </row>
    <row r="287" spans="1:14">
      <c r="A287" t="s">
        <v>3523</v>
      </c>
      <c r="B287" t="s">
        <v>3524</v>
      </c>
      <c r="C287" t="s">
        <v>3524</v>
      </c>
      <c r="D287" t="s">
        <v>130</v>
      </c>
      <c r="E287" t="s">
        <v>130</v>
      </c>
      <c r="F287" t="s">
        <v>3525</v>
      </c>
      <c r="G287" t="s">
        <v>3526</v>
      </c>
      <c r="H287" t="s">
        <v>3527</v>
      </c>
      <c r="I287" t="s">
        <v>3528</v>
      </c>
      <c r="J287" t="s">
        <v>3529</v>
      </c>
      <c r="K287" t="s">
        <v>2476</v>
      </c>
      <c r="L287" t="s">
        <v>3530</v>
      </c>
      <c r="M287" t="s">
        <v>130</v>
      </c>
      <c r="N287" t="s">
        <v>131</v>
      </c>
    </row>
    <row r="288" spans="1:14">
      <c r="A288" t="s">
        <v>3531</v>
      </c>
      <c r="B288" t="s">
        <v>3532</v>
      </c>
      <c r="C288" t="s">
        <v>3532</v>
      </c>
      <c r="D288" t="s">
        <v>130</v>
      </c>
      <c r="E288" t="s">
        <v>130</v>
      </c>
      <c r="F288" t="s">
        <v>3533</v>
      </c>
      <c r="G288" t="s">
        <v>3534</v>
      </c>
      <c r="H288" t="s">
        <v>3535</v>
      </c>
      <c r="I288" t="s">
        <v>3536</v>
      </c>
      <c r="J288" t="s">
        <v>3537</v>
      </c>
      <c r="K288" t="s">
        <v>2476</v>
      </c>
      <c r="L288" t="s">
        <v>3538</v>
      </c>
      <c r="M288" t="s">
        <v>130</v>
      </c>
      <c r="N288" t="s">
        <v>131</v>
      </c>
    </row>
    <row r="289" spans="1:14">
      <c r="A289" t="s">
        <v>3539</v>
      </c>
      <c r="B289" t="s">
        <v>3540</v>
      </c>
      <c r="C289" t="s">
        <v>3540</v>
      </c>
      <c r="D289" t="s">
        <v>130</v>
      </c>
      <c r="E289" t="s">
        <v>130</v>
      </c>
      <c r="F289" t="s">
        <v>3541</v>
      </c>
      <c r="G289" t="s">
        <v>3542</v>
      </c>
      <c r="H289" t="s">
        <v>3543</v>
      </c>
      <c r="I289" t="s">
        <v>3544</v>
      </c>
      <c r="J289" t="s">
        <v>3545</v>
      </c>
      <c r="K289" t="s">
        <v>2476</v>
      </c>
      <c r="L289" t="s">
        <v>3546</v>
      </c>
      <c r="M289" t="s">
        <v>3547</v>
      </c>
      <c r="N289" t="s">
        <v>3548</v>
      </c>
    </row>
    <row r="290" spans="1:14">
      <c r="A290" t="s">
        <v>3549</v>
      </c>
      <c r="B290" t="s">
        <v>3550</v>
      </c>
      <c r="C290" t="s">
        <v>3550</v>
      </c>
      <c r="D290" t="s">
        <v>130</v>
      </c>
      <c r="E290" t="s">
        <v>130</v>
      </c>
      <c r="F290" t="s">
        <v>3551</v>
      </c>
      <c r="G290" t="s">
        <v>3552</v>
      </c>
      <c r="H290" t="s">
        <v>3553</v>
      </c>
      <c r="I290" t="s">
        <v>3554</v>
      </c>
      <c r="J290" t="s">
        <v>3555</v>
      </c>
      <c r="K290" t="s">
        <v>2476</v>
      </c>
      <c r="L290" t="s">
        <v>3556</v>
      </c>
      <c r="M290" t="s">
        <v>3557</v>
      </c>
      <c r="N290" t="s">
        <v>3558</v>
      </c>
    </row>
    <row r="291" spans="1:14">
      <c r="A291" t="s">
        <v>3559</v>
      </c>
      <c r="B291" t="s">
        <v>3560</v>
      </c>
      <c r="C291" t="s">
        <v>3560</v>
      </c>
      <c r="D291" t="s">
        <v>130</v>
      </c>
      <c r="E291" t="s">
        <v>130</v>
      </c>
      <c r="F291" t="s">
        <v>3561</v>
      </c>
      <c r="G291" t="s">
        <v>3562</v>
      </c>
      <c r="H291" t="s">
        <v>3563</v>
      </c>
      <c r="I291" t="s">
        <v>3564</v>
      </c>
      <c r="J291" t="s">
        <v>3565</v>
      </c>
      <c r="K291" t="s">
        <v>2476</v>
      </c>
      <c r="L291" t="s">
        <v>3566</v>
      </c>
      <c r="M291" t="s">
        <v>3567</v>
      </c>
      <c r="N291" t="s">
        <v>3568</v>
      </c>
    </row>
    <row r="292" spans="1:14">
      <c r="A292" t="s">
        <v>3569</v>
      </c>
      <c r="B292" t="s">
        <v>3570</v>
      </c>
      <c r="C292" t="s">
        <v>3570</v>
      </c>
      <c r="D292" t="s">
        <v>130</v>
      </c>
      <c r="E292" t="s">
        <v>130</v>
      </c>
      <c r="F292" t="s">
        <v>3571</v>
      </c>
      <c r="G292" t="s">
        <v>3443</v>
      </c>
      <c r="H292" t="s">
        <v>2970</v>
      </c>
      <c r="I292" t="s">
        <v>3572</v>
      </c>
      <c r="J292" t="s">
        <v>3573</v>
      </c>
      <c r="K292" t="s">
        <v>2476</v>
      </c>
      <c r="L292" t="s">
        <v>3574</v>
      </c>
      <c r="M292" t="s">
        <v>3575</v>
      </c>
      <c r="N292" t="s">
        <v>3576</v>
      </c>
    </row>
    <row r="293" spans="1:14">
      <c r="A293" t="s">
        <v>3577</v>
      </c>
      <c r="B293" t="s">
        <v>3578</v>
      </c>
      <c r="C293" t="s">
        <v>3578</v>
      </c>
      <c r="D293" t="s">
        <v>130</v>
      </c>
      <c r="E293" t="s">
        <v>130</v>
      </c>
      <c r="F293" t="s">
        <v>3579</v>
      </c>
      <c r="G293" t="s">
        <v>3580</v>
      </c>
      <c r="H293" t="s">
        <v>3581</v>
      </c>
      <c r="I293" t="s">
        <v>3582</v>
      </c>
      <c r="J293" t="s">
        <v>3583</v>
      </c>
      <c r="K293" t="s">
        <v>2476</v>
      </c>
      <c r="L293" t="s">
        <v>3584</v>
      </c>
      <c r="M293" t="s">
        <v>3585</v>
      </c>
      <c r="N293" t="s">
        <v>3586</v>
      </c>
    </row>
    <row r="294" spans="1:14">
      <c r="A294" t="s">
        <v>3587</v>
      </c>
      <c r="B294" t="s">
        <v>3588</v>
      </c>
      <c r="C294" t="s">
        <v>3588</v>
      </c>
      <c r="D294" t="s">
        <v>130</v>
      </c>
      <c r="E294" t="s">
        <v>130</v>
      </c>
      <c r="F294" t="s">
        <v>3589</v>
      </c>
      <c r="G294" t="s">
        <v>3590</v>
      </c>
      <c r="H294" t="s">
        <v>3591</v>
      </c>
      <c r="I294" t="s">
        <v>3592</v>
      </c>
      <c r="J294" t="s">
        <v>3593</v>
      </c>
      <c r="K294" t="s">
        <v>2476</v>
      </c>
      <c r="L294" t="s">
        <v>3594</v>
      </c>
      <c r="M294" t="s">
        <v>3595</v>
      </c>
      <c r="N294" t="s">
        <v>3596</v>
      </c>
    </row>
    <row r="295" spans="1:14">
      <c r="A295" t="s">
        <v>3597</v>
      </c>
      <c r="B295" t="s">
        <v>3598</v>
      </c>
      <c r="C295" t="s">
        <v>3598</v>
      </c>
      <c r="D295" t="s">
        <v>130</v>
      </c>
      <c r="E295" t="s">
        <v>130</v>
      </c>
      <c r="F295" t="s">
        <v>3599</v>
      </c>
      <c r="G295" t="s">
        <v>3600</v>
      </c>
      <c r="H295" t="s">
        <v>3601</v>
      </c>
      <c r="I295" t="s">
        <v>3602</v>
      </c>
      <c r="J295" t="s">
        <v>3603</v>
      </c>
      <c r="K295" t="s">
        <v>2476</v>
      </c>
      <c r="L295" t="s">
        <v>3604</v>
      </c>
      <c r="M295" t="s">
        <v>3605</v>
      </c>
      <c r="N295" t="s">
        <v>3606</v>
      </c>
    </row>
    <row r="296" spans="1:14">
      <c r="A296" t="s">
        <v>3607</v>
      </c>
      <c r="B296" t="s">
        <v>3608</v>
      </c>
      <c r="C296" t="s">
        <v>3608</v>
      </c>
      <c r="D296" t="s">
        <v>130</v>
      </c>
      <c r="E296" t="s">
        <v>130</v>
      </c>
      <c r="F296" t="s">
        <v>3609</v>
      </c>
      <c r="G296" t="s">
        <v>3610</v>
      </c>
      <c r="H296" t="s">
        <v>3611</v>
      </c>
      <c r="I296" t="s">
        <v>3612</v>
      </c>
      <c r="J296" t="s">
        <v>3613</v>
      </c>
      <c r="K296" t="s">
        <v>2476</v>
      </c>
      <c r="L296" t="s">
        <v>3614</v>
      </c>
      <c r="M296" t="s">
        <v>3615</v>
      </c>
      <c r="N296" t="s">
        <v>3616</v>
      </c>
    </row>
    <row r="297" spans="1:14">
      <c r="A297" t="s">
        <v>3617</v>
      </c>
      <c r="B297" t="s">
        <v>3618</v>
      </c>
      <c r="C297" t="s">
        <v>3618</v>
      </c>
      <c r="D297" t="s">
        <v>130</v>
      </c>
      <c r="E297" t="s">
        <v>130</v>
      </c>
      <c r="F297" t="s">
        <v>3619</v>
      </c>
      <c r="G297" t="s">
        <v>3620</v>
      </c>
      <c r="H297" t="s">
        <v>3621</v>
      </c>
      <c r="I297" t="s">
        <v>3622</v>
      </c>
      <c r="J297" t="s">
        <v>3623</v>
      </c>
      <c r="K297" t="s">
        <v>2476</v>
      </c>
      <c r="L297" t="s">
        <v>3624</v>
      </c>
      <c r="M297" t="s">
        <v>130</v>
      </c>
      <c r="N297" t="s">
        <v>131</v>
      </c>
    </row>
    <row r="298" spans="1:14">
      <c r="A298" t="s">
        <v>3625</v>
      </c>
      <c r="B298" t="s">
        <v>3626</v>
      </c>
      <c r="C298" t="s">
        <v>3626</v>
      </c>
      <c r="D298" t="s">
        <v>130</v>
      </c>
      <c r="E298" t="s">
        <v>130</v>
      </c>
      <c r="F298" t="s">
        <v>3627</v>
      </c>
      <c r="G298" t="s">
        <v>3628</v>
      </c>
      <c r="H298" t="s">
        <v>3629</v>
      </c>
      <c r="I298" t="s">
        <v>3630</v>
      </c>
      <c r="J298" t="s">
        <v>3631</v>
      </c>
      <c r="K298" t="s">
        <v>2476</v>
      </c>
      <c r="L298" t="s">
        <v>3632</v>
      </c>
      <c r="M298" t="s">
        <v>130</v>
      </c>
      <c r="N298" t="s">
        <v>131</v>
      </c>
    </row>
    <row r="299" spans="1:14">
      <c r="A299" t="s">
        <v>3633</v>
      </c>
      <c r="B299" t="s">
        <v>3634</v>
      </c>
      <c r="C299" t="s">
        <v>3634</v>
      </c>
      <c r="D299" t="s">
        <v>130</v>
      </c>
      <c r="E299" t="s">
        <v>130</v>
      </c>
      <c r="F299" t="s">
        <v>3635</v>
      </c>
      <c r="G299" t="s">
        <v>3636</v>
      </c>
      <c r="H299" t="s">
        <v>3100</v>
      </c>
      <c r="I299" t="s">
        <v>3385</v>
      </c>
      <c r="J299" t="s">
        <v>3637</v>
      </c>
      <c r="K299" t="s">
        <v>2476</v>
      </c>
      <c r="L299" t="s">
        <v>3638</v>
      </c>
      <c r="M299" t="s">
        <v>130</v>
      </c>
      <c r="N299" t="s">
        <v>131</v>
      </c>
    </row>
    <row r="300" spans="1:14">
      <c r="A300" t="s">
        <v>3639</v>
      </c>
      <c r="B300" t="s">
        <v>3640</v>
      </c>
      <c r="C300" t="s">
        <v>3640</v>
      </c>
      <c r="D300" t="s">
        <v>130</v>
      </c>
      <c r="E300" t="s">
        <v>130</v>
      </c>
      <c r="F300" t="s">
        <v>3641</v>
      </c>
      <c r="G300" t="s">
        <v>3642</v>
      </c>
      <c r="H300" t="s">
        <v>3643</v>
      </c>
      <c r="I300" t="s">
        <v>3644</v>
      </c>
      <c r="J300" t="s">
        <v>3645</v>
      </c>
      <c r="K300" t="s">
        <v>2476</v>
      </c>
      <c r="L300" t="s">
        <v>3646</v>
      </c>
      <c r="M300" t="s">
        <v>130</v>
      </c>
      <c r="N300" t="s">
        <v>131</v>
      </c>
    </row>
    <row r="301" spans="1:14">
      <c r="A301" t="s">
        <v>3647</v>
      </c>
      <c r="B301" t="s">
        <v>3648</v>
      </c>
      <c r="C301" t="s">
        <v>3648</v>
      </c>
      <c r="D301" t="s">
        <v>130</v>
      </c>
      <c r="E301" t="s">
        <v>130</v>
      </c>
      <c r="F301" t="s">
        <v>3649</v>
      </c>
      <c r="G301" t="s">
        <v>3650</v>
      </c>
      <c r="H301" t="s">
        <v>3041</v>
      </c>
      <c r="I301" t="s">
        <v>3651</v>
      </c>
      <c r="J301" t="s">
        <v>3652</v>
      </c>
      <c r="K301" t="s">
        <v>2476</v>
      </c>
      <c r="L301" t="s">
        <v>3653</v>
      </c>
      <c r="M301" t="s">
        <v>3438</v>
      </c>
      <c r="N301" t="s">
        <v>3439</v>
      </c>
    </row>
    <row r="302" spans="1:14">
      <c r="A302" t="s">
        <v>3654</v>
      </c>
      <c r="B302" t="s">
        <v>3655</v>
      </c>
      <c r="C302" t="s">
        <v>3655</v>
      </c>
      <c r="D302" t="s">
        <v>130</v>
      </c>
      <c r="E302" t="s">
        <v>130</v>
      </c>
      <c r="F302" t="s">
        <v>3656</v>
      </c>
      <c r="G302" t="s">
        <v>3657</v>
      </c>
      <c r="H302" t="s">
        <v>3658</v>
      </c>
      <c r="I302" t="s">
        <v>3659</v>
      </c>
      <c r="J302" t="s">
        <v>3660</v>
      </c>
      <c r="K302" t="s">
        <v>2476</v>
      </c>
      <c r="L302" t="s">
        <v>3661</v>
      </c>
      <c r="M302" t="s">
        <v>3662</v>
      </c>
      <c r="N302" t="s">
        <v>3663</v>
      </c>
    </row>
    <row r="303" spans="1:14">
      <c r="A303" t="s">
        <v>3664</v>
      </c>
      <c r="B303" t="s">
        <v>3665</v>
      </c>
      <c r="C303" t="s">
        <v>3665</v>
      </c>
      <c r="D303" t="s">
        <v>130</v>
      </c>
      <c r="E303" t="s">
        <v>130</v>
      </c>
      <c r="F303" t="s">
        <v>3666</v>
      </c>
      <c r="G303" t="s">
        <v>3667</v>
      </c>
      <c r="H303" t="s">
        <v>3668</v>
      </c>
      <c r="I303" t="s">
        <v>3669</v>
      </c>
      <c r="J303" t="s">
        <v>3670</v>
      </c>
      <c r="K303" t="s">
        <v>2476</v>
      </c>
      <c r="L303" t="s">
        <v>3671</v>
      </c>
      <c r="M303" t="s">
        <v>3672</v>
      </c>
      <c r="N303" t="s">
        <v>3673</v>
      </c>
    </row>
    <row r="304" spans="1:14">
      <c r="A304" t="s">
        <v>3674</v>
      </c>
      <c r="B304" t="s">
        <v>3675</v>
      </c>
      <c r="C304" t="s">
        <v>3675</v>
      </c>
      <c r="D304" t="s">
        <v>130</v>
      </c>
      <c r="E304" t="s">
        <v>130</v>
      </c>
      <c r="F304" t="s">
        <v>3676</v>
      </c>
      <c r="G304" t="s">
        <v>3677</v>
      </c>
      <c r="H304" t="s">
        <v>3678</v>
      </c>
      <c r="I304" t="s">
        <v>3679</v>
      </c>
      <c r="J304" t="s">
        <v>3680</v>
      </c>
      <c r="K304" t="s">
        <v>2476</v>
      </c>
      <c r="L304" t="s">
        <v>3681</v>
      </c>
      <c r="M304" t="s">
        <v>3682</v>
      </c>
      <c r="N304" t="s">
        <v>2003</v>
      </c>
    </row>
    <row r="305" spans="1:14">
      <c r="A305" t="s">
        <v>3683</v>
      </c>
      <c r="B305" t="s">
        <v>3684</v>
      </c>
      <c r="C305" t="s">
        <v>3684</v>
      </c>
      <c r="D305" t="s">
        <v>130</v>
      </c>
      <c r="E305" t="s">
        <v>130</v>
      </c>
      <c r="F305" t="s">
        <v>3685</v>
      </c>
      <c r="G305" t="s">
        <v>3686</v>
      </c>
      <c r="H305" t="s">
        <v>3687</v>
      </c>
      <c r="I305" t="s">
        <v>3688</v>
      </c>
      <c r="J305" t="s">
        <v>3689</v>
      </c>
      <c r="K305" t="s">
        <v>2476</v>
      </c>
      <c r="L305" t="s">
        <v>3690</v>
      </c>
      <c r="M305" t="s">
        <v>3691</v>
      </c>
      <c r="N305" t="s">
        <v>3692</v>
      </c>
    </row>
    <row r="306" spans="1:14">
      <c r="A306" t="s">
        <v>3693</v>
      </c>
      <c r="B306" t="s">
        <v>3694</v>
      </c>
      <c r="C306" t="s">
        <v>3694</v>
      </c>
      <c r="D306" t="s">
        <v>130</v>
      </c>
      <c r="E306" t="s">
        <v>130</v>
      </c>
      <c r="F306" t="s">
        <v>3695</v>
      </c>
      <c r="G306" t="s">
        <v>3696</v>
      </c>
      <c r="H306" t="s">
        <v>3658</v>
      </c>
      <c r="I306" t="s">
        <v>3697</v>
      </c>
      <c r="J306" t="s">
        <v>3698</v>
      </c>
      <c r="K306" t="s">
        <v>2476</v>
      </c>
      <c r="L306" t="s">
        <v>3699</v>
      </c>
      <c r="M306" t="s">
        <v>3700</v>
      </c>
      <c r="N306" t="s">
        <v>3701</v>
      </c>
    </row>
    <row r="307" spans="1:14">
      <c r="A307" t="s">
        <v>3702</v>
      </c>
      <c r="B307" t="s">
        <v>3703</v>
      </c>
      <c r="C307" t="s">
        <v>3703</v>
      </c>
      <c r="D307" t="s">
        <v>130</v>
      </c>
      <c r="E307" t="s">
        <v>130</v>
      </c>
      <c r="F307" t="s">
        <v>3704</v>
      </c>
      <c r="G307" t="s">
        <v>3705</v>
      </c>
      <c r="H307" t="s">
        <v>3706</v>
      </c>
      <c r="I307" t="s">
        <v>3707</v>
      </c>
      <c r="J307" t="s">
        <v>3708</v>
      </c>
      <c r="K307" t="s">
        <v>2476</v>
      </c>
      <c r="L307" t="s">
        <v>3709</v>
      </c>
      <c r="M307" t="s">
        <v>3710</v>
      </c>
      <c r="N307" t="s">
        <v>75</v>
      </c>
    </row>
    <row r="308" spans="1:14">
      <c r="A308" t="s">
        <v>3711</v>
      </c>
      <c r="B308" t="s">
        <v>3712</v>
      </c>
      <c r="C308" t="s">
        <v>3712</v>
      </c>
      <c r="D308" t="s">
        <v>130</v>
      </c>
      <c r="E308" t="s">
        <v>130</v>
      </c>
      <c r="F308" t="s">
        <v>3713</v>
      </c>
      <c r="G308" t="s">
        <v>3714</v>
      </c>
      <c r="H308" t="s">
        <v>3715</v>
      </c>
      <c r="I308" t="s">
        <v>3716</v>
      </c>
      <c r="J308" t="s">
        <v>3717</v>
      </c>
      <c r="K308" t="s">
        <v>2476</v>
      </c>
      <c r="L308" t="s">
        <v>3718</v>
      </c>
      <c r="M308" t="s">
        <v>3719</v>
      </c>
      <c r="N308" t="s">
        <v>1381</v>
      </c>
    </row>
    <row r="309" spans="1:14">
      <c r="A309" t="s">
        <v>3720</v>
      </c>
      <c r="B309" t="s">
        <v>3721</v>
      </c>
      <c r="C309" t="s">
        <v>3721</v>
      </c>
      <c r="D309" t="s">
        <v>130</v>
      </c>
      <c r="E309" t="s">
        <v>130</v>
      </c>
      <c r="F309" t="s">
        <v>3722</v>
      </c>
      <c r="G309" t="s">
        <v>3723</v>
      </c>
      <c r="H309" t="s">
        <v>2824</v>
      </c>
      <c r="I309" t="s">
        <v>3724</v>
      </c>
      <c r="J309" t="s">
        <v>3725</v>
      </c>
      <c r="K309" t="s">
        <v>2476</v>
      </c>
      <c r="L309" t="s">
        <v>3726</v>
      </c>
      <c r="M309" t="s">
        <v>130</v>
      </c>
      <c r="N309" t="s">
        <v>131</v>
      </c>
    </row>
    <row r="310" spans="1:14">
      <c r="A310" t="s">
        <v>3727</v>
      </c>
      <c r="B310" t="s">
        <v>3728</v>
      </c>
      <c r="C310" t="s">
        <v>3728</v>
      </c>
      <c r="D310" t="s">
        <v>130</v>
      </c>
      <c r="E310" t="s">
        <v>130</v>
      </c>
      <c r="F310" t="s">
        <v>3729</v>
      </c>
      <c r="G310" t="s">
        <v>3730</v>
      </c>
      <c r="H310" t="s">
        <v>3731</v>
      </c>
      <c r="I310" t="s">
        <v>3732</v>
      </c>
      <c r="J310" t="s">
        <v>3733</v>
      </c>
      <c r="K310" t="s">
        <v>2476</v>
      </c>
      <c r="L310" t="s">
        <v>3734</v>
      </c>
      <c r="M310" t="s">
        <v>130</v>
      </c>
      <c r="N310" t="s">
        <v>131</v>
      </c>
    </row>
    <row r="311" spans="1:14">
      <c r="A311" t="s">
        <v>3735</v>
      </c>
      <c r="B311" t="s">
        <v>3736</v>
      </c>
      <c r="C311" t="s">
        <v>3736</v>
      </c>
      <c r="D311" t="s">
        <v>130</v>
      </c>
      <c r="E311" t="s">
        <v>130</v>
      </c>
      <c r="F311" t="s">
        <v>3737</v>
      </c>
      <c r="G311" t="s">
        <v>3738</v>
      </c>
      <c r="H311" t="s">
        <v>3739</v>
      </c>
      <c r="I311" t="s">
        <v>3740</v>
      </c>
      <c r="J311" t="s">
        <v>3741</v>
      </c>
      <c r="K311" t="s">
        <v>2476</v>
      </c>
      <c r="L311" t="s">
        <v>3742</v>
      </c>
      <c r="M311" t="s">
        <v>130</v>
      </c>
      <c r="N311" t="s">
        <v>131</v>
      </c>
    </row>
    <row r="312" spans="1:14">
      <c r="A312" t="s">
        <v>3743</v>
      </c>
      <c r="B312" t="s">
        <v>3744</v>
      </c>
      <c r="C312" t="s">
        <v>3744</v>
      </c>
      <c r="D312" t="s">
        <v>130</v>
      </c>
      <c r="E312" t="s">
        <v>130</v>
      </c>
      <c r="F312" t="s">
        <v>3745</v>
      </c>
      <c r="G312" t="s">
        <v>3746</v>
      </c>
      <c r="H312" t="s">
        <v>3747</v>
      </c>
      <c r="I312" t="s">
        <v>3748</v>
      </c>
      <c r="J312" t="s">
        <v>3749</v>
      </c>
      <c r="K312" t="s">
        <v>2476</v>
      </c>
      <c r="L312" t="s">
        <v>3750</v>
      </c>
      <c r="M312" t="s">
        <v>130</v>
      </c>
      <c r="N312" t="s">
        <v>131</v>
      </c>
    </row>
    <row r="313" spans="1:14">
      <c r="A313" t="s">
        <v>3751</v>
      </c>
      <c r="B313" t="s">
        <v>3752</v>
      </c>
      <c r="C313" t="s">
        <v>3752</v>
      </c>
      <c r="D313" t="s">
        <v>130</v>
      </c>
      <c r="E313" t="s">
        <v>130</v>
      </c>
      <c r="F313" t="s">
        <v>3753</v>
      </c>
      <c r="G313" t="s">
        <v>3754</v>
      </c>
      <c r="H313" t="s">
        <v>3755</v>
      </c>
      <c r="I313" t="s">
        <v>3756</v>
      </c>
      <c r="J313" t="s">
        <v>3757</v>
      </c>
      <c r="K313" t="s">
        <v>2476</v>
      </c>
      <c r="L313" t="s">
        <v>3758</v>
      </c>
      <c r="M313" t="s">
        <v>3759</v>
      </c>
      <c r="N313" t="s">
        <v>3760</v>
      </c>
    </row>
    <row r="314" spans="1:14">
      <c r="A314" t="s">
        <v>3761</v>
      </c>
      <c r="B314" t="s">
        <v>3762</v>
      </c>
      <c r="C314" t="s">
        <v>3762</v>
      </c>
      <c r="D314" t="s">
        <v>130</v>
      </c>
      <c r="E314" t="s">
        <v>130</v>
      </c>
      <c r="F314" t="s">
        <v>3763</v>
      </c>
      <c r="G314" t="s">
        <v>3764</v>
      </c>
      <c r="H314" t="s">
        <v>3765</v>
      </c>
      <c r="I314" t="s">
        <v>3766</v>
      </c>
      <c r="J314" t="s">
        <v>3767</v>
      </c>
      <c r="K314" t="s">
        <v>2476</v>
      </c>
      <c r="L314" t="s">
        <v>3768</v>
      </c>
      <c r="M314" t="s">
        <v>3769</v>
      </c>
      <c r="N314" t="s">
        <v>2612</v>
      </c>
    </row>
    <row r="315" spans="1:14">
      <c r="A315" t="s">
        <v>3770</v>
      </c>
      <c r="B315" t="s">
        <v>3771</v>
      </c>
      <c r="C315" t="s">
        <v>3771</v>
      </c>
      <c r="D315" t="s">
        <v>130</v>
      </c>
      <c r="E315" t="s">
        <v>130</v>
      </c>
      <c r="F315" t="s">
        <v>3772</v>
      </c>
      <c r="G315" t="s">
        <v>3773</v>
      </c>
      <c r="H315" t="s">
        <v>3774</v>
      </c>
      <c r="I315" t="s">
        <v>3775</v>
      </c>
      <c r="J315" t="s">
        <v>3776</v>
      </c>
      <c r="K315" t="s">
        <v>2476</v>
      </c>
      <c r="L315" t="s">
        <v>3777</v>
      </c>
      <c r="M315" t="s">
        <v>860</v>
      </c>
      <c r="N315" t="s">
        <v>3558</v>
      </c>
    </row>
    <row r="316" spans="1:14">
      <c r="A316" t="s">
        <v>3778</v>
      </c>
      <c r="B316" t="s">
        <v>3779</v>
      </c>
      <c r="C316" t="s">
        <v>3779</v>
      </c>
      <c r="D316" t="s">
        <v>130</v>
      </c>
      <c r="E316" t="s">
        <v>130</v>
      </c>
      <c r="F316" t="s">
        <v>3780</v>
      </c>
      <c r="G316" t="s">
        <v>3781</v>
      </c>
      <c r="H316" t="s">
        <v>3782</v>
      </c>
      <c r="I316" t="s">
        <v>3783</v>
      </c>
      <c r="J316" t="s">
        <v>3784</v>
      </c>
      <c r="K316" t="s">
        <v>2476</v>
      </c>
      <c r="L316" t="s">
        <v>3785</v>
      </c>
      <c r="M316" t="s">
        <v>3786</v>
      </c>
      <c r="N316" t="s">
        <v>1961</v>
      </c>
    </row>
    <row r="317" spans="1:14">
      <c r="A317" t="s">
        <v>3787</v>
      </c>
      <c r="B317" t="s">
        <v>3788</v>
      </c>
      <c r="C317" t="s">
        <v>3788</v>
      </c>
      <c r="D317" t="s">
        <v>130</v>
      </c>
      <c r="E317" t="s">
        <v>130</v>
      </c>
      <c r="F317" t="s">
        <v>3789</v>
      </c>
      <c r="G317" t="s">
        <v>3790</v>
      </c>
      <c r="H317" t="s">
        <v>3394</v>
      </c>
      <c r="I317" t="s">
        <v>3791</v>
      </c>
      <c r="J317" t="s">
        <v>3792</v>
      </c>
      <c r="K317" t="s">
        <v>2476</v>
      </c>
      <c r="L317" t="s">
        <v>3793</v>
      </c>
      <c r="M317" t="s">
        <v>3794</v>
      </c>
      <c r="N317" t="s">
        <v>3795</v>
      </c>
    </row>
    <row r="318" spans="1:14">
      <c r="A318" t="s">
        <v>3796</v>
      </c>
      <c r="B318" t="s">
        <v>3797</v>
      </c>
      <c r="C318" t="s">
        <v>3797</v>
      </c>
      <c r="D318" t="s">
        <v>130</v>
      </c>
      <c r="E318" t="s">
        <v>130</v>
      </c>
      <c r="F318" t="s">
        <v>3798</v>
      </c>
      <c r="G318" t="s">
        <v>3799</v>
      </c>
      <c r="H318" t="s">
        <v>3800</v>
      </c>
      <c r="I318" t="s">
        <v>3801</v>
      </c>
      <c r="J318" t="s">
        <v>3802</v>
      </c>
      <c r="K318" t="s">
        <v>2476</v>
      </c>
      <c r="L318" t="s">
        <v>3803</v>
      </c>
      <c r="M318" t="s">
        <v>3804</v>
      </c>
      <c r="N318" t="s">
        <v>1831</v>
      </c>
    </row>
    <row r="319" spans="1:14">
      <c r="A319" t="s">
        <v>3805</v>
      </c>
      <c r="B319" t="s">
        <v>3806</v>
      </c>
      <c r="C319" t="s">
        <v>3806</v>
      </c>
      <c r="D319" t="s">
        <v>130</v>
      </c>
      <c r="E319" t="s">
        <v>130</v>
      </c>
      <c r="F319" t="s">
        <v>3807</v>
      </c>
      <c r="G319" t="s">
        <v>3808</v>
      </c>
      <c r="H319" t="s">
        <v>3809</v>
      </c>
      <c r="I319" t="s">
        <v>3810</v>
      </c>
      <c r="J319" t="s">
        <v>3811</v>
      </c>
      <c r="K319" t="s">
        <v>2476</v>
      </c>
      <c r="L319" t="s">
        <v>3812</v>
      </c>
      <c r="M319" t="s">
        <v>3813</v>
      </c>
      <c r="N319" t="s">
        <v>3814</v>
      </c>
    </row>
    <row r="320" spans="1:14">
      <c r="A320" t="s">
        <v>3815</v>
      </c>
      <c r="B320" t="s">
        <v>3816</v>
      </c>
      <c r="C320" t="s">
        <v>3816</v>
      </c>
      <c r="D320" t="s">
        <v>130</v>
      </c>
      <c r="E320" t="s">
        <v>130</v>
      </c>
      <c r="F320" t="s">
        <v>3817</v>
      </c>
      <c r="G320" t="s">
        <v>3818</v>
      </c>
      <c r="H320" t="s">
        <v>3819</v>
      </c>
      <c r="I320" t="s">
        <v>3820</v>
      </c>
      <c r="J320" t="s">
        <v>3821</v>
      </c>
      <c r="K320" t="s">
        <v>2476</v>
      </c>
      <c r="L320" t="s">
        <v>3822</v>
      </c>
      <c r="M320" t="s">
        <v>3823</v>
      </c>
      <c r="N320" t="s">
        <v>3824</v>
      </c>
    </row>
    <row r="321" spans="1:14">
      <c r="A321" t="s">
        <v>3825</v>
      </c>
      <c r="B321" t="s">
        <v>3826</v>
      </c>
      <c r="C321" t="s">
        <v>3826</v>
      </c>
      <c r="D321" t="s">
        <v>130</v>
      </c>
      <c r="E321" t="s">
        <v>130</v>
      </c>
      <c r="F321" t="s">
        <v>3827</v>
      </c>
      <c r="G321" t="s">
        <v>3828</v>
      </c>
      <c r="H321" t="s">
        <v>2680</v>
      </c>
      <c r="I321" t="s">
        <v>3829</v>
      </c>
      <c r="J321" t="s">
        <v>3830</v>
      </c>
      <c r="K321" t="s">
        <v>2476</v>
      </c>
      <c r="L321" t="s">
        <v>3831</v>
      </c>
      <c r="M321" t="s">
        <v>130</v>
      </c>
      <c r="N321" t="s">
        <v>131</v>
      </c>
    </row>
    <row r="322" spans="1:14">
      <c r="A322" t="s">
        <v>3832</v>
      </c>
      <c r="B322" t="s">
        <v>3833</v>
      </c>
      <c r="C322" t="s">
        <v>3833</v>
      </c>
      <c r="D322" t="s">
        <v>130</v>
      </c>
      <c r="E322" t="s">
        <v>130</v>
      </c>
      <c r="F322" t="s">
        <v>3834</v>
      </c>
      <c r="G322" t="s">
        <v>3835</v>
      </c>
      <c r="H322" t="s">
        <v>3836</v>
      </c>
      <c r="I322" t="s">
        <v>3622</v>
      </c>
      <c r="J322" t="s">
        <v>3837</v>
      </c>
      <c r="K322" t="s">
        <v>2476</v>
      </c>
      <c r="L322" t="s">
        <v>3838</v>
      </c>
      <c r="M322" t="s">
        <v>130</v>
      </c>
      <c r="N322" t="s">
        <v>131</v>
      </c>
    </row>
    <row r="323" spans="1:14">
      <c r="A323" t="s">
        <v>3839</v>
      </c>
      <c r="B323" t="s">
        <v>3840</v>
      </c>
      <c r="C323" t="s">
        <v>3840</v>
      </c>
      <c r="D323" t="s">
        <v>130</v>
      </c>
      <c r="E323" t="s">
        <v>130</v>
      </c>
      <c r="F323" t="s">
        <v>3841</v>
      </c>
      <c r="G323" t="s">
        <v>3842</v>
      </c>
      <c r="H323" t="s">
        <v>3843</v>
      </c>
      <c r="I323" t="s">
        <v>3844</v>
      </c>
      <c r="J323" t="s">
        <v>3845</v>
      </c>
      <c r="K323" t="s">
        <v>2476</v>
      </c>
      <c r="L323" t="s">
        <v>3846</v>
      </c>
      <c r="M323" t="s">
        <v>130</v>
      </c>
      <c r="N323" t="s">
        <v>131</v>
      </c>
    </row>
    <row r="324" spans="1:14">
      <c r="A324" t="s">
        <v>3847</v>
      </c>
      <c r="B324" t="s">
        <v>3848</v>
      </c>
      <c r="C324" t="s">
        <v>3848</v>
      </c>
      <c r="D324" t="s">
        <v>130</v>
      </c>
      <c r="E324" t="s">
        <v>130</v>
      </c>
      <c r="F324" t="s">
        <v>3849</v>
      </c>
      <c r="G324" t="s">
        <v>3850</v>
      </c>
      <c r="H324" t="s">
        <v>3851</v>
      </c>
      <c r="I324" t="s">
        <v>3852</v>
      </c>
      <c r="J324" t="s">
        <v>3853</v>
      </c>
      <c r="K324" t="s">
        <v>2476</v>
      </c>
      <c r="L324" t="s">
        <v>3854</v>
      </c>
      <c r="M324" t="s">
        <v>130</v>
      </c>
      <c r="N324" t="s">
        <v>131</v>
      </c>
    </row>
    <row r="325" spans="1:14">
      <c r="A325" t="s">
        <v>3855</v>
      </c>
      <c r="B325" t="s">
        <v>3856</v>
      </c>
      <c r="C325" t="s">
        <v>3856</v>
      </c>
      <c r="D325" t="s">
        <v>130</v>
      </c>
      <c r="E325" t="s">
        <v>130</v>
      </c>
      <c r="F325" t="s">
        <v>3857</v>
      </c>
      <c r="G325" t="s">
        <v>3858</v>
      </c>
      <c r="H325" t="s">
        <v>3859</v>
      </c>
      <c r="I325" t="s">
        <v>3860</v>
      </c>
      <c r="J325" t="s">
        <v>3861</v>
      </c>
      <c r="K325" t="s">
        <v>2476</v>
      </c>
      <c r="L325" t="s">
        <v>3862</v>
      </c>
      <c r="M325" t="s">
        <v>3863</v>
      </c>
      <c r="N325" t="s">
        <v>3864</v>
      </c>
    </row>
    <row r="326" spans="1:14">
      <c r="A326" t="s">
        <v>3865</v>
      </c>
      <c r="B326" t="s">
        <v>3866</v>
      </c>
      <c r="C326" t="s">
        <v>3866</v>
      </c>
      <c r="D326" t="s">
        <v>130</v>
      </c>
      <c r="E326" t="s">
        <v>130</v>
      </c>
      <c r="F326" t="s">
        <v>3867</v>
      </c>
      <c r="G326" t="s">
        <v>3868</v>
      </c>
      <c r="H326" t="s">
        <v>3869</v>
      </c>
      <c r="I326" t="s">
        <v>3870</v>
      </c>
      <c r="J326" t="s">
        <v>3871</v>
      </c>
      <c r="K326" t="s">
        <v>2476</v>
      </c>
      <c r="L326" t="s">
        <v>3872</v>
      </c>
      <c r="M326" t="s">
        <v>3873</v>
      </c>
      <c r="N326" t="s">
        <v>3874</v>
      </c>
    </row>
    <row r="327" spans="1:14">
      <c r="A327" t="s">
        <v>3875</v>
      </c>
      <c r="B327" t="s">
        <v>3876</v>
      </c>
      <c r="C327" t="s">
        <v>3876</v>
      </c>
      <c r="D327" t="s">
        <v>130</v>
      </c>
      <c r="E327" t="s">
        <v>130</v>
      </c>
      <c r="F327" t="s">
        <v>3877</v>
      </c>
      <c r="G327" t="s">
        <v>3878</v>
      </c>
      <c r="H327" t="s">
        <v>3879</v>
      </c>
      <c r="I327" t="s">
        <v>3880</v>
      </c>
      <c r="J327" t="s">
        <v>3881</v>
      </c>
      <c r="K327" t="s">
        <v>2476</v>
      </c>
      <c r="L327" t="s">
        <v>3882</v>
      </c>
      <c r="M327" t="s">
        <v>3883</v>
      </c>
      <c r="N327" t="s">
        <v>3884</v>
      </c>
    </row>
    <row r="328" spans="1:14">
      <c r="A328" t="s">
        <v>3885</v>
      </c>
      <c r="B328" t="s">
        <v>3886</v>
      </c>
      <c r="C328" t="s">
        <v>3886</v>
      </c>
      <c r="D328" t="s">
        <v>130</v>
      </c>
      <c r="E328" t="s">
        <v>130</v>
      </c>
      <c r="F328" t="s">
        <v>3887</v>
      </c>
      <c r="G328" t="s">
        <v>3888</v>
      </c>
      <c r="H328" t="s">
        <v>3889</v>
      </c>
      <c r="I328" t="s">
        <v>3890</v>
      </c>
      <c r="J328" t="s">
        <v>3891</v>
      </c>
      <c r="K328" t="s">
        <v>2476</v>
      </c>
      <c r="L328" t="s">
        <v>3892</v>
      </c>
      <c r="M328" t="s">
        <v>3893</v>
      </c>
      <c r="N328" t="s">
        <v>3894</v>
      </c>
    </row>
    <row r="329" spans="1:14">
      <c r="A329" t="s">
        <v>3895</v>
      </c>
      <c r="B329" t="s">
        <v>3896</v>
      </c>
      <c r="C329" t="s">
        <v>3896</v>
      </c>
      <c r="D329" t="s">
        <v>130</v>
      </c>
      <c r="E329" t="s">
        <v>130</v>
      </c>
      <c r="F329" t="s">
        <v>3897</v>
      </c>
      <c r="G329" t="s">
        <v>3898</v>
      </c>
      <c r="H329" t="s">
        <v>3899</v>
      </c>
      <c r="I329" t="s">
        <v>3900</v>
      </c>
      <c r="J329" t="s">
        <v>3901</v>
      </c>
      <c r="K329" t="s">
        <v>2476</v>
      </c>
      <c r="L329" t="s">
        <v>3902</v>
      </c>
      <c r="M329" t="s">
        <v>3903</v>
      </c>
      <c r="N329" t="s">
        <v>265</v>
      </c>
    </row>
    <row r="330" spans="1:14">
      <c r="A330" t="s">
        <v>3904</v>
      </c>
      <c r="B330" t="s">
        <v>3905</v>
      </c>
      <c r="C330" t="s">
        <v>3905</v>
      </c>
      <c r="D330" t="s">
        <v>130</v>
      </c>
      <c r="E330" t="s">
        <v>130</v>
      </c>
      <c r="F330" t="s">
        <v>3906</v>
      </c>
      <c r="G330" t="s">
        <v>3907</v>
      </c>
      <c r="H330" t="s">
        <v>2704</v>
      </c>
      <c r="I330" t="s">
        <v>3908</v>
      </c>
      <c r="J330" t="s">
        <v>3909</v>
      </c>
      <c r="K330" t="s">
        <v>2476</v>
      </c>
      <c r="L330" t="s">
        <v>3910</v>
      </c>
      <c r="M330" t="s">
        <v>3911</v>
      </c>
      <c r="N330" t="s">
        <v>3912</v>
      </c>
    </row>
    <row r="331" spans="1:14">
      <c r="A331" t="s">
        <v>3913</v>
      </c>
      <c r="B331" t="s">
        <v>3914</v>
      </c>
      <c r="C331" t="s">
        <v>3914</v>
      </c>
      <c r="D331" t="s">
        <v>130</v>
      </c>
      <c r="E331" t="s">
        <v>130</v>
      </c>
      <c r="F331" t="s">
        <v>3915</v>
      </c>
      <c r="G331" t="s">
        <v>3916</v>
      </c>
      <c r="H331" t="s">
        <v>3337</v>
      </c>
      <c r="I331" t="s">
        <v>3917</v>
      </c>
      <c r="J331" t="s">
        <v>3918</v>
      </c>
      <c r="K331" t="s">
        <v>2476</v>
      </c>
      <c r="L331" t="s">
        <v>3919</v>
      </c>
      <c r="M331" t="s">
        <v>3920</v>
      </c>
      <c r="N331" t="s">
        <v>3921</v>
      </c>
    </row>
    <row r="332" spans="1:14">
      <c r="A332" t="s">
        <v>3922</v>
      </c>
      <c r="B332" t="s">
        <v>3923</v>
      </c>
      <c r="C332" t="s">
        <v>3923</v>
      </c>
      <c r="D332" t="s">
        <v>130</v>
      </c>
      <c r="E332" t="s">
        <v>130</v>
      </c>
      <c r="F332" t="s">
        <v>3924</v>
      </c>
      <c r="G332" t="s">
        <v>3925</v>
      </c>
      <c r="H332" t="s">
        <v>3629</v>
      </c>
      <c r="I332" t="s">
        <v>3926</v>
      </c>
      <c r="J332" t="s">
        <v>3927</v>
      </c>
      <c r="K332" t="s">
        <v>2476</v>
      </c>
      <c r="L332" t="s">
        <v>3928</v>
      </c>
      <c r="M332" t="s">
        <v>3929</v>
      </c>
      <c r="N332" t="s">
        <v>3930</v>
      </c>
    </row>
    <row r="333" spans="1:14">
      <c r="A333" t="s">
        <v>3931</v>
      </c>
      <c r="B333" t="s">
        <v>3932</v>
      </c>
      <c r="C333" t="s">
        <v>3932</v>
      </c>
      <c r="D333" t="s">
        <v>130</v>
      </c>
      <c r="E333" t="s">
        <v>130</v>
      </c>
      <c r="F333" t="s">
        <v>3933</v>
      </c>
      <c r="G333" t="s">
        <v>3934</v>
      </c>
      <c r="H333" t="s">
        <v>3935</v>
      </c>
      <c r="I333" t="s">
        <v>3936</v>
      </c>
      <c r="J333" t="s">
        <v>3937</v>
      </c>
      <c r="K333" t="s">
        <v>2476</v>
      </c>
      <c r="L333" t="s">
        <v>3938</v>
      </c>
      <c r="M333" t="s">
        <v>130</v>
      </c>
      <c r="N333" t="s">
        <v>131</v>
      </c>
    </row>
    <row r="334" spans="1:14">
      <c r="A334" t="s">
        <v>3939</v>
      </c>
      <c r="B334" t="s">
        <v>3940</v>
      </c>
      <c r="C334" t="s">
        <v>3940</v>
      </c>
      <c r="D334" t="s">
        <v>130</v>
      </c>
      <c r="E334" t="s">
        <v>130</v>
      </c>
      <c r="F334" t="s">
        <v>3941</v>
      </c>
      <c r="G334" t="s">
        <v>3942</v>
      </c>
      <c r="H334" t="s">
        <v>2862</v>
      </c>
      <c r="I334" t="s">
        <v>3943</v>
      </c>
      <c r="J334" t="s">
        <v>3944</v>
      </c>
      <c r="K334" t="s">
        <v>2476</v>
      </c>
      <c r="L334" t="s">
        <v>3945</v>
      </c>
      <c r="M334" t="s">
        <v>130</v>
      </c>
      <c r="N334" t="s">
        <v>131</v>
      </c>
    </row>
    <row r="335" spans="1:14">
      <c r="A335" t="s">
        <v>3946</v>
      </c>
      <c r="B335" t="s">
        <v>3947</v>
      </c>
      <c r="C335" t="s">
        <v>3947</v>
      </c>
      <c r="D335" t="s">
        <v>130</v>
      </c>
      <c r="E335" t="s">
        <v>130</v>
      </c>
      <c r="F335" t="s">
        <v>3948</v>
      </c>
      <c r="G335" t="s">
        <v>3949</v>
      </c>
      <c r="H335" t="s">
        <v>3950</v>
      </c>
      <c r="I335" t="s">
        <v>3951</v>
      </c>
      <c r="J335" t="s">
        <v>3952</v>
      </c>
      <c r="K335" t="s">
        <v>2476</v>
      </c>
      <c r="L335" t="s">
        <v>3953</v>
      </c>
      <c r="M335" t="s">
        <v>130</v>
      </c>
      <c r="N335" t="s">
        <v>131</v>
      </c>
    </row>
    <row r="336" spans="1:14">
      <c r="A336" t="s">
        <v>3954</v>
      </c>
      <c r="B336" t="s">
        <v>3955</v>
      </c>
      <c r="C336" t="s">
        <v>3955</v>
      </c>
      <c r="D336" t="s">
        <v>130</v>
      </c>
      <c r="E336" t="s">
        <v>130</v>
      </c>
      <c r="F336" t="s">
        <v>3956</v>
      </c>
      <c r="G336" t="s">
        <v>3957</v>
      </c>
      <c r="H336" t="s">
        <v>3958</v>
      </c>
      <c r="I336" t="s">
        <v>3959</v>
      </c>
      <c r="J336" t="s">
        <v>3960</v>
      </c>
      <c r="K336" t="s">
        <v>2476</v>
      </c>
      <c r="L336" t="s">
        <v>3961</v>
      </c>
      <c r="M336" t="s">
        <v>130</v>
      </c>
      <c r="N336" t="s">
        <v>131</v>
      </c>
    </row>
    <row r="337" spans="1:14">
      <c r="A337" t="s">
        <v>3962</v>
      </c>
      <c r="B337" t="s">
        <v>3963</v>
      </c>
      <c r="C337" t="s">
        <v>3963</v>
      </c>
      <c r="D337" t="s">
        <v>130</v>
      </c>
      <c r="E337" t="s">
        <v>130</v>
      </c>
      <c r="F337" t="s">
        <v>3964</v>
      </c>
      <c r="G337" t="s">
        <v>3965</v>
      </c>
      <c r="H337" t="s">
        <v>3966</v>
      </c>
      <c r="I337" t="s">
        <v>3967</v>
      </c>
      <c r="J337" t="s">
        <v>3968</v>
      </c>
      <c r="K337" t="s">
        <v>2476</v>
      </c>
      <c r="L337" t="s">
        <v>3969</v>
      </c>
      <c r="M337" t="s">
        <v>3970</v>
      </c>
      <c r="N337" t="s">
        <v>3971</v>
      </c>
    </row>
    <row r="338" spans="1:14">
      <c r="A338" t="s">
        <v>3972</v>
      </c>
      <c r="B338" t="s">
        <v>3973</v>
      </c>
      <c r="C338" t="s">
        <v>3973</v>
      </c>
      <c r="D338" t="s">
        <v>130</v>
      </c>
      <c r="E338" t="s">
        <v>130</v>
      </c>
      <c r="F338" t="s">
        <v>3974</v>
      </c>
      <c r="G338" t="s">
        <v>3975</v>
      </c>
      <c r="H338" t="s">
        <v>3976</v>
      </c>
      <c r="I338" t="s">
        <v>3977</v>
      </c>
      <c r="J338" t="s">
        <v>3978</v>
      </c>
      <c r="K338" t="s">
        <v>2476</v>
      </c>
      <c r="L338" t="s">
        <v>3979</v>
      </c>
      <c r="M338" t="s">
        <v>3980</v>
      </c>
      <c r="N338" t="s">
        <v>3981</v>
      </c>
    </row>
    <row r="339" spans="1:14">
      <c r="A339" t="s">
        <v>3982</v>
      </c>
      <c r="B339" t="s">
        <v>3983</v>
      </c>
      <c r="C339" t="s">
        <v>3983</v>
      </c>
      <c r="D339" t="s">
        <v>130</v>
      </c>
      <c r="E339" t="s">
        <v>130</v>
      </c>
      <c r="F339" t="s">
        <v>3984</v>
      </c>
      <c r="G339" t="s">
        <v>3985</v>
      </c>
      <c r="H339" t="s">
        <v>3986</v>
      </c>
      <c r="I339" t="s">
        <v>3987</v>
      </c>
      <c r="J339" t="s">
        <v>3988</v>
      </c>
      <c r="K339" t="s">
        <v>2476</v>
      </c>
      <c r="L339" t="s">
        <v>3989</v>
      </c>
      <c r="M339" t="s">
        <v>3990</v>
      </c>
      <c r="N339" t="s">
        <v>3991</v>
      </c>
    </row>
    <row r="340" spans="1:14">
      <c r="A340" t="s">
        <v>3992</v>
      </c>
      <c r="B340" t="s">
        <v>3993</v>
      </c>
      <c r="C340" t="s">
        <v>3993</v>
      </c>
      <c r="D340" t="s">
        <v>130</v>
      </c>
      <c r="E340" t="s">
        <v>130</v>
      </c>
      <c r="F340" t="s">
        <v>3994</v>
      </c>
      <c r="G340" t="s">
        <v>3995</v>
      </c>
      <c r="H340" t="s">
        <v>3869</v>
      </c>
      <c r="I340" t="s">
        <v>3996</v>
      </c>
      <c r="J340" t="s">
        <v>3997</v>
      </c>
      <c r="K340" t="s">
        <v>2476</v>
      </c>
      <c r="L340" t="s">
        <v>3998</v>
      </c>
      <c r="M340" t="s">
        <v>3999</v>
      </c>
      <c r="N340" t="s">
        <v>4000</v>
      </c>
    </row>
    <row r="341" spans="1:14">
      <c r="A341" t="s">
        <v>4001</v>
      </c>
      <c r="B341" t="s">
        <v>4002</v>
      </c>
      <c r="C341" t="s">
        <v>4002</v>
      </c>
      <c r="D341" t="s">
        <v>130</v>
      </c>
      <c r="E341" t="s">
        <v>130</v>
      </c>
      <c r="F341" t="s">
        <v>4003</v>
      </c>
      <c r="G341" t="s">
        <v>4004</v>
      </c>
      <c r="H341" t="s">
        <v>3181</v>
      </c>
      <c r="I341" t="s">
        <v>4005</v>
      </c>
      <c r="J341" t="s">
        <v>4006</v>
      </c>
      <c r="K341" t="s">
        <v>2476</v>
      </c>
      <c r="L341" t="s">
        <v>4007</v>
      </c>
      <c r="M341" t="s">
        <v>4008</v>
      </c>
      <c r="N341" t="s">
        <v>2439</v>
      </c>
    </row>
    <row r="342" spans="1:14">
      <c r="A342" t="s">
        <v>4009</v>
      </c>
      <c r="B342" t="s">
        <v>4010</v>
      </c>
      <c r="C342" t="s">
        <v>4010</v>
      </c>
      <c r="D342" t="s">
        <v>130</v>
      </c>
      <c r="E342" t="s">
        <v>130</v>
      </c>
      <c r="F342" t="s">
        <v>4011</v>
      </c>
      <c r="G342" t="s">
        <v>4012</v>
      </c>
      <c r="H342" t="s">
        <v>3463</v>
      </c>
      <c r="I342" t="s">
        <v>4013</v>
      </c>
      <c r="J342" t="s">
        <v>4014</v>
      </c>
      <c r="K342" t="s">
        <v>2476</v>
      </c>
      <c r="L342" t="s">
        <v>4015</v>
      </c>
      <c r="M342" t="s">
        <v>4016</v>
      </c>
      <c r="N342" t="s">
        <v>4017</v>
      </c>
    </row>
    <row r="343" spans="1:14">
      <c r="A343" t="s">
        <v>4018</v>
      </c>
      <c r="B343" t="s">
        <v>4019</v>
      </c>
      <c r="C343" t="s">
        <v>4019</v>
      </c>
      <c r="D343" t="s">
        <v>130</v>
      </c>
      <c r="E343" t="s">
        <v>130</v>
      </c>
      <c r="F343" t="s">
        <v>4020</v>
      </c>
      <c r="G343" t="s">
        <v>4021</v>
      </c>
      <c r="H343" t="s">
        <v>4022</v>
      </c>
      <c r="I343" t="s">
        <v>4023</v>
      </c>
      <c r="J343" t="s">
        <v>4024</v>
      </c>
      <c r="K343" t="s">
        <v>2476</v>
      </c>
      <c r="L343" t="s">
        <v>4025</v>
      </c>
      <c r="M343" t="s">
        <v>4026</v>
      </c>
      <c r="N343" t="s">
        <v>4027</v>
      </c>
    </row>
    <row r="344" spans="1:14">
      <c r="A344" t="s">
        <v>4028</v>
      </c>
      <c r="B344" t="s">
        <v>4029</v>
      </c>
      <c r="C344" t="s">
        <v>4029</v>
      </c>
      <c r="D344" t="s">
        <v>130</v>
      </c>
      <c r="E344" t="s">
        <v>130</v>
      </c>
      <c r="F344" t="s">
        <v>4030</v>
      </c>
      <c r="G344" t="s">
        <v>4031</v>
      </c>
      <c r="H344" t="s">
        <v>4032</v>
      </c>
      <c r="I344" t="s">
        <v>4033</v>
      </c>
      <c r="J344" t="s">
        <v>4034</v>
      </c>
      <c r="K344" t="s">
        <v>2476</v>
      </c>
      <c r="L344" t="s">
        <v>4035</v>
      </c>
      <c r="M344" t="s">
        <v>4036</v>
      </c>
      <c r="N344" t="s">
        <v>4037</v>
      </c>
    </row>
    <row r="345" spans="1:14">
      <c r="A345" t="s">
        <v>4038</v>
      </c>
      <c r="B345" t="s">
        <v>4039</v>
      </c>
      <c r="C345" t="s">
        <v>4039</v>
      </c>
      <c r="D345" t="s">
        <v>130</v>
      </c>
      <c r="E345" t="s">
        <v>130</v>
      </c>
      <c r="F345" t="s">
        <v>4040</v>
      </c>
      <c r="G345" t="s">
        <v>4041</v>
      </c>
      <c r="H345" t="s">
        <v>4042</v>
      </c>
      <c r="I345" t="s">
        <v>4043</v>
      </c>
      <c r="J345" t="s">
        <v>4044</v>
      </c>
      <c r="K345" t="s">
        <v>2476</v>
      </c>
      <c r="L345" t="s">
        <v>4045</v>
      </c>
      <c r="M345" t="s">
        <v>130</v>
      </c>
      <c r="N345" t="s">
        <v>131</v>
      </c>
    </row>
    <row r="346" spans="1:14">
      <c r="A346" t="s">
        <v>4046</v>
      </c>
      <c r="B346" t="s">
        <v>4047</v>
      </c>
      <c r="C346" t="s">
        <v>4047</v>
      </c>
      <c r="D346" t="s">
        <v>130</v>
      </c>
      <c r="E346" t="s">
        <v>130</v>
      </c>
      <c r="F346" t="s">
        <v>4048</v>
      </c>
      <c r="G346" t="s">
        <v>4049</v>
      </c>
      <c r="H346" t="s">
        <v>4050</v>
      </c>
      <c r="I346" t="s">
        <v>4051</v>
      </c>
      <c r="J346" t="s">
        <v>4052</v>
      </c>
      <c r="K346" t="s">
        <v>2476</v>
      </c>
      <c r="L346" t="s">
        <v>4053</v>
      </c>
      <c r="M346" t="s">
        <v>130</v>
      </c>
      <c r="N346" t="s">
        <v>131</v>
      </c>
    </row>
    <row r="347" spans="1:14">
      <c r="A347" t="s">
        <v>4054</v>
      </c>
      <c r="B347" t="s">
        <v>4055</v>
      </c>
      <c r="C347" t="s">
        <v>4055</v>
      </c>
      <c r="D347" t="s">
        <v>130</v>
      </c>
      <c r="E347" t="s">
        <v>130</v>
      </c>
      <c r="F347" t="s">
        <v>4056</v>
      </c>
      <c r="G347" t="s">
        <v>4057</v>
      </c>
      <c r="H347" t="s">
        <v>4058</v>
      </c>
      <c r="I347" t="s">
        <v>4059</v>
      </c>
      <c r="J347" t="s">
        <v>4060</v>
      </c>
      <c r="K347" t="s">
        <v>2476</v>
      </c>
      <c r="L347" t="s">
        <v>4061</v>
      </c>
      <c r="M347" t="s">
        <v>130</v>
      </c>
      <c r="N347" t="s">
        <v>131</v>
      </c>
    </row>
    <row r="348" spans="1:14">
      <c r="A348" t="s">
        <v>4062</v>
      </c>
      <c r="B348" t="s">
        <v>4063</v>
      </c>
      <c r="C348" t="s">
        <v>4063</v>
      </c>
      <c r="D348" t="s">
        <v>130</v>
      </c>
      <c r="E348" t="s">
        <v>130</v>
      </c>
      <c r="F348" t="s">
        <v>4064</v>
      </c>
      <c r="G348" t="s">
        <v>4065</v>
      </c>
      <c r="H348" t="s">
        <v>3774</v>
      </c>
      <c r="I348" t="s">
        <v>3592</v>
      </c>
      <c r="J348" t="s">
        <v>4066</v>
      </c>
      <c r="K348" t="s">
        <v>2476</v>
      </c>
      <c r="L348" t="s">
        <v>4067</v>
      </c>
      <c r="M348" t="s">
        <v>130</v>
      </c>
      <c r="N348" t="s">
        <v>131</v>
      </c>
    </row>
    <row r="349" spans="1:14">
      <c r="A349" t="s">
        <v>4068</v>
      </c>
      <c r="B349" t="s">
        <v>4069</v>
      </c>
      <c r="C349" t="s">
        <v>4069</v>
      </c>
      <c r="D349" t="s">
        <v>130</v>
      </c>
      <c r="E349" t="s">
        <v>130</v>
      </c>
      <c r="F349" t="s">
        <v>4070</v>
      </c>
      <c r="G349" t="s">
        <v>4071</v>
      </c>
      <c r="H349" t="s">
        <v>4072</v>
      </c>
      <c r="I349" t="s">
        <v>4073</v>
      </c>
      <c r="J349" t="s">
        <v>4074</v>
      </c>
      <c r="K349" t="s">
        <v>2476</v>
      </c>
      <c r="L349" t="s">
        <v>4075</v>
      </c>
      <c r="M349" t="s">
        <v>4076</v>
      </c>
      <c r="N349" t="s">
        <v>2177</v>
      </c>
    </row>
    <row r="350" spans="1:14">
      <c r="A350" t="s">
        <v>4077</v>
      </c>
      <c r="B350" t="s">
        <v>4078</v>
      </c>
      <c r="C350" t="s">
        <v>4078</v>
      </c>
      <c r="D350" t="s">
        <v>130</v>
      </c>
      <c r="E350" t="s">
        <v>130</v>
      </c>
      <c r="F350" t="s">
        <v>4079</v>
      </c>
      <c r="G350" t="s">
        <v>4080</v>
      </c>
      <c r="H350" t="s">
        <v>4081</v>
      </c>
      <c r="I350" t="s">
        <v>4082</v>
      </c>
      <c r="J350" t="s">
        <v>4083</v>
      </c>
      <c r="K350" t="s">
        <v>2476</v>
      </c>
      <c r="L350" t="s">
        <v>4084</v>
      </c>
      <c r="M350" t="s">
        <v>4085</v>
      </c>
      <c r="N350" t="s">
        <v>4086</v>
      </c>
    </row>
    <row r="351" spans="1:14">
      <c r="A351" t="s">
        <v>4087</v>
      </c>
      <c r="B351" t="s">
        <v>4088</v>
      </c>
      <c r="C351" t="s">
        <v>4088</v>
      </c>
      <c r="D351" t="s">
        <v>130</v>
      </c>
      <c r="E351" t="s">
        <v>130</v>
      </c>
      <c r="F351" t="s">
        <v>4089</v>
      </c>
      <c r="G351" t="s">
        <v>4090</v>
      </c>
      <c r="H351" t="s">
        <v>4091</v>
      </c>
      <c r="I351" t="s">
        <v>3630</v>
      </c>
      <c r="J351" t="s">
        <v>4092</v>
      </c>
      <c r="K351" t="s">
        <v>2476</v>
      </c>
      <c r="L351" t="s">
        <v>4093</v>
      </c>
      <c r="M351" t="s">
        <v>4094</v>
      </c>
      <c r="N351" t="s">
        <v>4095</v>
      </c>
    </row>
    <row r="352" spans="1:14">
      <c r="A352" t="s">
        <v>4096</v>
      </c>
      <c r="B352" t="s">
        <v>4097</v>
      </c>
      <c r="C352" t="s">
        <v>4097</v>
      </c>
      <c r="D352" t="s">
        <v>130</v>
      </c>
      <c r="E352" t="s">
        <v>130</v>
      </c>
      <c r="F352" t="s">
        <v>4098</v>
      </c>
      <c r="G352" t="s">
        <v>4099</v>
      </c>
      <c r="H352" t="s">
        <v>4100</v>
      </c>
      <c r="I352" t="s">
        <v>4101</v>
      </c>
      <c r="J352" t="s">
        <v>4102</v>
      </c>
      <c r="K352" t="s">
        <v>2476</v>
      </c>
      <c r="L352" t="s">
        <v>4103</v>
      </c>
      <c r="M352" t="s">
        <v>4104</v>
      </c>
      <c r="N352" t="s">
        <v>2700</v>
      </c>
    </row>
    <row r="353" spans="1:14">
      <c r="A353" t="s">
        <v>4105</v>
      </c>
      <c r="B353" t="s">
        <v>4106</v>
      </c>
      <c r="C353" t="s">
        <v>4106</v>
      </c>
      <c r="D353" t="s">
        <v>130</v>
      </c>
      <c r="E353" t="s">
        <v>130</v>
      </c>
      <c r="F353" t="s">
        <v>4107</v>
      </c>
      <c r="G353" t="s">
        <v>4108</v>
      </c>
      <c r="H353" t="s">
        <v>4109</v>
      </c>
      <c r="I353" t="s">
        <v>4110</v>
      </c>
      <c r="J353" t="s">
        <v>4111</v>
      </c>
      <c r="K353" t="s">
        <v>2476</v>
      </c>
      <c r="L353" t="s">
        <v>4112</v>
      </c>
      <c r="M353" t="s">
        <v>4113</v>
      </c>
      <c r="N353" t="s">
        <v>4114</v>
      </c>
    </row>
    <row r="354" spans="1:14">
      <c r="A354" t="s">
        <v>4115</v>
      </c>
      <c r="B354" t="s">
        <v>4116</v>
      </c>
      <c r="C354" t="s">
        <v>4116</v>
      </c>
      <c r="D354" t="s">
        <v>130</v>
      </c>
      <c r="E354" t="s">
        <v>130</v>
      </c>
      <c r="F354" t="s">
        <v>4117</v>
      </c>
      <c r="G354" t="s">
        <v>4118</v>
      </c>
      <c r="H354" t="s">
        <v>4119</v>
      </c>
      <c r="I354" t="s">
        <v>4120</v>
      </c>
      <c r="J354" t="s">
        <v>4121</v>
      </c>
      <c r="K354" t="s">
        <v>2476</v>
      </c>
      <c r="L354" t="s">
        <v>4122</v>
      </c>
      <c r="M354" t="s">
        <v>4123</v>
      </c>
      <c r="N354" t="s">
        <v>4124</v>
      </c>
    </row>
    <row r="355" spans="1:14">
      <c r="A355" t="s">
        <v>4125</v>
      </c>
      <c r="B355" t="s">
        <v>4126</v>
      </c>
      <c r="C355" t="s">
        <v>4126</v>
      </c>
      <c r="D355" t="s">
        <v>130</v>
      </c>
      <c r="E355" t="s">
        <v>130</v>
      </c>
      <c r="F355" t="s">
        <v>4127</v>
      </c>
      <c r="G355" t="s">
        <v>4128</v>
      </c>
      <c r="H355" t="s">
        <v>4129</v>
      </c>
      <c r="I355" t="s">
        <v>4130</v>
      </c>
      <c r="J355" t="s">
        <v>4131</v>
      </c>
      <c r="K355" t="s">
        <v>2476</v>
      </c>
      <c r="L355" t="s">
        <v>4132</v>
      </c>
      <c r="M355" t="s">
        <v>4133</v>
      </c>
      <c r="N355" t="s">
        <v>917</v>
      </c>
    </row>
    <row r="356" spans="1:14">
      <c r="A356" t="s">
        <v>4134</v>
      </c>
      <c r="B356" t="s">
        <v>4135</v>
      </c>
      <c r="C356" t="s">
        <v>4135</v>
      </c>
      <c r="D356" t="s">
        <v>130</v>
      </c>
      <c r="E356" t="s">
        <v>130</v>
      </c>
      <c r="F356" t="s">
        <v>4136</v>
      </c>
      <c r="G356" t="s">
        <v>4137</v>
      </c>
      <c r="H356" t="s">
        <v>3747</v>
      </c>
      <c r="I356" t="s">
        <v>4138</v>
      </c>
      <c r="J356" t="s">
        <v>4139</v>
      </c>
      <c r="K356" t="s">
        <v>2476</v>
      </c>
      <c r="L356" t="s">
        <v>4140</v>
      </c>
      <c r="M356" t="s">
        <v>4141</v>
      </c>
      <c r="N356" t="s">
        <v>4142</v>
      </c>
    </row>
    <row r="357" spans="1:14">
      <c r="A357" t="s">
        <v>4143</v>
      </c>
      <c r="B357" t="s">
        <v>4144</v>
      </c>
      <c r="C357" t="s">
        <v>4144</v>
      </c>
      <c r="D357" t="s">
        <v>130</v>
      </c>
      <c r="E357" t="s">
        <v>130</v>
      </c>
      <c r="F357" t="s">
        <v>4145</v>
      </c>
      <c r="G357" t="s">
        <v>4146</v>
      </c>
      <c r="H357" t="s">
        <v>4147</v>
      </c>
      <c r="I357" t="s">
        <v>4148</v>
      </c>
      <c r="J357" t="s">
        <v>4149</v>
      </c>
      <c r="K357" t="s">
        <v>2476</v>
      </c>
      <c r="L357" t="s">
        <v>4150</v>
      </c>
      <c r="M357" t="s">
        <v>130</v>
      </c>
      <c r="N357" t="s">
        <v>131</v>
      </c>
    </row>
    <row r="358" spans="1:14">
      <c r="A358" t="s">
        <v>4151</v>
      </c>
      <c r="B358" t="s">
        <v>4152</v>
      </c>
      <c r="C358" t="s">
        <v>4152</v>
      </c>
      <c r="D358" t="s">
        <v>130</v>
      </c>
      <c r="E358" t="s">
        <v>130</v>
      </c>
      <c r="F358" t="s">
        <v>4153</v>
      </c>
      <c r="G358" t="s">
        <v>4154</v>
      </c>
      <c r="H358" t="s">
        <v>4155</v>
      </c>
      <c r="I358" t="s">
        <v>4156</v>
      </c>
      <c r="J358" t="s">
        <v>4157</v>
      </c>
      <c r="K358" t="s">
        <v>2476</v>
      </c>
      <c r="L358" t="s">
        <v>4158</v>
      </c>
      <c r="M358" t="s">
        <v>130</v>
      </c>
      <c r="N358" t="s">
        <v>131</v>
      </c>
    </row>
    <row r="359" spans="1:14">
      <c r="A359" t="s">
        <v>4159</v>
      </c>
      <c r="B359" t="s">
        <v>4160</v>
      </c>
      <c r="C359" t="s">
        <v>4160</v>
      </c>
      <c r="D359" t="s">
        <v>130</v>
      </c>
      <c r="E359" t="s">
        <v>130</v>
      </c>
      <c r="F359" t="s">
        <v>4161</v>
      </c>
      <c r="G359" t="s">
        <v>4162</v>
      </c>
      <c r="H359" t="s">
        <v>4163</v>
      </c>
      <c r="I359" t="s">
        <v>4164</v>
      </c>
      <c r="J359" t="s">
        <v>4165</v>
      </c>
      <c r="K359" t="s">
        <v>2476</v>
      </c>
      <c r="L359" t="s">
        <v>4166</v>
      </c>
      <c r="M359" t="s">
        <v>130</v>
      </c>
      <c r="N359" t="s">
        <v>131</v>
      </c>
    </row>
    <row r="360" spans="1:14">
      <c r="A360" t="s">
        <v>4167</v>
      </c>
      <c r="B360" t="s">
        <v>4168</v>
      </c>
      <c r="C360" t="s">
        <v>4168</v>
      </c>
      <c r="D360" t="s">
        <v>130</v>
      </c>
      <c r="E360" t="s">
        <v>130</v>
      </c>
      <c r="F360" t="s">
        <v>4169</v>
      </c>
      <c r="G360" t="s">
        <v>4170</v>
      </c>
      <c r="H360" t="s">
        <v>4171</v>
      </c>
      <c r="I360" t="s">
        <v>4172</v>
      </c>
      <c r="J360" t="s">
        <v>4173</v>
      </c>
      <c r="K360" t="s">
        <v>2476</v>
      </c>
      <c r="L360" t="s">
        <v>4174</v>
      </c>
      <c r="M360" t="s">
        <v>130</v>
      </c>
      <c r="N360" t="s">
        <v>131</v>
      </c>
    </row>
    <row r="361" spans="1:14">
      <c r="A361" t="s">
        <v>4175</v>
      </c>
      <c r="B361" t="s">
        <v>4176</v>
      </c>
      <c r="C361" t="s">
        <v>4176</v>
      </c>
      <c r="D361" t="s">
        <v>130</v>
      </c>
      <c r="E361" t="s">
        <v>130</v>
      </c>
      <c r="F361" t="s">
        <v>4177</v>
      </c>
      <c r="G361" t="s">
        <v>4178</v>
      </c>
      <c r="H361" t="s">
        <v>3181</v>
      </c>
      <c r="I361" t="s">
        <v>4179</v>
      </c>
      <c r="J361" t="s">
        <v>4180</v>
      </c>
      <c r="K361" t="s">
        <v>2476</v>
      </c>
      <c r="L361" t="s">
        <v>4181</v>
      </c>
      <c r="M361" t="s">
        <v>4182</v>
      </c>
      <c r="N361" t="s">
        <v>4183</v>
      </c>
    </row>
    <row r="362" spans="1:14">
      <c r="A362" t="s">
        <v>4184</v>
      </c>
      <c r="B362" t="s">
        <v>4185</v>
      </c>
      <c r="C362" t="s">
        <v>4185</v>
      </c>
      <c r="D362" t="s">
        <v>130</v>
      </c>
      <c r="E362" t="s">
        <v>130</v>
      </c>
      <c r="F362" t="s">
        <v>4186</v>
      </c>
      <c r="G362" t="s">
        <v>4187</v>
      </c>
      <c r="H362" t="s">
        <v>4188</v>
      </c>
      <c r="I362" t="s">
        <v>4189</v>
      </c>
      <c r="J362" t="s">
        <v>4190</v>
      </c>
      <c r="K362" t="s">
        <v>2476</v>
      </c>
      <c r="L362" t="s">
        <v>4191</v>
      </c>
      <c r="M362" t="s">
        <v>4192</v>
      </c>
      <c r="N362" t="s">
        <v>4193</v>
      </c>
    </row>
    <row r="363" spans="1:14">
      <c r="A363" t="s">
        <v>4194</v>
      </c>
      <c r="B363" t="s">
        <v>4195</v>
      </c>
      <c r="C363" t="s">
        <v>4195</v>
      </c>
      <c r="D363" t="s">
        <v>130</v>
      </c>
      <c r="E363" t="s">
        <v>130</v>
      </c>
      <c r="F363" t="s">
        <v>4196</v>
      </c>
      <c r="G363" t="s">
        <v>4197</v>
      </c>
      <c r="H363" t="s">
        <v>4198</v>
      </c>
      <c r="I363" t="s">
        <v>4199</v>
      </c>
      <c r="J363" t="s">
        <v>4200</v>
      </c>
      <c r="K363" t="s">
        <v>2476</v>
      </c>
      <c r="L363" t="s">
        <v>4201</v>
      </c>
      <c r="M363" t="s">
        <v>4202</v>
      </c>
      <c r="N363" t="s">
        <v>4203</v>
      </c>
    </row>
    <row r="364" spans="1:14">
      <c r="A364" t="s">
        <v>4204</v>
      </c>
      <c r="B364" t="s">
        <v>4205</v>
      </c>
      <c r="C364" t="s">
        <v>4205</v>
      </c>
      <c r="D364" t="s">
        <v>130</v>
      </c>
      <c r="E364" t="s">
        <v>130</v>
      </c>
      <c r="F364" t="s">
        <v>4206</v>
      </c>
      <c r="G364" t="s">
        <v>4207</v>
      </c>
      <c r="H364" t="s">
        <v>4208</v>
      </c>
      <c r="I364" t="s">
        <v>4209</v>
      </c>
      <c r="J364" t="s">
        <v>4210</v>
      </c>
      <c r="K364" t="s">
        <v>2476</v>
      </c>
      <c r="L364" t="s">
        <v>4211</v>
      </c>
      <c r="M364" t="s">
        <v>4212</v>
      </c>
      <c r="N364" t="s">
        <v>4213</v>
      </c>
    </row>
    <row r="365" spans="1:14">
      <c r="A365" t="s">
        <v>4214</v>
      </c>
      <c r="B365" t="s">
        <v>4215</v>
      </c>
      <c r="C365" t="s">
        <v>4215</v>
      </c>
      <c r="D365" t="s">
        <v>130</v>
      </c>
      <c r="E365" t="s">
        <v>130</v>
      </c>
      <c r="F365" t="s">
        <v>4216</v>
      </c>
      <c r="G365" t="s">
        <v>4217</v>
      </c>
      <c r="H365" t="s">
        <v>2670</v>
      </c>
      <c r="I365" t="s">
        <v>4218</v>
      </c>
      <c r="J365" t="s">
        <v>4219</v>
      </c>
      <c r="K365" t="s">
        <v>2476</v>
      </c>
      <c r="L365" t="s">
        <v>4220</v>
      </c>
      <c r="M365" t="s">
        <v>4221</v>
      </c>
      <c r="N365" t="s">
        <v>4222</v>
      </c>
    </row>
    <row r="366" spans="1:14">
      <c r="A366" t="s">
        <v>4223</v>
      </c>
      <c r="B366" t="s">
        <v>4224</v>
      </c>
      <c r="C366" t="s">
        <v>4224</v>
      </c>
      <c r="D366" t="s">
        <v>130</v>
      </c>
      <c r="E366" t="s">
        <v>130</v>
      </c>
      <c r="F366" t="s">
        <v>4225</v>
      </c>
      <c r="G366" t="s">
        <v>4226</v>
      </c>
      <c r="H366" t="s">
        <v>4227</v>
      </c>
      <c r="I366" t="s">
        <v>4228</v>
      </c>
      <c r="J366" t="s">
        <v>4229</v>
      </c>
      <c r="K366" t="s">
        <v>2476</v>
      </c>
      <c r="L366" t="s">
        <v>4230</v>
      </c>
      <c r="M366" t="s">
        <v>4231</v>
      </c>
      <c r="N366" t="s">
        <v>4232</v>
      </c>
    </row>
    <row r="367" spans="1:14">
      <c r="A367" t="s">
        <v>4233</v>
      </c>
      <c r="B367" t="s">
        <v>4234</v>
      </c>
      <c r="C367" t="s">
        <v>4234</v>
      </c>
      <c r="D367" t="s">
        <v>130</v>
      </c>
      <c r="E367" t="s">
        <v>130</v>
      </c>
      <c r="F367" t="s">
        <v>4235</v>
      </c>
      <c r="G367" t="s">
        <v>4236</v>
      </c>
      <c r="H367" t="s">
        <v>3601</v>
      </c>
      <c r="I367" t="s">
        <v>4237</v>
      </c>
      <c r="J367" t="s">
        <v>4238</v>
      </c>
      <c r="K367" t="s">
        <v>2476</v>
      </c>
      <c r="L367" t="s">
        <v>4239</v>
      </c>
      <c r="M367" t="s">
        <v>4240</v>
      </c>
      <c r="N367" t="s">
        <v>514</v>
      </c>
    </row>
    <row r="368" spans="1:14">
      <c r="A368" t="s">
        <v>4241</v>
      </c>
      <c r="B368" t="s">
        <v>4242</v>
      </c>
      <c r="C368" t="s">
        <v>4242</v>
      </c>
      <c r="D368" t="s">
        <v>130</v>
      </c>
      <c r="E368" t="s">
        <v>130</v>
      </c>
      <c r="F368" t="s">
        <v>4243</v>
      </c>
      <c r="G368" t="s">
        <v>4244</v>
      </c>
      <c r="H368" t="s">
        <v>4245</v>
      </c>
      <c r="I368" t="s">
        <v>4246</v>
      </c>
      <c r="J368" t="s">
        <v>4247</v>
      </c>
      <c r="K368" t="s">
        <v>2476</v>
      </c>
      <c r="L368" t="s">
        <v>4248</v>
      </c>
      <c r="M368" t="s">
        <v>4249</v>
      </c>
      <c r="N368" t="s">
        <v>4250</v>
      </c>
    </row>
    <row r="369" spans="1:14">
      <c r="A369" t="s">
        <v>4251</v>
      </c>
      <c r="B369" t="s">
        <v>4252</v>
      </c>
      <c r="C369" t="s">
        <v>4252</v>
      </c>
      <c r="D369" t="s">
        <v>130</v>
      </c>
      <c r="E369" t="s">
        <v>130</v>
      </c>
      <c r="F369" t="s">
        <v>4253</v>
      </c>
      <c r="G369" t="s">
        <v>4254</v>
      </c>
      <c r="H369" t="s">
        <v>4255</v>
      </c>
      <c r="I369" t="s">
        <v>4256</v>
      </c>
      <c r="J369" t="s">
        <v>4257</v>
      </c>
      <c r="K369" t="s">
        <v>2476</v>
      </c>
      <c r="L369" t="s">
        <v>4258</v>
      </c>
      <c r="M369" t="s">
        <v>130</v>
      </c>
      <c r="N369" t="s">
        <v>131</v>
      </c>
    </row>
    <row r="370" spans="1:14">
      <c r="A370" t="s">
        <v>4259</v>
      </c>
      <c r="B370" t="s">
        <v>4260</v>
      </c>
      <c r="C370" t="s">
        <v>4260</v>
      </c>
      <c r="D370" t="s">
        <v>130</v>
      </c>
      <c r="E370" t="s">
        <v>130</v>
      </c>
      <c r="F370" t="s">
        <v>4261</v>
      </c>
      <c r="G370" t="s">
        <v>4262</v>
      </c>
      <c r="H370" t="s">
        <v>4263</v>
      </c>
      <c r="I370" t="s">
        <v>4264</v>
      </c>
      <c r="J370" t="s">
        <v>4265</v>
      </c>
      <c r="K370" t="s">
        <v>2476</v>
      </c>
      <c r="L370" t="s">
        <v>4266</v>
      </c>
      <c r="M370" t="s">
        <v>130</v>
      </c>
      <c r="N370" t="s">
        <v>131</v>
      </c>
    </row>
    <row r="371" spans="1:14">
      <c r="A371" t="s">
        <v>4267</v>
      </c>
      <c r="B371" t="s">
        <v>4268</v>
      </c>
      <c r="C371" t="s">
        <v>4268</v>
      </c>
      <c r="D371" t="s">
        <v>130</v>
      </c>
      <c r="E371" t="s">
        <v>130</v>
      </c>
      <c r="F371" t="s">
        <v>4269</v>
      </c>
      <c r="G371" t="s">
        <v>4270</v>
      </c>
      <c r="H371" t="s">
        <v>4271</v>
      </c>
      <c r="I371" t="s">
        <v>4272</v>
      </c>
      <c r="J371" t="s">
        <v>4273</v>
      </c>
      <c r="K371" t="s">
        <v>2476</v>
      </c>
      <c r="L371" t="s">
        <v>4274</v>
      </c>
      <c r="M371" t="s">
        <v>130</v>
      </c>
      <c r="N371" t="s">
        <v>131</v>
      </c>
    </row>
    <row r="372" spans="1:14">
      <c r="A372" t="s">
        <v>4275</v>
      </c>
      <c r="B372" t="s">
        <v>4276</v>
      </c>
      <c r="C372" t="s">
        <v>4276</v>
      </c>
      <c r="D372" t="s">
        <v>130</v>
      </c>
      <c r="E372" t="s">
        <v>130</v>
      </c>
      <c r="F372" t="s">
        <v>4277</v>
      </c>
      <c r="G372" t="s">
        <v>4099</v>
      </c>
      <c r="H372" t="s">
        <v>4278</v>
      </c>
      <c r="I372" t="s">
        <v>4279</v>
      </c>
      <c r="J372" t="s">
        <v>4280</v>
      </c>
      <c r="K372" t="s">
        <v>2476</v>
      </c>
      <c r="L372" t="s">
        <v>4281</v>
      </c>
      <c r="M372" t="s">
        <v>130</v>
      </c>
      <c r="N372" t="s">
        <v>131</v>
      </c>
    </row>
    <row r="373" spans="1:14">
      <c r="A373" t="s">
        <v>4282</v>
      </c>
      <c r="B373" t="s">
        <v>4283</v>
      </c>
      <c r="C373" t="s">
        <v>4283</v>
      </c>
      <c r="D373" t="s">
        <v>130</v>
      </c>
      <c r="E373" t="s">
        <v>130</v>
      </c>
      <c r="F373" t="s">
        <v>4284</v>
      </c>
      <c r="G373" t="s">
        <v>4285</v>
      </c>
      <c r="H373" t="s">
        <v>4286</v>
      </c>
      <c r="I373" t="s">
        <v>4287</v>
      </c>
      <c r="J373" t="s">
        <v>4288</v>
      </c>
      <c r="K373" t="s">
        <v>2476</v>
      </c>
      <c r="L373" t="s">
        <v>4289</v>
      </c>
      <c r="M373" t="s">
        <v>4290</v>
      </c>
      <c r="N373" t="s">
        <v>4291</v>
      </c>
    </row>
    <row r="374" spans="1:14">
      <c r="A374" t="s">
        <v>4292</v>
      </c>
      <c r="B374" t="s">
        <v>4293</v>
      </c>
      <c r="C374" t="s">
        <v>4293</v>
      </c>
      <c r="D374" t="s">
        <v>130</v>
      </c>
      <c r="E374" t="s">
        <v>130</v>
      </c>
      <c r="F374" t="s">
        <v>4294</v>
      </c>
      <c r="G374" t="s">
        <v>4118</v>
      </c>
      <c r="H374" t="s">
        <v>3869</v>
      </c>
      <c r="I374" t="s">
        <v>2786</v>
      </c>
      <c r="J374" t="s">
        <v>4295</v>
      </c>
      <c r="K374" t="s">
        <v>2476</v>
      </c>
      <c r="L374" t="s">
        <v>4296</v>
      </c>
      <c r="M374" t="s">
        <v>4297</v>
      </c>
      <c r="N374" t="s">
        <v>1644</v>
      </c>
    </row>
    <row r="375" spans="1:14">
      <c r="A375" t="s">
        <v>4298</v>
      </c>
      <c r="B375" t="s">
        <v>4299</v>
      </c>
      <c r="C375" t="s">
        <v>4299</v>
      </c>
      <c r="D375" t="s">
        <v>130</v>
      </c>
      <c r="E375" t="s">
        <v>130</v>
      </c>
      <c r="F375" t="s">
        <v>4300</v>
      </c>
      <c r="G375" t="s">
        <v>4301</v>
      </c>
      <c r="H375" t="s">
        <v>4302</v>
      </c>
      <c r="I375" t="s">
        <v>4303</v>
      </c>
      <c r="J375" t="s">
        <v>4304</v>
      </c>
      <c r="K375" t="s">
        <v>2476</v>
      </c>
      <c r="L375" t="s">
        <v>4305</v>
      </c>
      <c r="M375" t="s">
        <v>4306</v>
      </c>
      <c r="N375" t="s">
        <v>4307</v>
      </c>
    </row>
    <row r="376" spans="1:14">
      <c r="A376" t="s">
        <v>4308</v>
      </c>
      <c r="B376" t="s">
        <v>4309</v>
      </c>
      <c r="C376" t="s">
        <v>4309</v>
      </c>
      <c r="D376" t="s">
        <v>130</v>
      </c>
      <c r="E376" t="s">
        <v>130</v>
      </c>
      <c r="F376" t="s">
        <v>4310</v>
      </c>
      <c r="G376" t="s">
        <v>4311</v>
      </c>
      <c r="H376" t="s">
        <v>3210</v>
      </c>
      <c r="I376" t="s">
        <v>4312</v>
      </c>
      <c r="J376" t="s">
        <v>4313</v>
      </c>
      <c r="K376" t="s">
        <v>2476</v>
      </c>
      <c r="L376" t="s">
        <v>4314</v>
      </c>
      <c r="M376" t="s">
        <v>4315</v>
      </c>
      <c r="N376" t="s">
        <v>4316</v>
      </c>
    </row>
    <row r="377" spans="1:14">
      <c r="A377" t="s">
        <v>4317</v>
      </c>
      <c r="B377" t="s">
        <v>4318</v>
      </c>
      <c r="C377" t="s">
        <v>4318</v>
      </c>
      <c r="D377" t="s">
        <v>130</v>
      </c>
      <c r="E377" t="s">
        <v>130</v>
      </c>
      <c r="F377" t="s">
        <v>4319</v>
      </c>
      <c r="G377" t="s">
        <v>4320</v>
      </c>
      <c r="H377" t="s">
        <v>4321</v>
      </c>
      <c r="I377" t="s">
        <v>4322</v>
      </c>
      <c r="J377" t="s">
        <v>4323</v>
      </c>
      <c r="K377" t="s">
        <v>2476</v>
      </c>
      <c r="L377" t="s">
        <v>4324</v>
      </c>
      <c r="M377" t="s">
        <v>4325</v>
      </c>
      <c r="N377" t="s">
        <v>4326</v>
      </c>
    </row>
    <row r="378" spans="1:14">
      <c r="A378" t="s">
        <v>4327</v>
      </c>
      <c r="B378" t="s">
        <v>4328</v>
      </c>
      <c r="C378" t="s">
        <v>4328</v>
      </c>
      <c r="D378" t="s">
        <v>130</v>
      </c>
      <c r="E378" t="s">
        <v>130</v>
      </c>
      <c r="F378" t="s">
        <v>4329</v>
      </c>
      <c r="G378" t="s">
        <v>4330</v>
      </c>
      <c r="H378" t="s">
        <v>4331</v>
      </c>
      <c r="I378" t="s">
        <v>4332</v>
      </c>
      <c r="J378" t="s">
        <v>4333</v>
      </c>
      <c r="K378" t="s">
        <v>2476</v>
      </c>
      <c r="L378" t="s">
        <v>4334</v>
      </c>
      <c r="M378" t="s">
        <v>4335</v>
      </c>
      <c r="N378" t="s">
        <v>4336</v>
      </c>
    </row>
    <row r="379" spans="1:14">
      <c r="A379" t="s">
        <v>4337</v>
      </c>
      <c r="B379" t="s">
        <v>4338</v>
      </c>
      <c r="C379" t="s">
        <v>4338</v>
      </c>
      <c r="D379" t="s">
        <v>130</v>
      </c>
      <c r="E379" t="s">
        <v>130</v>
      </c>
      <c r="F379" t="s">
        <v>4339</v>
      </c>
      <c r="G379" t="s">
        <v>4340</v>
      </c>
      <c r="H379" t="s">
        <v>4341</v>
      </c>
      <c r="I379" t="s">
        <v>4342</v>
      </c>
      <c r="J379" t="s">
        <v>4343</v>
      </c>
      <c r="K379" t="s">
        <v>2476</v>
      </c>
      <c r="L379" t="s">
        <v>4344</v>
      </c>
      <c r="M379" t="s">
        <v>4345</v>
      </c>
      <c r="N379" t="s">
        <v>4346</v>
      </c>
    </row>
    <row r="380" spans="1:14">
      <c r="A380" t="s">
        <v>4347</v>
      </c>
      <c r="B380" t="s">
        <v>4348</v>
      </c>
      <c r="C380" t="s">
        <v>4348</v>
      </c>
      <c r="D380" t="s">
        <v>130</v>
      </c>
      <c r="E380" t="s">
        <v>130</v>
      </c>
      <c r="F380" t="s">
        <v>4349</v>
      </c>
      <c r="G380" t="s">
        <v>4350</v>
      </c>
      <c r="H380" t="s">
        <v>4351</v>
      </c>
      <c r="I380" t="s">
        <v>4352</v>
      </c>
      <c r="J380" t="s">
        <v>4353</v>
      </c>
      <c r="K380" t="s">
        <v>2476</v>
      </c>
      <c r="L380" t="s">
        <v>4354</v>
      </c>
      <c r="M380" t="s">
        <v>4355</v>
      </c>
      <c r="N380" t="s">
        <v>4356</v>
      </c>
    </row>
    <row r="381" spans="1:14">
      <c r="A381" t="s">
        <v>4357</v>
      </c>
      <c r="B381" t="s">
        <v>4358</v>
      </c>
      <c r="C381" t="s">
        <v>4358</v>
      </c>
      <c r="D381" t="s">
        <v>130</v>
      </c>
      <c r="E381" t="s">
        <v>130</v>
      </c>
      <c r="F381" t="s">
        <v>4359</v>
      </c>
      <c r="G381" t="s">
        <v>4360</v>
      </c>
      <c r="H381" t="s">
        <v>3843</v>
      </c>
      <c r="I381" t="s">
        <v>4361</v>
      </c>
      <c r="J381" t="s">
        <v>4362</v>
      </c>
      <c r="K381" t="s">
        <v>2476</v>
      </c>
      <c r="L381" t="s">
        <v>4363</v>
      </c>
      <c r="M381" t="s">
        <v>130</v>
      </c>
      <c r="N381" t="s">
        <v>131</v>
      </c>
    </row>
    <row r="382" spans="1:14">
      <c r="A382" t="s">
        <v>4364</v>
      </c>
      <c r="B382" t="s">
        <v>4365</v>
      </c>
      <c r="C382" t="s">
        <v>4365</v>
      </c>
      <c r="D382" t="s">
        <v>130</v>
      </c>
      <c r="E382" t="s">
        <v>130</v>
      </c>
      <c r="F382" t="s">
        <v>4366</v>
      </c>
      <c r="G382" t="s">
        <v>4367</v>
      </c>
      <c r="H382" t="s">
        <v>4050</v>
      </c>
      <c r="I382" t="s">
        <v>4368</v>
      </c>
      <c r="J382" t="s">
        <v>4369</v>
      </c>
      <c r="K382" t="s">
        <v>2476</v>
      </c>
      <c r="L382" t="s">
        <v>4370</v>
      </c>
      <c r="M382" t="s">
        <v>130</v>
      </c>
      <c r="N382" t="s">
        <v>131</v>
      </c>
    </row>
    <row r="383" spans="1:14">
      <c r="A383" t="s">
        <v>4371</v>
      </c>
      <c r="B383" t="s">
        <v>4372</v>
      </c>
      <c r="C383" t="s">
        <v>4372</v>
      </c>
      <c r="D383" t="s">
        <v>130</v>
      </c>
      <c r="E383" t="s">
        <v>130</v>
      </c>
      <c r="F383" t="s">
        <v>4373</v>
      </c>
      <c r="G383" t="s">
        <v>4374</v>
      </c>
      <c r="H383" t="s">
        <v>3003</v>
      </c>
      <c r="I383" t="s">
        <v>4375</v>
      </c>
      <c r="J383" t="s">
        <v>4376</v>
      </c>
      <c r="K383" t="s">
        <v>2476</v>
      </c>
      <c r="L383" t="s">
        <v>4377</v>
      </c>
      <c r="M383" t="s">
        <v>130</v>
      </c>
      <c r="N383" t="s">
        <v>131</v>
      </c>
    </row>
    <row r="384" spans="1:14">
      <c r="A384" t="s">
        <v>4378</v>
      </c>
      <c r="B384" t="s">
        <v>4379</v>
      </c>
      <c r="C384" t="s">
        <v>4379</v>
      </c>
      <c r="D384" t="s">
        <v>130</v>
      </c>
      <c r="E384" t="s">
        <v>130</v>
      </c>
      <c r="F384" t="s">
        <v>4380</v>
      </c>
      <c r="G384" t="s">
        <v>4381</v>
      </c>
      <c r="H384" t="s">
        <v>4382</v>
      </c>
      <c r="I384" t="s">
        <v>4383</v>
      </c>
      <c r="J384" t="s">
        <v>4384</v>
      </c>
      <c r="K384" t="s">
        <v>2476</v>
      </c>
      <c r="L384" t="s">
        <v>4385</v>
      </c>
      <c r="M384" t="s">
        <v>130</v>
      </c>
      <c r="N384" t="s">
        <v>131</v>
      </c>
    </row>
    <row r="385" spans="1:14">
      <c r="A385" t="s">
        <v>4386</v>
      </c>
      <c r="B385" t="s">
        <v>4387</v>
      </c>
      <c r="C385" t="s">
        <v>4387</v>
      </c>
      <c r="D385" t="s">
        <v>130</v>
      </c>
      <c r="E385" t="s">
        <v>130</v>
      </c>
      <c r="F385" t="s">
        <v>4388</v>
      </c>
      <c r="G385" t="s">
        <v>4389</v>
      </c>
      <c r="H385" t="s">
        <v>3755</v>
      </c>
      <c r="I385" t="s">
        <v>4390</v>
      </c>
      <c r="J385" t="s">
        <v>4391</v>
      </c>
      <c r="K385" t="s">
        <v>2476</v>
      </c>
      <c r="L385" t="s">
        <v>4392</v>
      </c>
      <c r="M385" t="s">
        <v>4393</v>
      </c>
      <c r="N385" t="s">
        <v>4394</v>
      </c>
    </row>
    <row r="386" spans="1:14">
      <c r="A386" t="s">
        <v>4395</v>
      </c>
      <c r="B386" t="s">
        <v>4396</v>
      </c>
      <c r="C386" t="s">
        <v>4396</v>
      </c>
      <c r="D386" t="s">
        <v>130</v>
      </c>
      <c r="E386" t="s">
        <v>130</v>
      </c>
      <c r="F386" t="s">
        <v>4397</v>
      </c>
      <c r="G386" t="s">
        <v>4398</v>
      </c>
      <c r="H386" t="s">
        <v>3003</v>
      </c>
      <c r="I386" t="s">
        <v>4399</v>
      </c>
      <c r="J386" t="s">
        <v>4400</v>
      </c>
      <c r="K386" t="s">
        <v>2476</v>
      </c>
      <c r="L386" t="s">
        <v>4401</v>
      </c>
      <c r="M386" t="s">
        <v>4402</v>
      </c>
      <c r="N386" t="s">
        <v>4403</v>
      </c>
    </row>
    <row r="387" spans="1:14">
      <c r="A387" t="s">
        <v>4404</v>
      </c>
      <c r="B387" t="s">
        <v>4405</v>
      </c>
      <c r="C387" t="s">
        <v>4405</v>
      </c>
      <c r="D387" t="s">
        <v>130</v>
      </c>
      <c r="E387" t="s">
        <v>130</v>
      </c>
      <c r="F387" t="s">
        <v>4406</v>
      </c>
      <c r="G387" t="s">
        <v>4407</v>
      </c>
      <c r="H387" t="s">
        <v>4408</v>
      </c>
      <c r="I387" t="s">
        <v>4409</v>
      </c>
      <c r="J387" t="s">
        <v>4410</v>
      </c>
      <c r="K387" t="s">
        <v>2476</v>
      </c>
      <c r="L387" t="s">
        <v>4411</v>
      </c>
      <c r="M387" t="s">
        <v>4412</v>
      </c>
      <c r="N387" t="s">
        <v>4413</v>
      </c>
    </row>
    <row r="388" spans="1:14">
      <c r="A388" t="s">
        <v>4414</v>
      </c>
      <c r="B388" t="s">
        <v>4415</v>
      </c>
      <c r="C388" t="s">
        <v>4415</v>
      </c>
      <c r="D388" t="s">
        <v>130</v>
      </c>
      <c r="E388" t="s">
        <v>130</v>
      </c>
      <c r="F388" t="s">
        <v>4416</v>
      </c>
      <c r="G388" t="s">
        <v>4417</v>
      </c>
      <c r="H388" t="s">
        <v>4418</v>
      </c>
      <c r="I388" t="s">
        <v>2529</v>
      </c>
      <c r="J388" t="s">
        <v>4419</v>
      </c>
      <c r="K388" t="s">
        <v>2476</v>
      </c>
      <c r="L388" t="s">
        <v>4420</v>
      </c>
      <c r="M388" t="s">
        <v>4421</v>
      </c>
      <c r="N388" t="s">
        <v>4422</v>
      </c>
    </row>
    <row r="389" spans="1:14">
      <c r="A389" t="s">
        <v>4423</v>
      </c>
      <c r="B389" t="s">
        <v>4424</v>
      </c>
      <c r="C389" t="s">
        <v>4424</v>
      </c>
      <c r="D389" t="s">
        <v>130</v>
      </c>
      <c r="E389" t="s">
        <v>130</v>
      </c>
      <c r="F389" t="s">
        <v>4425</v>
      </c>
      <c r="G389" t="s">
        <v>2369</v>
      </c>
      <c r="H389" t="s">
        <v>4426</v>
      </c>
      <c r="I389" t="s">
        <v>4427</v>
      </c>
      <c r="J389" t="s">
        <v>4428</v>
      </c>
      <c r="K389" t="s">
        <v>2476</v>
      </c>
      <c r="L389" t="s">
        <v>4429</v>
      </c>
      <c r="M389" t="s">
        <v>4430</v>
      </c>
      <c r="N389" t="s">
        <v>4000</v>
      </c>
    </row>
    <row r="390" spans="1:14">
      <c r="A390" t="s">
        <v>4431</v>
      </c>
      <c r="B390" t="s">
        <v>4432</v>
      </c>
      <c r="C390" t="s">
        <v>4432</v>
      </c>
      <c r="D390" t="s">
        <v>130</v>
      </c>
      <c r="E390" t="s">
        <v>130</v>
      </c>
      <c r="F390" t="s">
        <v>4433</v>
      </c>
      <c r="G390" t="s">
        <v>4434</v>
      </c>
      <c r="H390" t="s">
        <v>4435</v>
      </c>
      <c r="I390" t="s">
        <v>4436</v>
      </c>
      <c r="J390" t="s">
        <v>4437</v>
      </c>
      <c r="K390" t="s">
        <v>2476</v>
      </c>
      <c r="L390" t="s">
        <v>4438</v>
      </c>
      <c r="M390" t="s">
        <v>4439</v>
      </c>
      <c r="N390" t="s">
        <v>4440</v>
      </c>
    </row>
    <row r="391" spans="1:14">
      <c r="A391" t="s">
        <v>4441</v>
      </c>
      <c r="B391" t="s">
        <v>4442</v>
      </c>
      <c r="C391" t="s">
        <v>4442</v>
      </c>
      <c r="D391" t="s">
        <v>130</v>
      </c>
      <c r="E391" t="s">
        <v>130</v>
      </c>
      <c r="F391" t="s">
        <v>4443</v>
      </c>
      <c r="G391" t="s">
        <v>4444</v>
      </c>
      <c r="H391" t="s">
        <v>4445</v>
      </c>
      <c r="I391" t="s">
        <v>4446</v>
      </c>
      <c r="J391" t="s">
        <v>4447</v>
      </c>
      <c r="K391" t="s">
        <v>2476</v>
      </c>
      <c r="L391" t="s">
        <v>4448</v>
      </c>
      <c r="M391" t="s">
        <v>4449</v>
      </c>
      <c r="N391" t="s">
        <v>4450</v>
      </c>
    </row>
    <row r="392" spans="1:14">
      <c r="A392" t="s">
        <v>4451</v>
      </c>
      <c r="B392" t="s">
        <v>4452</v>
      </c>
      <c r="C392" t="s">
        <v>4452</v>
      </c>
      <c r="D392" t="s">
        <v>130</v>
      </c>
      <c r="E392" t="s">
        <v>130</v>
      </c>
      <c r="F392" t="s">
        <v>4453</v>
      </c>
      <c r="G392" t="s">
        <v>4454</v>
      </c>
      <c r="H392" t="s">
        <v>3765</v>
      </c>
      <c r="I392" t="s">
        <v>4455</v>
      </c>
      <c r="J392" t="s">
        <v>4456</v>
      </c>
      <c r="K392" t="s">
        <v>2476</v>
      </c>
      <c r="L392" t="s">
        <v>4457</v>
      </c>
      <c r="M392" t="s">
        <v>4458</v>
      </c>
      <c r="N392" t="s">
        <v>4459</v>
      </c>
    </row>
    <row r="393" spans="1:14">
      <c r="A393" t="s">
        <v>4460</v>
      </c>
      <c r="B393" t="s">
        <v>4461</v>
      </c>
      <c r="C393" t="s">
        <v>4461</v>
      </c>
      <c r="D393" t="s">
        <v>130</v>
      </c>
      <c r="E393" t="s">
        <v>130</v>
      </c>
      <c r="F393" t="s">
        <v>4462</v>
      </c>
      <c r="G393" t="s">
        <v>4463</v>
      </c>
      <c r="H393" t="s">
        <v>3473</v>
      </c>
      <c r="I393" t="s">
        <v>4464</v>
      </c>
      <c r="J393" t="s">
        <v>4465</v>
      </c>
      <c r="K393" t="s">
        <v>2476</v>
      </c>
      <c r="L393" t="s">
        <v>4466</v>
      </c>
      <c r="M393" t="s">
        <v>130</v>
      </c>
      <c r="N393" t="s">
        <v>131</v>
      </c>
    </row>
    <row r="394" spans="1:14">
      <c r="A394" t="s">
        <v>4467</v>
      </c>
      <c r="B394" t="s">
        <v>4468</v>
      </c>
      <c r="C394" t="s">
        <v>4468</v>
      </c>
      <c r="D394" t="s">
        <v>130</v>
      </c>
      <c r="E394" t="s">
        <v>130</v>
      </c>
      <c r="F394" t="s">
        <v>4469</v>
      </c>
      <c r="G394" t="s">
        <v>4470</v>
      </c>
      <c r="H394" t="s">
        <v>4471</v>
      </c>
      <c r="I394" t="s">
        <v>4472</v>
      </c>
      <c r="J394" t="s">
        <v>4473</v>
      </c>
      <c r="K394" t="s">
        <v>2476</v>
      </c>
      <c r="L394" t="s">
        <v>4474</v>
      </c>
      <c r="M394" t="s">
        <v>130</v>
      </c>
      <c r="N394" t="s">
        <v>131</v>
      </c>
    </row>
    <row r="395" spans="1:14">
      <c r="A395" t="s">
        <v>4475</v>
      </c>
      <c r="B395" t="s">
        <v>4476</v>
      </c>
      <c r="C395" t="s">
        <v>4476</v>
      </c>
      <c r="D395" t="s">
        <v>130</v>
      </c>
      <c r="E395" t="s">
        <v>130</v>
      </c>
      <c r="F395" t="s">
        <v>4477</v>
      </c>
      <c r="G395" t="s">
        <v>4360</v>
      </c>
      <c r="H395" t="s">
        <v>4478</v>
      </c>
      <c r="I395" t="s">
        <v>4479</v>
      </c>
      <c r="J395" t="s">
        <v>4480</v>
      </c>
      <c r="K395" t="s">
        <v>2476</v>
      </c>
      <c r="L395" t="s">
        <v>4481</v>
      </c>
      <c r="M395" t="s">
        <v>130</v>
      </c>
      <c r="N395" t="s">
        <v>131</v>
      </c>
    </row>
    <row r="396" spans="1:14">
      <c r="A396" t="s">
        <v>4482</v>
      </c>
      <c r="B396" t="s">
        <v>4483</v>
      </c>
      <c r="C396" t="s">
        <v>4483</v>
      </c>
      <c r="D396" t="s">
        <v>130</v>
      </c>
      <c r="E396" t="s">
        <v>130</v>
      </c>
      <c r="F396" t="s">
        <v>4484</v>
      </c>
      <c r="G396" t="s">
        <v>4485</v>
      </c>
      <c r="H396" t="s">
        <v>4486</v>
      </c>
      <c r="I396" t="s">
        <v>4487</v>
      </c>
      <c r="J396" t="s">
        <v>4488</v>
      </c>
      <c r="K396" t="s">
        <v>2476</v>
      </c>
      <c r="L396" t="s">
        <v>4489</v>
      </c>
      <c r="M396" t="s">
        <v>130</v>
      </c>
      <c r="N396" t="s">
        <v>131</v>
      </c>
    </row>
    <row r="397" spans="1:14">
      <c r="A397" t="s">
        <v>4490</v>
      </c>
      <c r="B397" t="s">
        <v>4491</v>
      </c>
      <c r="C397" t="s">
        <v>4491</v>
      </c>
      <c r="D397" t="s">
        <v>130</v>
      </c>
      <c r="E397" t="s">
        <v>130</v>
      </c>
      <c r="F397" t="s">
        <v>4492</v>
      </c>
      <c r="G397" t="s">
        <v>4493</v>
      </c>
      <c r="H397" t="s">
        <v>4494</v>
      </c>
      <c r="I397" t="s">
        <v>4495</v>
      </c>
      <c r="J397" t="s">
        <v>4496</v>
      </c>
      <c r="K397" t="s">
        <v>2476</v>
      </c>
      <c r="L397" t="s">
        <v>4497</v>
      </c>
      <c r="M397" t="s">
        <v>4498</v>
      </c>
      <c r="N397" t="s">
        <v>4499</v>
      </c>
    </row>
    <row r="398" spans="1:14">
      <c r="A398" t="s">
        <v>4500</v>
      </c>
      <c r="B398" t="s">
        <v>4501</v>
      </c>
      <c r="C398" t="s">
        <v>4501</v>
      </c>
      <c r="D398" t="s">
        <v>130</v>
      </c>
      <c r="E398" t="s">
        <v>130</v>
      </c>
      <c r="F398" t="s">
        <v>4502</v>
      </c>
      <c r="G398" t="s">
        <v>4503</v>
      </c>
      <c r="H398" t="s">
        <v>4504</v>
      </c>
      <c r="I398" t="s">
        <v>4505</v>
      </c>
      <c r="J398" t="s">
        <v>4506</v>
      </c>
      <c r="K398" t="s">
        <v>2476</v>
      </c>
      <c r="L398" t="s">
        <v>4507</v>
      </c>
      <c r="M398" t="s">
        <v>2502</v>
      </c>
      <c r="N398" t="s">
        <v>4508</v>
      </c>
    </row>
    <row r="399" spans="1:14">
      <c r="A399" t="s">
        <v>4509</v>
      </c>
      <c r="B399" t="s">
        <v>4510</v>
      </c>
      <c r="C399" t="s">
        <v>4510</v>
      </c>
      <c r="D399" t="s">
        <v>130</v>
      </c>
      <c r="E399" t="s">
        <v>130</v>
      </c>
      <c r="F399" t="s">
        <v>4511</v>
      </c>
      <c r="G399" t="s">
        <v>4512</v>
      </c>
      <c r="H399" t="s">
        <v>4513</v>
      </c>
      <c r="I399" t="s">
        <v>4514</v>
      </c>
      <c r="J399" t="s">
        <v>4515</v>
      </c>
      <c r="K399" t="s">
        <v>2476</v>
      </c>
      <c r="L399" t="s">
        <v>4516</v>
      </c>
      <c r="M399" t="s">
        <v>4517</v>
      </c>
      <c r="N399" t="s">
        <v>4518</v>
      </c>
    </row>
    <row r="400" spans="1:14">
      <c r="A400" t="s">
        <v>4519</v>
      </c>
      <c r="B400" t="s">
        <v>4520</v>
      </c>
      <c r="C400" t="s">
        <v>4520</v>
      </c>
      <c r="D400" t="s">
        <v>130</v>
      </c>
      <c r="E400" t="s">
        <v>130</v>
      </c>
      <c r="F400" t="s">
        <v>4521</v>
      </c>
      <c r="G400" t="s">
        <v>4522</v>
      </c>
      <c r="H400" t="s">
        <v>4523</v>
      </c>
      <c r="I400" t="s">
        <v>4524</v>
      </c>
      <c r="J400" t="s">
        <v>4525</v>
      </c>
      <c r="K400" t="s">
        <v>2476</v>
      </c>
      <c r="L400" t="s">
        <v>4526</v>
      </c>
      <c r="M400" t="s">
        <v>4527</v>
      </c>
      <c r="N400" t="s">
        <v>4528</v>
      </c>
    </row>
    <row r="401" spans="1:14">
      <c r="A401" t="s">
        <v>4529</v>
      </c>
      <c r="B401" t="s">
        <v>4530</v>
      </c>
      <c r="C401" t="s">
        <v>4530</v>
      </c>
      <c r="D401" t="s">
        <v>130</v>
      </c>
      <c r="E401" t="s">
        <v>130</v>
      </c>
      <c r="F401" t="s">
        <v>4531</v>
      </c>
      <c r="G401" t="s">
        <v>418</v>
      </c>
      <c r="H401" t="s">
        <v>4532</v>
      </c>
      <c r="I401" t="s">
        <v>4533</v>
      </c>
      <c r="J401" t="s">
        <v>4534</v>
      </c>
      <c r="K401" t="s">
        <v>2476</v>
      </c>
      <c r="L401" t="s">
        <v>4535</v>
      </c>
      <c r="M401" t="s">
        <v>4536</v>
      </c>
      <c r="N401" t="s">
        <v>1789</v>
      </c>
    </row>
    <row r="402" spans="1:14">
      <c r="A402" t="s">
        <v>4537</v>
      </c>
      <c r="B402" t="s">
        <v>4538</v>
      </c>
      <c r="C402" t="s">
        <v>4538</v>
      </c>
      <c r="D402" t="s">
        <v>130</v>
      </c>
      <c r="E402" t="s">
        <v>130</v>
      </c>
      <c r="F402" t="s">
        <v>4539</v>
      </c>
      <c r="G402" t="s">
        <v>4540</v>
      </c>
      <c r="H402" t="s">
        <v>4541</v>
      </c>
      <c r="I402" t="s">
        <v>4542</v>
      </c>
      <c r="J402" t="s">
        <v>4543</v>
      </c>
      <c r="K402" t="s">
        <v>2476</v>
      </c>
      <c r="L402" t="s">
        <v>4544</v>
      </c>
      <c r="M402" t="s">
        <v>396</v>
      </c>
      <c r="N402" t="s">
        <v>674</v>
      </c>
    </row>
    <row r="403" spans="1:14">
      <c r="A403" t="s">
        <v>4545</v>
      </c>
      <c r="B403" t="s">
        <v>4546</v>
      </c>
      <c r="C403" t="s">
        <v>4546</v>
      </c>
      <c r="D403" t="s">
        <v>130</v>
      </c>
      <c r="E403" t="s">
        <v>130</v>
      </c>
      <c r="F403" t="s">
        <v>4547</v>
      </c>
      <c r="G403" t="s">
        <v>4548</v>
      </c>
      <c r="H403" t="s">
        <v>4091</v>
      </c>
      <c r="I403" t="s">
        <v>4549</v>
      </c>
      <c r="J403" t="s">
        <v>4550</v>
      </c>
      <c r="K403" t="s">
        <v>2476</v>
      </c>
      <c r="L403" t="s">
        <v>4551</v>
      </c>
      <c r="M403" t="s">
        <v>4552</v>
      </c>
      <c r="N403" t="s">
        <v>4553</v>
      </c>
    </row>
    <row r="404" spans="1:14">
      <c r="A404" t="s">
        <v>4554</v>
      </c>
      <c r="B404" t="s">
        <v>4555</v>
      </c>
      <c r="C404" t="s">
        <v>4555</v>
      </c>
      <c r="D404" t="s">
        <v>130</v>
      </c>
      <c r="E404" t="s">
        <v>130</v>
      </c>
      <c r="F404" t="s">
        <v>4556</v>
      </c>
      <c r="G404" t="s">
        <v>4557</v>
      </c>
      <c r="H404" t="s">
        <v>4558</v>
      </c>
      <c r="I404" t="s">
        <v>4559</v>
      </c>
      <c r="J404" t="s">
        <v>4560</v>
      </c>
      <c r="K404" t="s">
        <v>2476</v>
      </c>
      <c r="L404" t="s">
        <v>4561</v>
      </c>
      <c r="M404" t="s">
        <v>4562</v>
      </c>
      <c r="N404" t="s">
        <v>4563</v>
      </c>
    </row>
    <row r="405" spans="1:14">
      <c r="A405" t="s">
        <v>4564</v>
      </c>
      <c r="B405" t="s">
        <v>4565</v>
      </c>
      <c r="C405" t="s">
        <v>4565</v>
      </c>
      <c r="D405" t="s">
        <v>130</v>
      </c>
      <c r="E405" t="s">
        <v>130</v>
      </c>
      <c r="F405" t="s">
        <v>4566</v>
      </c>
      <c r="G405" t="s">
        <v>4567</v>
      </c>
      <c r="H405" t="s">
        <v>4568</v>
      </c>
      <c r="I405" t="s">
        <v>4569</v>
      </c>
      <c r="J405" t="s">
        <v>4570</v>
      </c>
      <c r="K405" t="s">
        <v>2476</v>
      </c>
      <c r="L405" t="s">
        <v>4571</v>
      </c>
      <c r="M405" t="s">
        <v>130</v>
      </c>
      <c r="N405" t="s">
        <v>131</v>
      </c>
    </row>
    <row r="406" spans="1:14">
      <c r="A406" t="s">
        <v>4572</v>
      </c>
      <c r="B406" t="s">
        <v>4573</v>
      </c>
      <c r="C406" t="s">
        <v>4573</v>
      </c>
      <c r="D406" t="s">
        <v>130</v>
      </c>
      <c r="E406" t="s">
        <v>130</v>
      </c>
      <c r="F406" t="s">
        <v>4574</v>
      </c>
      <c r="G406" t="s">
        <v>4575</v>
      </c>
      <c r="H406" t="s">
        <v>4091</v>
      </c>
      <c r="I406" t="s">
        <v>4576</v>
      </c>
      <c r="J406" t="s">
        <v>4577</v>
      </c>
      <c r="K406" t="s">
        <v>2476</v>
      </c>
      <c r="L406" t="s">
        <v>4578</v>
      </c>
      <c r="M406" t="s">
        <v>130</v>
      </c>
      <c r="N406" t="s">
        <v>131</v>
      </c>
    </row>
    <row r="407" spans="1:14">
      <c r="A407" t="s">
        <v>4579</v>
      </c>
      <c r="B407" t="s">
        <v>4580</v>
      </c>
      <c r="C407" t="s">
        <v>4580</v>
      </c>
      <c r="D407" t="s">
        <v>130</v>
      </c>
      <c r="E407" t="s">
        <v>130</v>
      </c>
      <c r="F407" t="s">
        <v>4581</v>
      </c>
      <c r="G407" t="s">
        <v>4582</v>
      </c>
      <c r="H407" t="s">
        <v>4171</v>
      </c>
      <c r="I407" t="s">
        <v>4583</v>
      </c>
      <c r="J407" t="s">
        <v>4584</v>
      </c>
      <c r="K407" t="s">
        <v>2476</v>
      </c>
      <c r="L407" t="s">
        <v>4585</v>
      </c>
      <c r="M407" t="s">
        <v>130</v>
      </c>
      <c r="N407" t="s">
        <v>131</v>
      </c>
    </row>
    <row r="408" spans="1:14">
      <c r="A408" t="s">
        <v>4586</v>
      </c>
      <c r="B408" t="s">
        <v>4587</v>
      </c>
      <c r="C408" t="s">
        <v>4587</v>
      </c>
      <c r="D408" t="s">
        <v>130</v>
      </c>
      <c r="E408" t="s">
        <v>130</v>
      </c>
      <c r="F408" t="s">
        <v>4588</v>
      </c>
      <c r="G408" t="s">
        <v>4589</v>
      </c>
      <c r="H408" t="s">
        <v>2883</v>
      </c>
      <c r="I408" t="s">
        <v>4590</v>
      </c>
      <c r="J408" t="s">
        <v>4591</v>
      </c>
      <c r="K408" t="s">
        <v>2476</v>
      </c>
      <c r="L408" t="s">
        <v>4592</v>
      </c>
      <c r="M408" t="s">
        <v>130</v>
      </c>
      <c r="N408" t="s">
        <v>131</v>
      </c>
    </row>
    <row r="409" spans="1:14">
      <c r="A409" t="s">
        <v>4593</v>
      </c>
      <c r="B409" t="s">
        <v>4594</v>
      </c>
      <c r="C409" t="s">
        <v>4594</v>
      </c>
      <c r="D409" t="s">
        <v>130</v>
      </c>
      <c r="E409" t="s">
        <v>130</v>
      </c>
      <c r="F409" t="s">
        <v>4595</v>
      </c>
      <c r="G409" t="s">
        <v>4596</v>
      </c>
      <c r="H409" t="s">
        <v>4597</v>
      </c>
      <c r="I409" t="s">
        <v>4598</v>
      </c>
      <c r="J409" t="s">
        <v>4599</v>
      </c>
      <c r="K409" t="s">
        <v>2476</v>
      </c>
      <c r="L409" t="s">
        <v>4600</v>
      </c>
      <c r="M409" t="s">
        <v>4601</v>
      </c>
      <c r="N409" t="s">
        <v>4602</v>
      </c>
    </row>
    <row r="410" spans="1:14">
      <c r="A410" t="s">
        <v>4603</v>
      </c>
      <c r="B410" t="s">
        <v>4604</v>
      </c>
      <c r="C410" t="s">
        <v>4604</v>
      </c>
      <c r="D410" t="s">
        <v>130</v>
      </c>
      <c r="E410" t="s">
        <v>130</v>
      </c>
      <c r="F410" t="s">
        <v>4605</v>
      </c>
      <c r="G410" t="s">
        <v>4606</v>
      </c>
      <c r="H410" t="s">
        <v>3473</v>
      </c>
      <c r="I410" t="s">
        <v>4607</v>
      </c>
      <c r="J410" t="s">
        <v>4608</v>
      </c>
      <c r="K410" t="s">
        <v>2476</v>
      </c>
      <c r="L410" t="s">
        <v>4609</v>
      </c>
      <c r="M410" t="s">
        <v>4610</v>
      </c>
      <c r="N410" t="s">
        <v>4611</v>
      </c>
    </row>
    <row r="411" spans="1:14">
      <c r="A411" t="s">
        <v>4612</v>
      </c>
      <c r="B411" t="s">
        <v>4613</v>
      </c>
      <c r="C411" t="s">
        <v>4613</v>
      </c>
      <c r="D411" t="s">
        <v>130</v>
      </c>
      <c r="E411" t="s">
        <v>130</v>
      </c>
      <c r="F411" t="s">
        <v>4614</v>
      </c>
      <c r="G411" t="s">
        <v>4615</v>
      </c>
      <c r="H411" t="s">
        <v>4616</v>
      </c>
      <c r="I411" t="s">
        <v>4617</v>
      </c>
      <c r="J411" t="s">
        <v>4618</v>
      </c>
      <c r="K411" t="s">
        <v>2476</v>
      </c>
      <c r="L411" t="s">
        <v>4619</v>
      </c>
      <c r="M411" t="s">
        <v>4620</v>
      </c>
      <c r="N411" t="s">
        <v>716</v>
      </c>
    </row>
    <row r="412" spans="1:14">
      <c r="A412" t="s">
        <v>4621</v>
      </c>
      <c r="B412" t="s">
        <v>4622</v>
      </c>
      <c r="C412" t="s">
        <v>4622</v>
      </c>
      <c r="D412" t="s">
        <v>130</v>
      </c>
      <c r="E412" t="s">
        <v>130</v>
      </c>
      <c r="F412" t="s">
        <v>4623</v>
      </c>
      <c r="G412" t="s">
        <v>4624</v>
      </c>
      <c r="H412" t="s">
        <v>3276</v>
      </c>
      <c r="I412" t="s">
        <v>4625</v>
      </c>
      <c r="J412" t="s">
        <v>4626</v>
      </c>
      <c r="K412" t="s">
        <v>2476</v>
      </c>
      <c r="L412" t="s">
        <v>4627</v>
      </c>
      <c r="M412" t="s">
        <v>4628</v>
      </c>
      <c r="N412" t="s">
        <v>1616</v>
      </c>
    </row>
    <row r="413" spans="1:14">
      <c r="A413" t="s">
        <v>4629</v>
      </c>
      <c r="B413" t="s">
        <v>4630</v>
      </c>
      <c r="C413" t="s">
        <v>4630</v>
      </c>
      <c r="D413" t="s">
        <v>130</v>
      </c>
      <c r="E413" t="s">
        <v>130</v>
      </c>
      <c r="F413" t="s">
        <v>4631</v>
      </c>
      <c r="G413" t="s">
        <v>4632</v>
      </c>
      <c r="H413" t="s">
        <v>2909</v>
      </c>
      <c r="I413" t="s">
        <v>4633</v>
      </c>
      <c r="J413" t="s">
        <v>4634</v>
      </c>
      <c r="K413" t="s">
        <v>2476</v>
      </c>
      <c r="L413" t="s">
        <v>4635</v>
      </c>
      <c r="M413" t="s">
        <v>4636</v>
      </c>
      <c r="N413" t="s">
        <v>4637</v>
      </c>
    </row>
    <row r="414" spans="1:14">
      <c r="A414" t="s">
        <v>4638</v>
      </c>
      <c r="B414" t="s">
        <v>4639</v>
      </c>
      <c r="C414" t="s">
        <v>4639</v>
      </c>
      <c r="D414" t="s">
        <v>130</v>
      </c>
      <c r="E414" t="s">
        <v>130</v>
      </c>
      <c r="F414" t="s">
        <v>4640</v>
      </c>
      <c r="G414" t="s">
        <v>4641</v>
      </c>
      <c r="H414" t="s">
        <v>4642</v>
      </c>
      <c r="I414" t="s">
        <v>4643</v>
      </c>
      <c r="J414" t="s">
        <v>4644</v>
      </c>
      <c r="K414" t="s">
        <v>2476</v>
      </c>
      <c r="L414" t="s">
        <v>4645</v>
      </c>
      <c r="M414" t="s">
        <v>4646</v>
      </c>
      <c r="N414" t="s">
        <v>4647</v>
      </c>
    </row>
    <row r="415" spans="1:14">
      <c r="A415" t="s">
        <v>4648</v>
      </c>
      <c r="B415" t="s">
        <v>4649</v>
      </c>
      <c r="C415" t="s">
        <v>4649</v>
      </c>
      <c r="D415" t="s">
        <v>130</v>
      </c>
      <c r="E415" t="s">
        <v>130</v>
      </c>
      <c r="F415" t="s">
        <v>4650</v>
      </c>
      <c r="G415" t="s">
        <v>4651</v>
      </c>
      <c r="H415" t="s">
        <v>4652</v>
      </c>
      <c r="I415" t="s">
        <v>4653</v>
      </c>
      <c r="J415" t="s">
        <v>4654</v>
      </c>
      <c r="K415" t="s">
        <v>2476</v>
      </c>
      <c r="L415" t="s">
        <v>4655</v>
      </c>
      <c r="M415" t="s">
        <v>4656</v>
      </c>
      <c r="N415" t="s">
        <v>2017</v>
      </c>
    </row>
    <row r="416" spans="1:14">
      <c r="A416" t="s">
        <v>4657</v>
      </c>
      <c r="B416" t="s">
        <v>4658</v>
      </c>
      <c r="C416" t="s">
        <v>4658</v>
      </c>
      <c r="D416" t="s">
        <v>130</v>
      </c>
      <c r="E416" t="s">
        <v>130</v>
      </c>
      <c r="F416" t="s">
        <v>4659</v>
      </c>
      <c r="G416" t="s">
        <v>4660</v>
      </c>
      <c r="H416" t="s">
        <v>4661</v>
      </c>
      <c r="I416" t="s">
        <v>4662</v>
      </c>
      <c r="J416" t="s">
        <v>4663</v>
      </c>
      <c r="K416" t="s">
        <v>2476</v>
      </c>
      <c r="L416" t="s">
        <v>4664</v>
      </c>
      <c r="M416" t="s">
        <v>4665</v>
      </c>
      <c r="N416" t="s">
        <v>4666</v>
      </c>
    </row>
    <row r="417" spans="1:14">
      <c r="A417" t="s">
        <v>4667</v>
      </c>
      <c r="B417" t="s">
        <v>4668</v>
      </c>
      <c r="C417" t="s">
        <v>4668</v>
      </c>
      <c r="D417" t="s">
        <v>130</v>
      </c>
      <c r="E417" t="s">
        <v>130</v>
      </c>
      <c r="F417" t="s">
        <v>4669</v>
      </c>
      <c r="G417" t="s">
        <v>4670</v>
      </c>
      <c r="H417" t="s">
        <v>3327</v>
      </c>
      <c r="I417" t="s">
        <v>4671</v>
      </c>
      <c r="J417" t="s">
        <v>4672</v>
      </c>
      <c r="K417" t="s">
        <v>2476</v>
      </c>
      <c r="L417" t="s">
        <v>4673</v>
      </c>
      <c r="M417" t="s">
        <v>130</v>
      </c>
      <c r="N417" t="s">
        <v>131</v>
      </c>
    </row>
    <row r="418" spans="1:14">
      <c r="A418" t="s">
        <v>4674</v>
      </c>
      <c r="B418" t="s">
        <v>4675</v>
      </c>
      <c r="C418" t="s">
        <v>4675</v>
      </c>
      <c r="D418" t="s">
        <v>130</v>
      </c>
      <c r="E418" t="s">
        <v>130</v>
      </c>
      <c r="F418" t="s">
        <v>4676</v>
      </c>
      <c r="G418" t="s">
        <v>4677</v>
      </c>
      <c r="H418" t="s">
        <v>4678</v>
      </c>
      <c r="I418" t="s">
        <v>4679</v>
      </c>
      <c r="J418" t="s">
        <v>4680</v>
      </c>
      <c r="K418" t="s">
        <v>2476</v>
      </c>
      <c r="L418" t="s">
        <v>4681</v>
      </c>
      <c r="M418" t="s">
        <v>130</v>
      </c>
      <c r="N418" t="s">
        <v>131</v>
      </c>
    </row>
    <row r="419" spans="1:14">
      <c r="A419" t="s">
        <v>4682</v>
      </c>
      <c r="B419" t="s">
        <v>4683</v>
      </c>
      <c r="C419" t="s">
        <v>4683</v>
      </c>
      <c r="D419" t="s">
        <v>130</v>
      </c>
      <c r="E419" t="s">
        <v>130</v>
      </c>
      <c r="F419" t="s">
        <v>4684</v>
      </c>
      <c r="G419" t="s">
        <v>4685</v>
      </c>
      <c r="H419" t="s">
        <v>4686</v>
      </c>
      <c r="I419" t="s">
        <v>4687</v>
      </c>
      <c r="J419" t="s">
        <v>4688</v>
      </c>
      <c r="K419" t="s">
        <v>2476</v>
      </c>
      <c r="L419" t="s">
        <v>4689</v>
      </c>
      <c r="M419" t="s">
        <v>130</v>
      </c>
      <c r="N419" t="s">
        <v>131</v>
      </c>
    </row>
    <row r="420" spans="1:14">
      <c r="A420" t="s">
        <v>4690</v>
      </c>
      <c r="B420" t="s">
        <v>4691</v>
      </c>
      <c r="C420" t="s">
        <v>4691</v>
      </c>
      <c r="D420" t="s">
        <v>130</v>
      </c>
      <c r="E420" t="s">
        <v>130</v>
      </c>
      <c r="F420" t="s">
        <v>4692</v>
      </c>
      <c r="G420" t="s">
        <v>4589</v>
      </c>
      <c r="H420" t="s">
        <v>4693</v>
      </c>
      <c r="I420" t="s">
        <v>4694</v>
      </c>
      <c r="J420" t="s">
        <v>4695</v>
      </c>
      <c r="K420" t="s">
        <v>2476</v>
      </c>
      <c r="L420" t="s">
        <v>4696</v>
      </c>
      <c r="M420" t="s">
        <v>130</v>
      </c>
      <c r="N420" t="s">
        <v>131</v>
      </c>
    </row>
    <row r="421" spans="1:14">
      <c r="A421" t="s">
        <v>4697</v>
      </c>
      <c r="B421" t="s">
        <v>4698</v>
      </c>
      <c r="C421" t="s">
        <v>4698</v>
      </c>
      <c r="D421" t="s">
        <v>130</v>
      </c>
      <c r="E421" t="s">
        <v>130</v>
      </c>
      <c r="F421" t="s">
        <v>4699</v>
      </c>
      <c r="G421" t="s">
        <v>4700</v>
      </c>
      <c r="H421" t="s">
        <v>3581</v>
      </c>
      <c r="I421" t="s">
        <v>4701</v>
      </c>
      <c r="J421" t="s">
        <v>4702</v>
      </c>
      <c r="K421" t="s">
        <v>2476</v>
      </c>
      <c r="L421" t="s">
        <v>4703</v>
      </c>
      <c r="M421" t="s">
        <v>4704</v>
      </c>
      <c r="N421" t="s">
        <v>4705</v>
      </c>
    </row>
    <row r="422" spans="1:14">
      <c r="A422" t="s">
        <v>4706</v>
      </c>
      <c r="B422" t="s">
        <v>4707</v>
      </c>
      <c r="C422" t="s">
        <v>4707</v>
      </c>
      <c r="D422" t="s">
        <v>130</v>
      </c>
      <c r="E422" t="s">
        <v>130</v>
      </c>
      <c r="F422" t="s">
        <v>4708</v>
      </c>
      <c r="G422" t="s">
        <v>4709</v>
      </c>
      <c r="H422" t="s">
        <v>4710</v>
      </c>
      <c r="I422" t="s">
        <v>4711</v>
      </c>
      <c r="J422" t="s">
        <v>4712</v>
      </c>
      <c r="K422" t="s">
        <v>2476</v>
      </c>
      <c r="L422" t="s">
        <v>4713</v>
      </c>
      <c r="M422" t="s">
        <v>4714</v>
      </c>
      <c r="N422" t="s">
        <v>4715</v>
      </c>
    </row>
    <row r="423" spans="1:14">
      <c r="A423" t="s">
        <v>4716</v>
      </c>
      <c r="B423" t="s">
        <v>4717</v>
      </c>
      <c r="C423" t="s">
        <v>4717</v>
      </c>
      <c r="D423" t="s">
        <v>130</v>
      </c>
      <c r="E423" t="s">
        <v>130</v>
      </c>
      <c r="F423" t="s">
        <v>4718</v>
      </c>
      <c r="G423" t="s">
        <v>4719</v>
      </c>
      <c r="H423" t="s">
        <v>2973</v>
      </c>
      <c r="I423" t="s">
        <v>4720</v>
      </c>
      <c r="J423" t="s">
        <v>4721</v>
      </c>
      <c r="K423" t="s">
        <v>2476</v>
      </c>
      <c r="L423" t="s">
        <v>4722</v>
      </c>
      <c r="M423" t="s">
        <v>4723</v>
      </c>
      <c r="N423" t="s">
        <v>4724</v>
      </c>
    </row>
    <row r="424" spans="1:14">
      <c r="A424" t="s">
        <v>4725</v>
      </c>
      <c r="B424" t="s">
        <v>4726</v>
      </c>
      <c r="C424" t="s">
        <v>4726</v>
      </c>
      <c r="D424" t="s">
        <v>130</v>
      </c>
      <c r="E424" t="s">
        <v>130</v>
      </c>
      <c r="F424" t="s">
        <v>4727</v>
      </c>
      <c r="G424" t="s">
        <v>4728</v>
      </c>
      <c r="H424" t="s">
        <v>4729</v>
      </c>
      <c r="I424" t="s">
        <v>4730</v>
      </c>
      <c r="J424" t="s">
        <v>4731</v>
      </c>
      <c r="K424" t="s">
        <v>2476</v>
      </c>
      <c r="L424" t="s">
        <v>4732</v>
      </c>
      <c r="M424" t="s">
        <v>4733</v>
      </c>
      <c r="N424" t="s">
        <v>4734</v>
      </c>
    </row>
    <row r="425" spans="1:14">
      <c r="A425" t="s">
        <v>4735</v>
      </c>
      <c r="B425" t="s">
        <v>4736</v>
      </c>
      <c r="C425" t="s">
        <v>4736</v>
      </c>
      <c r="D425" t="s">
        <v>130</v>
      </c>
      <c r="E425" t="s">
        <v>130</v>
      </c>
      <c r="F425" t="s">
        <v>4737</v>
      </c>
      <c r="G425" t="s">
        <v>4738</v>
      </c>
      <c r="H425" t="s">
        <v>4739</v>
      </c>
      <c r="I425" t="s">
        <v>4740</v>
      </c>
      <c r="J425" t="s">
        <v>4741</v>
      </c>
      <c r="K425" t="s">
        <v>2476</v>
      </c>
      <c r="L425" t="s">
        <v>4742</v>
      </c>
      <c r="M425" t="s">
        <v>4743</v>
      </c>
      <c r="N425" t="s">
        <v>4744</v>
      </c>
    </row>
    <row r="426" spans="1:14">
      <c r="A426" t="s">
        <v>4745</v>
      </c>
      <c r="B426" t="s">
        <v>4746</v>
      </c>
      <c r="C426" t="s">
        <v>4746</v>
      </c>
      <c r="D426" t="s">
        <v>130</v>
      </c>
      <c r="E426" t="s">
        <v>130</v>
      </c>
      <c r="F426" t="s">
        <v>4747</v>
      </c>
      <c r="G426" t="s">
        <v>4748</v>
      </c>
      <c r="H426" t="s">
        <v>4749</v>
      </c>
      <c r="I426" t="s">
        <v>4750</v>
      </c>
      <c r="J426" t="s">
        <v>4751</v>
      </c>
      <c r="K426" t="s">
        <v>2476</v>
      </c>
      <c r="L426" t="s">
        <v>4752</v>
      </c>
      <c r="M426" t="s">
        <v>4753</v>
      </c>
      <c r="N426" t="s">
        <v>4754</v>
      </c>
    </row>
    <row r="427" spans="1:14">
      <c r="A427" t="s">
        <v>4755</v>
      </c>
      <c r="B427" t="s">
        <v>4756</v>
      </c>
      <c r="C427" t="s">
        <v>4756</v>
      </c>
      <c r="D427" t="s">
        <v>130</v>
      </c>
      <c r="E427" t="s">
        <v>130</v>
      </c>
      <c r="F427" t="s">
        <v>4757</v>
      </c>
      <c r="G427" t="s">
        <v>4758</v>
      </c>
      <c r="H427" t="s">
        <v>4759</v>
      </c>
      <c r="I427" t="s">
        <v>4760</v>
      </c>
      <c r="J427" t="s">
        <v>4761</v>
      </c>
      <c r="K427" t="s">
        <v>2476</v>
      </c>
      <c r="L427" t="s">
        <v>4762</v>
      </c>
      <c r="M427" t="s">
        <v>4763</v>
      </c>
      <c r="N427" t="s">
        <v>4764</v>
      </c>
    </row>
    <row r="428" spans="1:14">
      <c r="A428" t="s">
        <v>4765</v>
      </c>
      <c r="B428" t="s">
        <v>4766</v>
      </c>
      <c r="C428" t="s">
        <v>4766</v>
      </c>
      <c r="D428" t="s">
        <v>130</v>
      </c>
      <c r="E428" t="s">
        <v>130</v>
      </c>
      <c r="F428" t="s">
        <v>4767</v>
      </c>
      <c r="G428" t="s">
        <v>4768</v>
      </c>
      <c r="H428" t="s">
        <v>4769</v>
      </c>
      <c r="I428" t="s">
        <v>4770</v>
      </c>
      <c r="J428" t="s">
        <v>4771</v>
      </c>
      <c r="K428" t="s">
        <v>2476</v>
      </c>
      <c r="L428" t="s">
        <v>4772</v>
      </c>
      <c r="M428" t="s">
        <v>4773</v>
      </c>
      <c r="N428" t="s">
        <v>4774</v>
      </c>
    </row>
    <row r="429" spans="1:14">
      <c r="A429" t="s">
        <v>4775</v>
      </c>
      <c r="B429" t="s">
        <v>4776</v>
      </c>
      <c r="C429" t="s">
        <v>4776</v>
      </c>
      <c r="D429" t="s">
        <v>130</v>
      </c>
      <c r="E429" t="s">
        <v>130</v>
      </c>
      <c r="F429" t="s">
        <v>4777</v>
      </c>
      <c r="G429" t="s">
        <v>4778</v>
      </c>
      <c r="H429" t="s">
        <v>3851</v>
      </c>
      <c r="I429" t="s">
        <v>4779</v>
      </c>
      <c r="J429" t="s">
        <v>4780</v>
      </c>
      <c r="K429" t="s">
        <v>2476</v>
      </c>
      <c r="L429" t="s">
        <v>4781</v>
      </c>
      <c r="M429" t="s">
        <v>130</v>
      </c>
      <c r="N429" t="s">
        <v>131</v>
      </c>
    </row>
    <row r="430" spans="1:14">
      <c r="A430" t="s">
        <v>4782</v>
      </c>
      <c r="B430" t="s">
        <v>4783</v>
      </c>
      <c r="C430" t="s">
        <v>4783</v>
      </c>
      <c r="D430" t="s">
        <v>130</v>
      </c>
      <c r="E430" t="s">
        <v>130</v>
      </c>
      <c r="F430" t="s">
        <v>4784</v>
      </c>
      <c r="G430" t="s">
        <v>4785</v>
      </c>
      <c r="H430" t="s">
        <v>4786</v>
      </c>
      <c r="I430" t="s">
        <v>4787</v>
      </c>
      <c r="J430" t="s">
        <v>4788</v>
      </c>
      <c r="K430" t="s">
        <v>2476</v>
      </c>
      <c r="L430" t="s">
        <v>4789</v>
      </c>
      <c r="M430" t="s">
        <v>130</v>
      </c>
      <c r="N430" t="s">
        <v>131</v>
      </c>
    </row>
    <row r="431" spans="1:14">
      <c r="A431" t="s">
        <v>4790</v>
      </c>
      <c r="B431" t="s">
        <v>4791</v>
      </c>
      <c r="C431" t="s">
        <v>4791</v>
      </c>
      <c r="D431" t="s">
        <v>130</v>
      </c>
      <c r="E431" t="s">
        <v>130</v>
      </c>
      <c r="F431" t="s">
        <v>4792</v>
      </c>
      <c r="G431" t="s">
        <v>4793</v>
      </c>
      <c r="H431" t="s">
        <v>3319</v>
      </c>
      <c r="I431" t="s">
        <v>4794</v>
      </c>
      <c r="J431" t="s">
        <v>4795</v>
      </c>
      <c r="K431" t="s">
        <v>2476</v>
      </c>
      <c r="L431" t="s">
        <v>4796</v>
      </c>
      <c r="M431" t="s">
        <v>130</v>
      </c>
      <c r="N431" t="s">
        <v>131</v>
      </c>
    </row>
    <row r="432" spans="1:14">
      <c r="A432" t="s">
        <v>4797</v>
      </c>
      <c r="B432" t="s">
        <v>4798</v>
      </c>
      <c r="C432" t="s">
        <v>4798</v>
      </c>
      <c r="D432" t="s">
        <v>130</v>
      </c>
      <c r="E432" t="s">
        <v>130</v>
      </c>
      <c r="F432" t="s">
        <v>4799</v>
      </c>
      <c r="G432" t="s">
        <v>4800</v>
      </c>
      <c r="H432" t="s">
        <v>4058</v>
      </c>
      <c r="I432" t="s">
        <v>4801</v>
      </c>
      <c r="J432" t="s">
        <v>4802</v>
      </c>
      <c r="K432" t="s">
        <v>2476</v>
      </c>
      <c r="L432" t="s">
        <v>4803</v>
      </c>
      <c r="M432" t="s">
        <v>130</v>
      </c>
      <c r="N432" t="s">
        <v>131</v>
      </c>
    </row>
    <row r="433" spans="1:14">
      <c r="A433" t="s">
        <v>4804</v>
      </c>
      <c r="B433" t="s">
        <v>4805</v>
      </c>
      <c r="C433" t="s">
        <v>4805</v>
      </c>
      <c r="D433" t="s">
        <v>130</v>
      </c>
      <c r="E433" t="s">
        <v>130</v>
      </c>
      <c r="F433" t="s">
        <v>4806</v>
      </c>
      <c r="G433" t="s">
        <v>4807</v>
      </c>
      <c r="H433" t="s">
        <v>4091</v>
      </c>
      <c r="I433" t="s">
        <v>4808</v>
      </c>
      <c r="J433" t="s">
        <v>4809</v>
      </c>
      <c r="K433" t="s">
        <v>2476</v>
      </c>
      <c r="L433" t="s">
        <v>4810</v>
      </c>
      <c r="M433" t="s">
        <v>4811</v>
      </c>
      <c r="N433" t="s">
        <v>4812</v>
      </c>
    </row>
    <row r="434" spans="1:14">
      <c r="A434" t="s">
        <v>4813</v>
      </c>
      <c r="B434" t="s">
        <v>4814</v>
      </c>
      <c r="C434" t="s">
        <v>4814</v>
      </c>
      <c r="D434" t="s">
        <v>130</v>
      </c>
      <c r="E434" t="s">
        <v>130</v>
      </c>
      <c r="F434" t="s">
        <v>4815</v>
      </c>
      <c r="G434" t="s">
        <v>4816</v>
      </c>
      <c r="H434" t="s">
        <v>4817</v>
      </c>
      <c r="I434" t="s">
        <v>4818</v>
      </c>
      <c r="J434" t="s">
        <v>4819</v>
      </c>
      <c r="K434" t="s">
        <v>2476</v>
      </c>
      <c r="L434" t="s">
        <v>4820</v>
      </c>
      <c r="M434" t="s">
        <v>4821</v>
      </c>
      <c r="N434" t="s">
        <v>4822</v>
      </c>
    </row>
    <row r="435" spans="1:14">
      <c r="A435" t="s">
        <v>4823</v>
      </c>
      <c r="B435" t="s">
        <v>4824</v>
      </c>
      <c r="C435" t="s">
        <v>4824</v>
      </c>
      <c r="D435" t="s">
        <v>130</v>
      </c>
      <c r="E435" t="s">
        <v>130</v>
      </c>
      <c r="F435" t="s">
        <v>4825</v>
      </c>
      <c r="G435" t="s">
        <v>4826</v>
      </c>
      <c r="H435" t="s">
        <v>4827</v>
      </c>
      <c r="I435" t="s">
        <v>4828</v>
      </c>
      <c r="J435" t="s">
        <v>4829</v>
      </c>
      <c r="K435" t="s">
        <v>2476</v>
      </c>
      <c r="L435" t="s">
        <v>4830</v>
      </c>
      <c r="M435" t="s">
        <v>4831</v>
      </c>
      <c r="N435" t="s">
        <v>4832</v>
      </c>
    </row>
    <row r="436" spans="1:14">
      <c r="A436" t="s">
        <v>4833</v>
      </c>
      <c r="B436" t="s">
        <v>4834</v>
      </c>
      <c r="C436" t="s">
        <v>4834</v>
      </c>
      <c r="D436" t="s">
        <v>130</v>
      </c>
      <c r="E436" t="s">
        <v>130</v>
      </c>
      <c r="F436" t="s">
        <v>4835</v>
      </c>
      <c r="G436" t="s">
        <v>4836</v>
      </c>
      <c r="H436" t="s">
        <v>4837</v>
      </c>
      <c r="I436" t="s">
        <v>4838</v>
      </c>
      <c r="J436" t="s">
        <v>4839</v>
      </c>
      <c r="K436" t="s">
        <v>2476</v>
      </c>
      <c r="L436" t="s">
        <v>4840</v>
      </c>
      <c r="M436" t="s">
        <v>4841</v>
      </c>
      <c r="N436" t="s">
        <v>4842</v>
      </c>
    </row>
    <row r="437" spans="1:14">
      <c r="A437" t="s">
        <v>4843</v>
      </c>
      <c r="B437" t="s">
        <v>4844</v>
      </c>
      <c r="C437" t="s">
        <v>4844</v>
      </c>
      <c r="D437" t="s">
        <v>130</v>
      </c>
      <c r="E437" t="s">
        <v>130</v>
      </c>
      <c r="F437" t="s">
        <v>4845</v>
      </c>
      <c r="G437" t="s">
        <v>4846</v>
      </c>
      <c r="H437" t="s">
        <v>4847</v>
      </c>
      <c r="I437" t="s">
        <v>4848</v>
      </c>
      <c r="J437" t="s">
        <v>4849</v>
      </c>
      <c r="K437" t="s">
        <v>2476</v>
      </c>
      <c r="L437" t="s">
        <v>4850</v>
      </c>
      <c r="M437" t="s">
        <v>4851</v>
      </c>
      <c r="N437" t="s">
        <v>4852</v>
      </c>
    </row>
    <row r="438" spans="1:14">
      <c r="A438" t="s">
        <v>4853</v>
      </c>
      <c r="B438" t="s">
        <v>4854</v>
      </c>
      <c r="C438" t="s">
        <v>4854</v>
      </c>
      <c r="D438" t="s">
        <v>130</v>
      </c>
      <c r="E438" t="s">
        <v>130</v>
      </c>
      <c r="F438" t="s">
        <v>4855</v>
      </c>
      <c r="G438" t="s">
        <v>4856</v>
      </c>
      <c r="H438" t="s">
        <v>4857</v>
      </c>
      <c r="I438" t="s">
        <v>4858</v>
      </c>
      <c r="J438" t="s">
        <v>4859</v>
      </c>
      <c r="K438" t="s">
        <v>2476</v>
      </c>
      <c r="L438" t="s">
        <v>2476</v>
      </c>
      <c r="M438" t="s">
        <v>4860</v>
      </c>
      <c r="N438" t="s">
        <v>4861</v>
      </c>
    </row>
    <row r="439" spans="1:14">
      <c r="A439" t="s">
        <v>4862</v>
      </c>
      <c r="B439" t="s">
        <v>4863</v>
      </c>
      <c r="C439" t="s">
        <v>4863</v>
      </c>
      <c r="D439" t="s">
        <v>130</v>
      </c>
      <c r="E439" t="s">
        <v>130</v>
      </c>
      <c r="F439" t="s">
        <v>4864</v>
      </c>
      <c r="G439" t="s">
        <v>4865</v>
      </c>
      <c r="H439" t="s">
        <v>2433</v>
      </c>
      <c r="I439" t="s">
        <v>4866</v>
      </c>
      <c r="J439" t="s">
        <v>4867</v>
      </c>
      <c r="K439" t="s">
        <v>2476</v>
      </c>
      <c r="L439" t="s">
        <v>2476</v>
      </c>
      <c r="M439" t="s">
        <v>4868</v>
      </c>
      <c r="N439" t="s">
        <v>4869</v>
      </c>
    </row>
    <row r="440" spans="1:14">
      <c r="A440" t="s">
        <v>4870</v>
      </c>
      <c r="B440" t="s">
        <v>4871</v>
      </c>
      <c r="C440" t="s">
        <v>4871</v>
      </c>
      <c r="D440" t="s">
        <v>130</v>
      </c>
      <c r="E440" t="s">
        <v>130</v>
      </c>
      <c r="F440" t="s">
        <v>4872</v>
      </c>
      <c r="G440" t="s">
        <v>4873</v>
      </c>
      <c r="H440" t="s">
        <v>4874</v>
      </c>
      <c r="I440" t="s">
        <v>4875</v>
      </c>
      <c r="J440" t="s">
        <v>4876</v>
      </c>
      <c r="K440" t="s">
        <v>2476</v>
      </c>
      <c r="L440" t="s">
        <v>2476</v>
      </c>
      <c r="M440" t="s">
        <v>4877</v>
      </c>
      <c r="N440" t="s">
        <v>3023</v>
      </c>
    </row>
    <row r="441" spans="1:14">
      <c r="A441" t="s">
        <v>4878</v>
      </c>
      <c r="B441" t="s">
        <v>4879</v>
      </c>
      <c r="C441" t="s">
        <v>4879</v>
      </c>
      <c r="D441" t="s">
        <v>130</v>
      </c>
      <c r="E441" t="s">
        <v>130</v>
      </c>
      <c r="F441" t="s">
        <v>4880</v>
      </c>
      <c r="G441" t="s">
        <v>4881</v>
      </c>
      <c r="H441" t="s">
        <v>4227</v>
      </c>
      <c r="I441" t="s">
        <v>4882</v>
      </c>
      <c r="J441" t="s">
        <v>4883</v>
      </c>
      <c r="K441" t="s">
        <v>2476</v>
      </c>
      <c r="L441" t="s">
        <v>2476</v>
      </c>
      <c r="M441" t="s">
        <v>130</v>
      </c>
      <c r="N441" t="s">
        <v>131</v>
      </c>
    </row>
    <row r="442" spans="1:14">
      <c r="A442" t="s">
        <v>4884</v>
      </c>
      <c r="B442" t="s">
        <v>4885</v>
      </c>
      <c r="C442" t="s">
        <v>4885</v>
      </c>
      <c r="D442" t="s">
        <v>130</v>
      </c>
      <c r="E442" t="s">
        <v>130</v>
      </c>
      <c r="F442" t="s">
        <v>4886</v>
      </c>
      <c r="G442" t="s">
        <v>4887</v>
      </c>
      <c r="H442" t="s">
        <v>2859</v>
      </c>
      <c r="I442" t="s">
        <v>4888</v>
      </c>
      <c r="J442" t="s">
        <v>4889</v>
      </c>
      <c r="K442" t="s">
        <v>2476</v>
      </c>
      <c r="L442" t="s">
        <v>2476</v>
      </c>
      <c r="M442" t="s">
        <v>130</v>
      </c>
      <c r="N442" t="s">
        <v>131</v>
      </c>
    </row>
    <row r="443" spans="1:14">
      <c r="A443" t="s">
        <v>4890</v>
      </c>
      <c r="B443" t="s">
        <v>4891</v>
      </c>
      <c r="C443" t="s">
        <v>4891</v>
      </c>
      <c r="D443" t="s">
        <v>130</v>
      </c>
      <c r="E443" t="s">
        <v>130</v>
      </c>
      <c r="F443" t="s">
        <v>4892</v>
      </c>
      <c r="G443" t="s">
        <v>4893</v>
      </c>
      <c r="H443" t="s">
        <v>4894</v>
      </c>
      <c r="I443" t="s">
        <v>4895</v>
      </c>
      <c r="J443" t="s">
        <v>4896</v>
      </c>
      <c r="K443" t="s">
        <v>2476</v>
      </c>
      <c r="L443" t="s">
        <v>2476</v>
      </c>
      <c r="M443" t="s">
        <v>130</v>
      </c>
      <c r="N443" t="s">
        <v>131</v>
      </c>
    </row>
    <row r="444" spans="1:14">
      <c r="A444" t="s">
        <v>4897</v>
      </c>
      <c r="B444" t="s">
        <v>4898</v>
      </c>
      <c r="C444" t="s">
        <v>4898</v>
      </c>
      <c r="D444" t="s">
        <v>130</v>
      </c>
      <c r="E444" t="s">
        <v>130</v>
      </c>
      <c r="F444" t="s">
        <v>4899</v>
      </c>
      <c r="G444" t="s">
        <v>4900</v>
      </c>
      <c r="H444" t="s">
        <v>2792</v>
      </c>
      <c r="I444" t="s">
        <v>3138</v>
      </c>
      <c r="J444" t="s">
        <v>4901</v>
      </c>
      <c r="K444" t="s">
        <v>2476</v>
      </c>
      <c r="L444" t="s">
        <v>2476</v>
      </c>
      <c r="M444" t="s">
        <v>130</v>
      </c>
      <c r="N444" t="s">
        <v>131</v>
      </c>
    </row>
    <row r="445" spans="1:14">
      <c r="A445" t="s">
        <v>4902</v>
      </c>
      <c r="B445" t="s">
        <v>4903</v>
      </c>
      <c r="C445" t="s">
        <v>4903</v>
      </c>
      <c r="D445" t="s">
        <v>130</v>
      </c>
      <c r="E445" t="s">
        <v>130</v>
      </c>
      <c r="F445" t="s">
        <v>4904</v>
      </c>
      <c r="G445" t="s">
        <v>4905</v>
      </c>
      <c r="H445" t="s">
        <v>4906</v>
      </c>
      <c r="I445" t="s">
        <v>4907</v>
      </c>
      <c r="J445" t="s">
        <v>4908</v>
      </c>
      <c r="K445" t="s">
        <v>2476</v>
      </c>
      <c r="L445" t="s">
        <v>2476</v>
      </c>
      <c r="M445" t="s">
        <v>4909</v>
      </c>
      <c r="N445" t="s">
        <v>4910</v>
      </c>
    </row>
    <row r="446" spans="1:14">
      <c r="A446" t="s">
        <v>4911</v>
      </c>
      <c r="B446" t="s">
        <v>4912</v>
      </c>
      <c r="C446" t="s">
        <v>4912</v>
      </c>
      <c r="D446" t="s">
        <v>130</v>
      </c>
      <c r="E446" t="s">
        <v>130</v>
      </c>
      <c r="F446" t="s">
        <v>4913</v>
      </c>
      <c r="G446" t="s">
        <v>4914</v>
      </c>
      <c r="H446" t="s">
        <v>4915</v>
      </c>
      <c r="I446" t="s">
        <v>4916</v>
      </c>
      <c r="J446" t="s">
        <v>4917</v>
      </c>
      <c r="K446" t="s">
        <v>2476</v>
      </c>
      <c r="L446" t="s">
        <v>2476</v>
      </c>
      <c r="M446" t="s">
        <v>4918</v>
      </c>
      <c r="N446" t="s">
        <v>4715</v>
      </c>
    </row>
    <row r="447" spans="1:14">
      <c r="A447" t="s">
        <v>4919</v>
      </c>
      <c r="B447" t="s">
        <v>4920</v>
      </c>
      <c r="C447" t="s">
        <v>4920</v>
      </c>
      <c r="D447" t="s">
        <v>130</v>
      </c>
      <c r="E447" t="s">
        <v>130</v>
      </c>
      <c r="F447" t="s">
        <v>4921</v>
      </c>
      <c r="G447" t="s">
        <v>4922</v>
      </c>
      <c r="H447" t="s">
        <v>4923</v>
      </c>
      <c r="I447" t="s">
        <v>4924</v>
      </c>
      <c r="J447" t="s">
        <v>4925</v>
      </c>
      <c r="K447" t="s">
        <v>2476</v>
      </c>
      <c r="L447" t="s">
        <v>2476</v>
      </c>
      <c r="M447" t="s">
        <v>4926</v>
      </c>
      <c r="N447" t="s">
        <v>1049</v>
      </c>
    </row>
    <row r="448" spans="1:14">
      <c r="A448" t="s">
        <v>4927</v>
      </c>
      <c r="B448" t="s">
        <v>4928</v>
      </c>
      <c r="C448" t="s">
        <v>4928</v>
      </c>
      <c r="D448" t="s">
        <v>130</v>
      </c>
      <c r="E448" t="s">
        <v>130</v>
      </c>
      <c r="F448" t="s">
        <v>4929</v>
      </c>
      <c r="G448" t="s">
        <v>4930</v>
      </c>
      <c r="H448" t="s">
        <v>4931</v>
      </c>
      <c r="I448" t="s">
        <v>4932</v>
      </c>
      <c r="J448" t="s">
        <v>4933</v>
      </c>
      <c r="K448" t="s">
        <v>2476</v>
      </c>
      <c r="L448" t="s">
        <v>2476</v>
      </c>
      <c r="M448" t="s">
        <v>4934</v>
      </c>
      <c r="N448" t="s">
        <v>4935</v>
      </c>
    </row>
    <row r="449" spans="1:14">
      <c r="A449" t="s">
        <v>4936</v>
      </c>
      <c r="B449" t="s">
        <v>4937</v>
      </c>
      <c r="C449" t="s">
        <v>4937</v>
      </c>
      <c r="D449" t="s">
        <v>130</v>
      </c>
      <c r="E449" t="s">
        <v>130</v>
      </c>
      <c r="F449" t="s">
        <v>4938</v>
      </c>
      <c r="G449" t="s">
        <v>4939</v>
      </c>
      <c r="H449" t="s">
        <v>4940</v>
      </c>
      <c r="I449" t="s">
        <v>4941</v>
      </c>
      <c r="J449" t="s">
        <v>4942</v>
      </c>
      <c r="K449" t="s">
        <v>2476</v>
      </c>
      <c r="L449" t="s">
        <v>2476</v>
      </c>
      <c r="M449" t="s">
        <v>4943</v>
      </c>
      <c r="N449" t="s">
        <v>4944</v>
      </c>
    </row>
    <row r="450" spans="1:14">
      <c r="A450" t="s">
        <v>4945</v>
      </c>
      <c r="B450" t="s">
        <v>4946</v>
      </c>
      <c r="C450" t="s">
        <v>4946</v>
      </c>
      <c r="D450" t="s">
        <v>130</v>
      </c>
      <c r="E450" t="s">
        <v>130</v>
      </c>
      <c r="F450" t="s">
        <v>4947</v>
      </c>
      <c r="G450" t="s">
        <v>4948</v>
      </c>
      <c r="H450" t="s">
        <v>4949</v>
      </c>
      <c r="I450" t="s">
        <v>4950</v>
      </c>
      <c r="J450" t="s">
        <v>4951</v>
      </c>
      <c r="K450" t="s">
        <v>2476</v>
      </c>
      <c r="L450" t="s">
        <v>2476</v>
      </c>
      <c r="M450" t="s">
        <v>4952</v>
      </c>
      <c r="N450" t="s">
        <v>4953</v>
      </c>
    </row>
    <row r="451" spans="1:14">
      <c r="A451" t="s">
        <v>4954</v>
      </c>
      <c r="B451" t="s">
        <v>4955</v>
      </c>
      <c r="C451" t="s">
        <v>4955</v>
      </c>
      <c r="D451" t="s">
        <v>130</v>
      </c>
      <c r="E451" t="s">
        <v>130</v>
      </c>
      <c r="F451" t="s">
        <v>4956</v>
      </c>
      <c r="G451" t="s">
        <v>4957</v>
      </c>
      <c r="H451" t="s">
        <v>4958</v>
      </c>
      <c r="I451" t="s">
        <v>4959</v>
      </c>
      <c r="J451" t="s">
        <v>4960</v>
      </c>
      <c r="K451" t="s">
        <v>2476</v>
      </c>
      <c r="L451" t="s">
        <v>2476</v>
      </c>
      <c r="M451" t="s">
        <v>4961</v>
      </c>
      <c r="N451" t="s">
        <v>4962</v>
      </c>
    </row>
    <row r="452" spans="1:14">
      <c r="A452" t="s">
        <v>4963</v>
      </c>
      <c r="B452" t="s">
        <v>4964</v>
      </c>
      <c r="C452" t="s">
        <v>4964</v>
      </c>
      <c r="D452" t="s">
        <v>130</v>
      </c>
      <c r="E452" t="s">
        <v>130</v>
      </c>
      <c r="F452" t="s">
        <v>4965</v>
      </c>
      <c r="G452" t="s">
        <v>4966</v>
      </c>
      <c r="H452" t="s">
        <v>4967</v>
      </c>
      <c r="I452" t="s">
        <v>4968</v>
      </c>
      <c r="J452" t="s">
        <v>4969</v>
      </c>
      <c r="K452" t="s">
        <v>2476</v>
      </c>
      <c r="L452" t="s">
        <v>2476</v>
      </c>
      <c r="M452" t="s">
        <v>4970</v>
      </c>
      <c r="N452" t="s">
        <v>3290</v>
      </c>
    </row>
    <row r="453" spans="1:14">
      <c r="A453" t="s">
        <v>4971</v>
      </c>
      <c r="B453" t="s">
        <v>4520</v>
      </c>
      <c r="C453" t="s">
        <v>4520</v>
      </c>
      <c r="D453" t="s">
        <v>130</v>
      </c>
      <c r="E453" t="s">
        <v>130</v>
      </c>
      <c r="F453" t="s">
        <v>4972</v>
      </c>
      <c r="G453" t="s">
        <v>4973</v>
      </c>
      <c r="H453" t="s">
        <v>3221</v>
      </c>
      <c r="I453" t="s">
        <v>4974</v>
      </c>
      <c r="J453" t="s">
        <v>4975</v>
      </c>
      <c r="K453" t="s">
        <v>2476</v>
      </c>
      <c r="L453" t="s">
        <v>2476</v>
      </c>
      <c r="M453" t="s">
        <v>130</v>
      </c>
      <c r="N453" t="s">
        <v>131</v>
      </c>
    </row>
    <row r="454" spans="1:14">
      <c r="A454" t="s">
        <v>4976</v>
      </c>
      <c r="B454" t="s">
        <v>4977</v>
      </c>
      <c r="C454" t="s">
        <v>4977</v>
      </c>
      <c r="D454" t="s">
        <v>130</v>
      </c>
      <c r="E454" t="s">
        <v>130</v>
      </c>
      <c r="F454" t="s">
        <v>4978</v>
      </c>
      <c r="G454" t="s">
        <v>4979</v>
      </c>
      <c r="H454" t="s">
        <v>4980</v>
      </c>
      <c r="I454" t="s">
        <v>4981</v>
      </c>
      <c r="J454" t="s">
        <v>4982</v>
      </c>
      <c r="K454" t="s">
        <v>2476</v>
      </c>
      <c r="L454" t="s">
        <v>2476</v>
      </c>
      <c r="M454" t="s">
        <v>130</v>
      </c>
      <c r="N454" t="s">
        <v>131</v>
      </c>
    </row>
    <row r="455" spans="1:14">
      <c r="A455" t="s">
        <v>4983</v>
      </c>
      <c r="B455" t="s">
        <v>4205</v>
      </c>
      <c r="C455" t="s">
        <v>4205</v>
      </c>
      <c r="D455" t="s">
        <v>130</v>
      </c>
      <c r="E455" t="s">
        <v>130</v>
      </c>
      <c r="F455" t="s">
        <v>4984</v>
      </c>
      <c r="G455" t="s">
        <v>4985</v>
      </c>
      <c r="H455" t="s">
        <v>4986</v>
      </c>
      <c r="I455" t="s">
        <v>4987</v>
      </c>
      <c r="J455" t="s">
        <v>4988</v>
      </c>
      <c r="K455" t="s">
        <v>2476</v>
      </c>
      <c r="L455" t="s">
        <v>2476</v>
      </c>
      <c r="M455" t="s">
        <v>130</v>
      </c>
      <c r="N455" t="s">
        <v>131</v>
      </c>
    </row>
    <row r="456" spans="1:14">
      <c r="A456" t="s">
        <v>4989</v>
      </c>
      <c r="B456" t="s">
        <v>4990</v>
      </c>
      <c r="C456" t="s">
        <v>4990</v>
      </c>
      <c r="D456" t="s">
        <v>130</v>
      </c>
      <c r="E456" t="s">
        <v>130</v>
      </c>
      <c r="F456" t="s">
        <v>4991</v>
      </c>
      <c r="G456" t="s">
        <v>4992</v>
      </c>
      <c r="H456" t="s">
        <v>2883</v>
      </c>
      <c r="I456" t="s">
        <v>4993</v>
      </c>
      <c r="J456" t="s">
        <v>4994</v>
      </c>
      <c r="K456" t="s">
        <v>2476</v>
      </c>
      <c r="L456" t="s">
        <v>2476</v>
      </c>
      <c r="M456" t="s">
        <v>130</v>
      </c>
      <c r="N456" t="s">
        <v>131</v>
      </c>
    </row>
    <row r="457" spans="1:14">
      <c r="A457" t="s">
        <v>4995</v>
      </c>
      <c r="B457" t="s">
        <v>4996</v>
      </c>
      <c r="C457" t="s">
        <v>4996</v>
      </c>
      <c r="D457" t="s">
        <v>130</v>
      </c>
      <c r="E457" t="s">
        <v>130</v>
      </c>
      <c r="F457" t="s">
        <v>4997</v>
      </c>
      <c r="G457" t="s">
        <v>4998</v>
      </c>
      <c r="H457" t="s">
        <v>4999</v>
      </c>
      <c r="I457" t="s">
        <v>5000</v>
      </c>
      <c r="J457" t="s">
        <v>5001</v>
      </c>
      <c r="K457" t="s">
        <v>2476</v>
      </c>
      <c r="L457" t="s">
        <v>2476</v>
      </c>
      <c r="M457" t="s">
        <v>5002</v>
      </c>
      <c r="N457" t="s">
        <v>5003</v>
      </c>
    </row>
    <row r="458" spans="1:14">
      <c r="A458" t="s">
        <v>5004</v>
      </c>
      <c r="B458" t="s">
        <v>5005</v>
      </c>
      <c r="C458" t="s">
        <v>5005</v>
      </c>
      <c r="D458" t="s">
        <v>130</v>
      </c>
      <c r="E458" t="s">
        <v>130</v>
      </c>
      <c r="F458" t="s">
        <v>5006</v>
      </c>
      <c r="G458" t="s">
        <v>5007</v>
      </c>
      <c r="H458" t="s">
        <v>5008</v>
      </c>
      <c r="I458" t="s">
        <v>5009</v>
      </c>
      <c r="J458" t="s">
        <v>5010</v>
      </c>
      <c r="K458" t="s">
        <v>2476</v>
      </c>
      <c r="L458" t="s">
        <v>2476</v>
      </c>
      <c r="M458" t="s">
        <v>5011</v>
      </c>
      <c r="N458" t="s">
        <v>875</v>
      </c>
    </row>
    <row r="459" spans="1:14">
      <c r="A459" t="s">
        <v>5012</v>
      </c>
      <c r="B459" t="s">
        <v>5013</v>
      </c>
      <c r="C459" t="s">
        <v>5013</v>
      </c>
      <c r="D459" t="s">
        <v>130</v>
      </c>
      <c r="E459" t="s">
        <v>130</v>
      </c>
      <c r="F459" t="s">
        <v>5014</v>
      </c>
      <c r="G459" t="s">
        <v>5015</v>
      </c>
      <c r="H459" t="s">
        <v>5016</v>
      </c>
      <c r="I459" t="s">
        <v>5017</v>
      </c>
      <c r="J459" t="s">
        <v>5018</v>
      </c>
      <c r="K459" t="s">
        <v>2476</v>
      </c>
      <c r="L459" t="s">
        <v>2476</v>
      </c>
      <c r="M459" t="s">
        <v>5019</v>
      </c>
      <c r="N459" t="s">
        <v>3131</v>
      </c>
    </row>
    <row r="460" spans="1:14">
      <c r="A460" t="s">
        <v>5020</v>
      </c>
      <c r="B460" t="s">
        <v>5021</v>
      </c>
      <c r="C460" t="s">
        <v>5021</v>
      </c>
      <c r="D460" t="s">
        <v>130</v>
      </c>
      <c r="E460" t="s">
        <v>130</v>
      </c>
      <c r="F460" t="s">
        <v>5022</v>
      </c>
      <c r="G460" t="s">
        <v>5023</v>
      </c>
      <c r="H460" t="s">
        <v>5024</v>
      </c>
      <c r="I460" t="s">
        <v>5025</v>
      </c>
      <c r="J460" t="s">
        <v>5026</v>
      </c>
      <c r="K460" t="s">
        <v>2476</v>
      </c>
      <c r="L460" t="s">
        <v>2476</v>
      </c>
      <c r="M460" t="s">
        <v>5027</v>
      </c>
      <c r="N460" t="s">
        <v>5028</v>
      </c>
    </row>
    <row r="461" spans="1:14">
      <c r="A461" t="s">
        <v>5029</v>
      </c>
      <c r="B461" t="s">
        <v>5030</v>
      </c>
      <c r="C461" t="s">
        <v>5030</v>
      </c>
      <c r="D461" t="s">
        <v>130</v>
      </c>
      <c r="E461" t="s">
        <v>130</v>
      </c>
      <c r="F461" t="s">
        <v>5031</v>
      </c>
      <c r="G461" t="s">
        <v>5032</v>
      </c>
      <c r="H461" t="s">
        <v>2683</v>
      </c>
      <c r="I461" t="s">
        <v>5033</v>
      </c>
      <c r="J461" t="s">
        <v>5034</v>
      </c>
      <c r="K461" t="s">
        <v>2476</v>
      </c>
      <c r="L461" t="s">
        <v>2476</v>
      </c>
      <c r="M461" t="s">
        <v>5035</v>
      </c>
      <c r="N461" t="s">
        <v>5036</v>
      </c>
    </row>
    <row r="462" spans="1:14">
      <c r="A462" t="s">
        <v>5037</v>
      </c>
      <c r="B462" t="s">
        <v>5038</v>
      </c>
      <c r="C462" t="s">
        <v>5038</v>
      </c>
      <c r="D462" t="s">
        <v>130</v>
      </c>
      <c r="E462" t="s">
        <v>130</v>
      </c>
      <c r="F462" t="s">
        <v>5039</v>
      </c>
      <c r="G462" t="s">
        <v>5040</v>
      </c>
      <c r="H462" t="s">
        <v>5041</v>
      </c>
      <c r="I462" t="s">
        <v>5042</v>
      </c>
      <c r="J462" t="s">
        <v>5043</v>
      </c>
      <c r="K462" t="s">
        <v>2476</v>
      </c>
      <c r="L462" t="s">
        <v>2476</v>
      </c>
      <c r="M462" t="s">
        <v>5044</v>
      </c>
      <c r="N462" t="s">
        <v>5045</v>
      </c>
    </row>
    <row r="463" spans="1:14">
      <c r="A463" t="s">
        <v>5046</v>
      </c>
      <c r="B463" t="s">
        <v>5047</v>
      </c>
      <c r="C463" t="s">
        <v>5047</v>
      </c>
      <c r="D463" t="s">
        <v>130</v>
      </c>
      <c r="E463" t="s">
        <v>130</v>
      </c>
      <c r="F463" t="s">
        <v>5048</v>
      </c>
      <c r="G463" t="s">
        <v>5049</v>
      </c>
      <c r="H463" t="s">
        <v>5050</v>
      </c>
      <c r="I463" t="s">
        <v>5051</v>
      </c>
      <c r="J463" t="s">
        <v>5052</v>
      </c>
      <c r="K463" t="s">
        <v>2476</v>
      </c>
      <c r="L463" t="s">
        <v>2476</v>
      </c>
      <c r="M463" t="s">
        <v>5053</v>
      </c>
      <c r="N463" t="s">
        <v>5054</v>
      </c>
    </row>
    <row r="464" spans="1:14">
      <c r="A464" t="s">
        <v>5055</v>
      </c>
      <c r="B464" t="s">
        <v>5056</v>
      </c>
      <c r="C464" t="s">
        <v>5056</v>
      </c>
      <c r="D464" t="s">
        <v>130</v>
      </c>
      <c r="E464" t="s">
        <v>130</v>
      </c>
      <c r="F464" t="s">
        <v>5057</v>
      </c>
      <c r="G464" t="s">
        <v>5058</v>
      </c>
      <c r="H464" t="s">
        <v>2836</v>
      </c>
      <c r="I464" t="s">
        <v>5059</v>
      </c>
      <c r="J464" t="s">
        <v>5060</v>
      </c>
      <c r="K464" t="s">
        <v>2476</v>
      </c>
      <c r="L464" t="s">
        <v>2476</v>
      </c>
      <c r="M464" t="s">
        <v>5061</v>
      </c>
      <c r="N464" t="s">
        <v>5062</v>
      </c>
    </row>
    <row r="465" spans="1:14">
      <c r="A465" t="s">
        <v>5063</v>
      </c>
      <c r="B465" t="s">
        <v>5064</v>
      </c>
      <c r="C465" t="s">
        <v>5064</v>
      </c>
      <c r="D465" t="s">
        <v>130</v>
      </c>
      <c r="E465" t="s">
        <v>130</v>
      </c>
      <c r="F465" t="s">
        <v>5065</v>
      </c>
      <c r="G465" t="s">
        <v>5066</v>
      </c>
      <c r="H465" t="s">
        <v>5067</v>
      </c>
      <c r="I465" t="s">
        <v>5068</v>
      </c>
      <c r="J465" t="s">
        <v>5069</v>
      </c>
      <c r="K465" t="s">
        <v>2476</v>
      </c>
      <c r="L465" t="s">
        <v>2476</v>
      </c>
      <c r="M465" t="s">
        <v>130</v>
      </c>
      <c r="N465" t="s">
        <v>131</v>
      </c>
    </row>
    <row r="466" spans="1:14">
      <c r="A466" t="s">
        <v>5070</v>
      </c>
      <c r="B466" t="s">
        <v>5071</v>
      </c>
      <c r="C466" t="s">
        <v>5071</v>
      </c>
      <c r="D466" t="s">
        <v>130</v>
      </c>
      <c r="E466" t="s">
        <v>130</v>
      </c>
      <c r="F466" t="s">
        <v>5072</v>
      </c>
      <c r="G466" t="s">
        <v>5073</v>
      </c>
      <c r="H466" t="s">
        <v>5074</v>
      </c>
      <c r="I466" t="s">
        <v>5075</v>
      </c>
      <c r="J466" t="s">
        <v>5076</v>
      </c>
      <c r="K466" t="s">
        <v>2476</v>
      </c>
      <c r="L466" t="s">
        <v>2476</v>
      </c>
      <c r="M466" t="s">
        <v>130</v>
      </c>
      <c r="N466" t="s">
        <v>131</v>
      </c>
    </row>
    <row r="467" spans="1:14">
      <c r="A467" t="s">
        <v>5077</v>
      </c>
      <c r="B467" t="s">
        <v>5078</v>
      </c>
      <c r="C467" t="s">
        <v>5078</v>
      </c>
      <c r="D467" t="s">
        <v>130</v>
      </c>
      <c r="E467" t="s">
        <v>130</v>
      </c>
      <c r="F467" t="s">
        <v>5079</v>
      </c>
      <c r="G467" t="s">
        <v>5080</v>
      </c>
      <c r="H467" t="s">
        <v>5081</v>
      </c>
      <c r="I467" t="s">
        <v>5082</v>
      </c>
      <c r="J467" t="s">
        <v>5083</v>
      </c>
      <c r="K467" t="s">
        <v>2476</v>
      </c>
      <c r="L467" t="s">
        <v>2476</v>
      </c>
      <c r="M467" t="s">
        <v>130</v>
      </c>
      <c r="N467" t="s">
        <v>131</v>
      </c>
    </row>
    <row r="468" spans="1:14">
      <c r="A468" t="s">
        <v>5084</v>
      </c>
      <c r="B468" t="s">
        <v>5085</v>
      </c>
      <c r="C468" t="s">
        <v>5085</v>
      </c>
      <c r="D468" t="s">
        <v>130</v>
      </c>
      <c r="E468" t="s">
        <v>130</v>
      </c>
      <c r="F468" t="s">
        <v>5086</v>
      </c>
      <c r="G468" t="s">
        <v>5087</v>
      </c>
      <c r="H468" t="s">
        <v>2518</v>
      </c>
      <c r="I468" t="s">
        <v>5088</v>
      </c>
      <c r="J468" t="s">
        <v>5089</v>
      </c>
      <c r="K468" t="s">
        <v>2476</v>
      </c>
      <c r="L468" t="s">
        <v>2476</v>
      </c>
      <c r="M468" t="s">
        <v>130</v>
      </c>
      <c r="N468" t="s">
        <v>131</v>
      </c>
    </row>
    <row r="469" spans="1:14">
      <c r="A469" t="s">
        <v>5090</v>
      </c>
      <c r="B469" t="s">
        <v>5091</v>
      </c>
      <c r="C469" t="s">
        <v>5091</v>
      </c>
      <c r="D469" t="s">
        <v>130</v>
      </c>
      <c r="E469" t="s">
        <v>130</v>
      </c>
      <c r="F469" t="s">
        <v>5092</v>
      </c>
      <c r="G469" t="s">
        <v>5093</v>
      </c>
      <c r="H469" t="s">
        <v>5094</v>
      </c>
      <c r="I469" t="s">
        <v>5095</v>
      </c>
      <c r="J469" t="s">
        <v>5096</v>
      </c>
      <c r="K469" t="s">
        <v>2476</v>
      </c>
      <c r="L469" t="s">
        <v>2476</v>
      </c>
      <c r="M469" t="s">
        <v>5097</v>
      </c>
      <c r="N469" t="s">
        <v>5098</v>
      </c>
    </row>
    <row r="470" spans="1:14">
      <c r="A470" t="s">
        <v>5099</v>
      </c>
      <c r="B470" t="s">
        <v>5100</v>
      </c>
      <c r="C470" t="s">
        <v>5100</v>
      </c>
      <c r="D470" t="s">
        <v>130</v>
      </c>
      <c r="E470" t="s">
        <v>130</v>
      </c>
      <c r="F470" t="s">
        <v>5101</v>
      </c>
      <c r="G470" t="s">
        <v>5102</v>
      </c>
      <c r="H470" t="s">
        <v>2628</v>
      </c>
      <c r="I470" t="s">
        <v>5103</v>
      </c>
      <c r="J470" t="s">
        <v>5104</v>
      </c>
      <c r="K470" t="s">
        <v>2476</v>
      </c>
      <c r="L470" t="s">
        <v>2476</v>
      </c>
      <c r="M470" t="s">
        <v>5105</v>
      </c>
      <c r="N470" t="s">
        <v>5106</v>
      </c>
    </row>
    <row r="471" spans="1:14">
      <c r="A471" t="s">
        <v>5107</v>
      </c>
      <c r="B471" t="s">
        <v>5108</v>
      </c>
      <c r="C471" t="s">
        <v>5108</v>
      </c>
      <c r="D471" t="s">
        <v>130</v>
      </c>
      <c r="E471" t="s">
        <v>130</v>
      </c>
      <c r="F471" t="s">
        <v>5109</v>
      </c>
      <c r="G471" t="s">
        <v>5110</v>
      </c>
      <c r="H471" t="s">
        <v>5111</v>
      </c>
      <c r="I471" t="s">
        <v>5112</v>
      </c>
      <c r="J471" t="s">
        <v>5113</v>
      </c>
      <c r="K471" t="s">
        <v>2476</v>
      </c>
      <c r="L471" t="s">
        <v>2476</v>
      </c>
      <c r="M471" t="s">
        <v>5114</v>
      </c>
      <c r="N471" t="s">
        <v>5115</v>
      </c>
    </row>
    <row r="472" spans="1:14">
      <c r="A472" t="s">
        <v>5116</v>
      </c>
      <c r="B472" t="s">
        <v>5117</v>
      </c>
      <c r="C472" t="s">
        <v>5117</v>
      </c>
      <c r="D472" t="s">
        <v>130</v>
      </c>
      <c r="E472" t="s">
        <v>130</v>
      </c>
      <c r="F472" t="s">
        <v>5118</v>
      </c>
      <c r="G472" t="s">
        <v>5119</v>
      </c>
      <c r="H472" t="s">
        <v>5120</v>
      </c>
      <c r="I472" t="s">
        <v>5121</v>
      </c>
      <c r="J472" t="s">
        <v>5122</v>
      </c>
      <c r="K472" t="s">
        <v>2476</v>
      </c>
      <c r="L472" t="s">
        <v>2476</v>
      </c>
      <c r="M472" t="s">
        <v>5123</v>
      </c>
      <c r="N472" t="s">
        <v>3894</v>
      </c>
    </row>
    <row r="473" spans="1:14">
      <c r="A473" t="s">
        <v>5124</v>
      </c>
      <c r="B473" t="s">
        <v>5125</v>
      </c>
      <c r="C473" t="s">
        <v>5125</v>
      </c>
      <c r="D473" t="s">
        <v>130</v>
      </c>
      <c r="E473" t="s">
        <v>130</v>
      </c>
      <c r="F473" t="s">
        <v>5126</v>
      </c>
      <c r="G473" t="s">
        <v>5127</v>
      </c>
      <c r="H473" t="s">
        <v>5128</v>
      </c>
      <c r="I473" t="s">
        <v>5129</v>
      </c>
      <c r="J473" t="s">
        <v>5130</v>
      </c>
      <c r="K473" t="s">
        <v>2476</v>
      </c>
      <c r="L473" t="s">
        <v>2476</v>
      </c>
      <c r="M473" t="s">
        <v>5131</v>
      </c>
      <c r="N473" t="s">
        <v>5132</v>
      </c>
    </row>
    <row r="474" spans="1:14">
      <c r="A474" t="s">
        <v>5133</v>
      </c>
      <c r="B474" t="s">
        <v>5134</v>
      </c>
      <c r="C474" t="s">
        <v>5134</v>
      </c>
      <c r="D474" t="s">
        <v>130</v>
      </c>
      <c r="E474" t="s">
        <v>130</v>
      </c>
      <c r="F474" t="s">
        <v>5135</v>
      </c>
      <c r="G474" t="s">
        <v>5136</v>
      </c>
      <c r="H474" t="s">
        <v>5016</v>
      </c>
      <c r="I474" t="s">
        <v>5137</v>
      </c>
      <c r="J474" t="s">
        <v>5138</v>
      </c>
      <c r="K474" t="s">
        <v>2476</v>
      </c>
      <c r="L474" t="s">
        <v>2476</v>
      </c>
      <c r="M474" t="s">
        <v>5139</v>
      </c>
      <c r="N474" t="s">
        <v>1831</v>
      </c>
    </row>
    <row r="475" spans="1:14">
      <c r="A475" t="s">
        <v>5140</v>
      </c>
      <c r="B475" t="s">
        <v>5141</v>
      </c>
      <c r="C475" t="s">
        <v>5141</v>
      </c>
      <c r="D475" t="s">
        <v>130</v>
      </c>
      <c r="E475" t="s">
        <v>130</v>
      </c>
      <c r="F475" t="s">
        <v>5142</v>
      </c>
      <c r="G475" t="s">
        <v>5143</v>
      </c>
      <c r="H475" t="s">
        <v>2628</v>
      </c>
      <c r="I475" t="s">
        <v>5144</v>
      </c>
      <c r="J475" t="s">
        <v>5145</v>
      </c>
      <c r="K475" t="s">
        <v>2476</v>
      </c>
      <c r="L475" t="s">
        <v>2476</v>
      </c>
      <c r="M475" t="s">
        <v>5146</v>
      </c>
      <c r="N475" t="s">
        <v>5062</v>
      </c>
    </row>
    <row r="476" spans="1:14">
      <c r="A476" t="s">
        <v>5147</v>
      </c>
      <c r="B476" t="s">
        <v>5148</v>
      </c>
      <c r="C476" t="s">
        <v>5148</v>
      </c>
      <c r="D476" t="s">
        <v>130</v>
      </c>
      <c r="E476" t="s">
        <v>130</v>
      </c>
      <c r="F476" t="s">
        <v>5149</v>
      </c>
      <c r="G476" t="s">
        <v>5150</v>
      </c>
      <c r="H476" t="s">
        <v>5151</v>
      </c>
      <c r="I476" t="s">
        <v>5152</v>
      </c>
      <c r="J476" t="s">
        <v>5153</v>
      </c>
      <c r="K476" t="s">
        <v>2476</v>
      </c>
      <c r="L476" t="s">
        <v>2476</v>
      </c>
      <c r="M476" t="s">
        <v>5154</v>
      </c>
      <c r="N476" t="s">
        <v>5155</v>
      </c>
    </row>
    <row r="477" spans="1:14">
      <c r="A477" t="s">
        <v>5156</v>
      </c>
      <c r="B477" t="s">
        <v>5157</v>
      </c>
      <c r="C477" t="s">
        <v>5157</v>
      </c>
      <c r="D477" t="s">
        <v>130</v>
      </c>
      <c r="E477" t="s">
        <v>130</v>
      </c>
      <c r="F477" t="s">
        <v>5158</v>
      </c>
      <c r="G477" t="s">
        <v>5159</v>
      </c>
      <c r="H477" t="s">
        <v>5160</v>
      </c>
      <c r="I477" t="s">
        <v>5161</v>
      </c>
      <c r="J477" t="s">
        <v>5162</v>
      </c>
      <c r="K477" t="s">
        <v>2476</v>
      </c>
      <c r="L477" t="s">
        <v>2476</v>
      </c>
      <c r="M477" t="s">
        <v>130</v>
      </c>
      <c r="N477" t="s">
        <v>131</v>
      </c>
    </row>
    <row r="478" spans="1:14">
      <c r="A478" t="s">
        <v>5163</v>
      </c>
      <c r="B478" t="s">
        <v>5164</v>
      </c>
      <c r="C478" t="s">
        <v>5164</v>
      </c>
      <c r="D478" t="s">
        <v>130</v>
      </c>
      <c r="E478" t="s">
        <v>130</v>
      </c>
      <c r="F478" t="s">
        <v>5165</v>
      </c>
      <c r="G478" t="s">
        <v>5166</v>
      </c>
      <c r="H478" t="s">
        <v>5167</v>
      </c>
      <c r="I478" t="s">
        <v>5168</v>
      </c>
      <c r="J478" t="s">
        <v>5169</v>
      </c>
      <c r="K478" t="s">
        <v>2476</v>
      </c>
      <c r="L478" t="s">
        <v>2476</v>
      </c>
      <c r="M478" t="s">
        <v>130</v>
      </c>
      <c r="N478" t="s">
        <v>131</v>
      </c>
    </row>
    <row r="479" spans="1:14">
      <c r="A479" t="s">
        <v>5170</v>
      </c>
      <c r="B479" t="s">
        <v>5171</v>
      </c>
      <c r="C479" t="s">
        <v>5171</v>
      </c>
      <c r="D479" t="s">
        <v>130</v>
      </c>
      <c r="E479" t="s">
        <v>130</v>
      </c>
      <c r="F479" t="s">
        <v>5172</v>
      </c>
      <c r="G479" t="s">
        <v>5173</v>
      </c>
      <c r="H479" t="s">
        <v>2727</v>
      </c>
      <c r="I479" t="s">
        <v>5174</v>
      </c>
      <c r="J479" t="s">
        <v>5175</v>
      </c>
      <c r="K479" t="s">
        <v>2476</v>
      </c>
      <c r="L479" t="s">
        <v>2476</v>
      </c>
      <c r="M479" t="s">
        <v>130</v>
      </c>
      <c r="N479" t="s">
        <v>131</v>
      </c>
    </row>
    <row r="480" spans="1:14">
      <c r="A480" t="s">
        <v>5176</v>
      </c>
      <c r="B480" t="s">
        <v>5177</v>
      </c>
      <c r="C480" t="s">
        <v>5177</v>
      </c>
      <c r="D480" t="s">
        <v>130</v>
      </c>
      <c r="E480" t="s">
        <v>130</v>
      </c>
      <c r="F480" t="s">
        <v>5178</v>
      </c>
      <c r="G480" t="s">
        <v>5179</v>
      </c>
      <c r="H480" t="s">
        <v>5180</v>
      </c>
      <c r="I480" t="s">
        <v>5181</v>
      </c>
      <c r="J480" t="s">
        <v>5182</v>
      </c>
      <c r="K480" t="s">
        <v>2476</v>
      </c>
      <c r="L480" t="s">
        <v>2476</v>
      </c>
      <c r="M480" t="s">
        <v>130</v>
      </c>
      <c r="N480" t="s">
        <v>131</v>
      </c>
    </row>
    <row r="481" spans="1:14">
      <c r="A481" t="s">
        <v>5183</v>
      </c>
      <c r="B481" t="s">
        <v>5184</v>
      </c>
      <c r="C481" t="s">
        <v>5184</v>
      </c>
      <c r="D481" t="s">
        <v>130</v>
      </c>
      <c r="E481" t="s">
        <v>130</v>
      </c>
      <c r="F481" t="s">
        <v>5185</v>
      </c>
      <c r="G481" t="s">
        <v>5186</v>
      </c>
      <c r="H481" t="s">
        <v>5187</v>
      </c>
      <c r="I481" t="s">
        <v>5188</v>
      </c>
      <c r="J481" t="s">
        <v>5189</v>
      </c>
      <c r="K481" t="s">
        <v>2476</v>
      </c>
      <c r="L481" t="s">
        <v>2476</v>
      </c>
      <c r="M481" t="s">
        <v>5190</v>
      </c>
      <c r="N481" t="s">
        <v>5191</v>
      </c>
    </row>
    <row r="482" spans="1:14">
      <c r="A482" t="s">
        <v>5192</v>
      </c>
      <c r="B482" t="s">
        <v>5193</v>
      </c>
      <c r="C482" t="s">
        <v>5193</v>
      </c>
      <c r="D482" t="s">
        <v>130</v>
      </c>
      <c r="E482" t="s">
        <v>130</v>
      </c>
      <c r="F482" t="s">
        <v>5194</v>
      </c>
      <c r="G482" t="s">
        <v>5195</v>
      </c>
      <c r="H482" t="s">
        <v>2795</v>
      </c>
      <c r="I482" t="s">
        <v>5196</v>
      </c>
      <c r="J482" t="s">
        <v>5197</v>
      </c>
      <c r="K482" t="s">
        <v>2476</v>
      </c>
      <c r="L482" t="s">
        <v>2476</v>
      </c>
      <c r="M482" t="s">
        <v>5198</v>
      </c>
      <c r="N482" t="s">
        <v>5199</v>
      </c>
    </row>
    <row r="483" spans="1:14">
      <c r="A483" t="s">
        <v>5200</v>
      </c>
      <c r="B483" t="s">
        <v>5201</v>
      </c>
      <c r="C483" t="s">
        <v>5201</v>
      </c>
      <c r="D483" t="s">
        <v>130</v>
      </c>
      <c r="E483" t="s">
        <v>130</v>
      </c>
      <c r="F483" t="s">
        <v>5202</v>
      </c>
      <c r="G483" t="s">
        <v>5203</v>
      </c>
      <c r="H483" t="s">
        <v>5204</v>
      </c>
      <c r="I483" t="s">
        <v>5205</v>
      </c>
      <c r="J483" t="s">
        <v>5206</v>
      </c>
      <c r="K483" t="s">
        <v>2476</v>
      </c>
      <c r="L483" t="s">
        <v>2476</v>
      </c>
      <c r="M483" t="s">
        <v>5207</v>
      </c>
      <c r="N483" t="s">
        <v>5208</v>
      </c>
    </row>
    <row r="484" spans="1:14">
      <c r="A484" t="s">
        <v>5209</v>
      </c>
      <c r="B484" t="s">
        <v>5210</v>
      </c>
      <c r="C484" t="s">
        <v>5210</v>
      </c>
      <c r="D484" t="s">
        <v>130</v>
      </c>
      <c r="E484" t="s">
        <v>130</v>
      </c>
      <c r="F484" t="s">
        <v>5211</v>
      </c>
      <c r="G484" t="s">
        <v>5212</v>
      </c>
      <c r="H484" t="s">
        <v>5213</v>
      </c>
      <c r="I484" t="s">
        <v>5214</v>
      </c>
      <c r="J484" t="s">
        <v>5215</v>
      </c>
      <c r="K484" t="s">
        <v>2476</v>
      </c>
      <c r="L484" t="s">
        <v>2476</v>
      </c>
      <c r="M484" t="s">
        <v>5216</v>
      </c>
      <c r="N484" t="s">
        <v>5217</v>
      </c>
    </row>
    <row r="485" spans="1:14">
      <c r="A485" t="s">
        <v>5218</v>
      </c>
      <c r="B485" t="s">
        <v>5219</v>
      </c>
      <c r="C485" t="s">
        <v>5219</v>
      </c>
      <c r="D485" t="s">
        <v>130</v>
      </c>
      <c r="E485" t="s">
        <v>130</v>
      </c>
      <c r="F485" t="s">
        <v>5220</v>
      </c>
      <c r="G485" t="s">
        <v>5221</v>
      </c>
      <c r="H485" t="s">
        <v>2775</v>
      </c>
      <c r="I485" t="s">
        <v>5222</v>
      </c>
      <c r="J485" t="s">
        <v>5223</v>
      </c>
      <c r="K485" t="s">
        <v>2476</v>
      </c>
      <c r="L485" t="s">
        <v>2476</v>
      </c>
      <c r="M485" t="s">
        <v>5224</v>
      </c>
      <c r="N485" t="s">
        <v>5225</v>
      </c>
    </row>
    <row r="486" spans="1:14">
      <c r="A486" t="s">
        <v>5226</v>
      </c>
      <c r="B486" t="s">
        <v>5227</v>
      </c>
      <c r="C486" t="s">
        <v>5227</v>
      </c>
      <c r="D486" t="s">
        <v>130</v>
      </c>
      <c r="E486" t="s">
        <v>130</v>
      </c>
      <c r="F486" t="s">
        <v>5228</v>
      </c>
      <c r="G486" t="s">
        <v>5229</v>
      </c>
      <c r="H486" t="s">
        <v>3061</v>
      </c>
      <c r="I486" t="s">
        <v>5230</v>
      </c>
      <c r="J486" t="s">
        <v>5231</v>
      </c>
      <c r="K486" t="s">
        <v>2476</v>
      </c>
      <c r="L486" t="s">
        <v>2476</v>
      </c>
      <c r="M486" t="s">
        <v>5232</v>
      </c>
      <c r="N486" t="s">
        <v>237</v>
      </c>
    </row>
    <row r="487" spans="1:14">
      <c r="A487" t="s">
        <v>5233</v>
      </c>
      <c r="B487" t="s">
        <v>5234</v>
      </c>
      <c r="C487" t="s">
        <v>5234</v>
      </c>
      <c r="D487" t="s">
        <v>130</v>
      </c>
      <c r="E487" t="s">
        <v>130</v>
      </c>
      <c r="F487" t="s">
        <v>5235</v>
      </c>
      <c r="G487" t="s">
        <v>5236</v>
      </c>
      <c r="H487" t="s">
        <v>4999</v>
      </c>
      <c r="I487" t="s">
        <v>5237</v>
      </c>
      <c r="J487" t="s">
        <v>5238</v>
      </c>
      <c r="K487" t="s">
        <v>2476</v>
      </c>
      <c r="L487" t="s">
        <v>2476</v>
      </c>
      <c r="M487" t="s">
        <v>5239</v>
      </c>
      <c r="N487" t="s">
        <v>5240</v>
      </c>
    </row>
    <row r="488" spans="1:14">
      <c r="A488" t="s">
        <v>5241</v>
      </c>
      <c r="B488" t="s">
        <v>4668</v>
      </c>
      <c r="C488" t="s">
        <v>4668</v>
      </c>
      <c r="D488" t="s">
        <v>130</v>
      </c>
      <c r="E488" t="s">
        <v>130</v>
      </c>
      <c r="F488" t="s">
        <v>5242</v>
      </c>
      <c r="G488" t="s">
        <v>5243</v>
      </c>
      <c r="H488" t="s">
        <v>4786</v>
      </c>
      <c r="I488" t="s">
        <v>5244</v>
      </c>
      <c r="J488" t="s">
        <v>5245</v>
      </c>
      <c r="K488" t="s">
        <v>2476</v>
      </c>
      <c r="L488" t="s">
        <v>2476</v>
      </c>
      <c r="M488" t="s">
        <v>5246</v>
      </c>
      <c r="N488" t="s">
        <v>5247</v>
      </c>
    </row>
    <row r="489" spans="1:14">
      <c r="A489" t="s">
        <v>5248</v>
      </c>
      <c r="B489" t="s">
        <v>5249</v>
      </c>
      <c r="C489" t="s">
        <v>5249</v>
      </c>
      <c r="D489" t="s">
        <v>130</v>
      </c>
      <c r="E489" t="s">
        <v>130</v>
      </c>
      <c r="F489" t="s">
        <v>5250</v>
      </c>
      <c r="G489" t="s">
        <v>5229</v>
      </c>
      <c r="H489" t="s">
        <v>2906</v>
      </c>
      <c r="I489" t="s">
        <v>5251</v>
      </c>
      <c r="J489" t="s">
        <v>5252</v>
      </c>
      <c r="K489" t="s">
        <v>2476</v>
      </c>
      <c r="L489" t="s">
        <v>2476</v>
      </c>
      <c r="M489" t="s">
        <v>130</v>
      </c>
      <c r="N489" t="s">
        <v>131</v>
      </c>
    </row>
    <row r="490" spans="1:14">
      <c r="A490" t="s">
        <v>5253</v>
      </c>
      <c r="B490" t="s">
        <v>5254</v>
      </c>
      <c r="C490" t="s">
        <v>5254</v>
      </c>
      <c r="D490" t="s">
        <v>130</v>
      </c>
      <c r="E490" t="s">
        <v>130</v>
      </c>
      <c r="F490" t="s">
        <v>5255</v>
      </c>
      <c r="G490" t="s">
        <v>5256</v>
      </c>
      <c r="H490" t="s">
        <v>4042</v>
      </c>
      <c r="I490" t="s">
        <v>5257</v>
      </c>
      <c r="J490" t="s">
        <v>5258</v>
      </c>
      <c r="K490" t="s">
        <v>2476</v>
      </c>
      <c r="L490" t="s">
        <v>2476</v>
      </c>
      <c r="M490" t="s">
        <v>130</v>
      </c>
      <c r="N490" t="s">
        <v>131</v>
      </c>
    </row>
    <row r="491" spans="1:14">
      <c r="A491" t="s">
        <v>5259</v>
      </c>
      <c r="B491" t="s">
        <v>5260</v>
      </c>
      <c r="C491" t="s">
        <v>5260</v>
      </c>
      <c r="D491" t="s">
        <v>130</v>
      </c>
      <c r="E491" t="s">
        <v>130</v>
      </c>
      <c r="F491" t="s">
        <v>5261</v>
      </c>
      <c r="G491" t="s">
        <v>5262</v>
      </c>
      <c r="H491" t="s">
        <v>3819</v>
      </c>
      <c r="I491" t="s">
        <v>5263</v>
      </c>
      <c r="J491" t="s">
        <v>5264</v>
      </c>
      <c r="K491" t="s">
        <v>2476</v>
      </c>
      <c r="L491" t="s">
        <v>2476</v>
      </c>
      <c r="M491" t="s">
        <v>130</v>
      </c>
      <c r="N491" t="s">
        <v>131</v>
      </c>
    </row>
    <row r="492" spans="1:14">
      <c r="A492" t="s">
        <v>5265</v>
      </c>
      <c r="B492" t="s">
        <v>5266</v>
      </c>
      <c r="C492" t="s">
        <v>5266</v>
      </c>
      <c r="D492" t="s">
        <v>130</v>
      </c>
      <c r="E492" t="s">
        <v>130</v>
      </c>
      <c r="F492" t="s">
        <v>5267</v>
      </c>
      <c r="G492" t="s">
        <v>5268</v>
      </c>
      <c r="H492" t="s">
        <v>5269</v>
      </c>
      <c r="I492" t="s">
        <v>5270</v>
      </c>
      <c r="J492" t="s">
        <v>5271</v>
      </c>
      <c r="K492" t="s">
        <v>2476</v>
      </c>
      <c r="L492" t="s">
        <v>2476</v>
      </c>
      <c r="M492" t="s">
        <v>130</v>
      </c>
      <c r="N492" t="s">
        <v>131</v>
      </c>
    </row>
    <row r="493" spans="1:14">
      <c r="A493" t="s">
        <v>5272</v>
      </c>
      <c r="B493" t="s">
        <v>5273</v>
      </c>
      <c r="C493" t="s">
        <v>5273</v>
      </c>
      <c r="D493" t="s">
        <v>130</v>
      </c>
      <c r="E493" t="s">
        <v>130</v>
      </c>
      <c r="F493" t="s">
        <v>5274</v>
      </c>
      <c r="G493" t="s">
        <v>5275</v>
      </c>
      <c r="H493" t="s">
        <v>5276</v>
      </c>
      <c r="I493" t="s">
        <v>5277</v>
      </c>
      <c r="J493" t="s">
        <v>5278</v>
      </c>
      <c r="K493" t="s">
        <v>2476</v>
      </c>
      <c r="L493" t="s">
        <v>2476</v>
      </c>
      <c r="M493" t="s">
        <v>5279</v>
      </c>
      <c r="N493" t="s">
        <v>5280</v>
      </c>
    </row>
    <row r="494" spans="1:14">
      <c r="A494" t="s">
        <v>5281</v>
      </c>
      <c r="B494" t="s">
        <v>5282</v>
      </c>
      <c r="C494" t="s">
        <v>5282</v>
      </c>
      <c r="D494" t="s">
        <v>130</v>
      </c>
      <c r="E494" t="s">
        <v>130</v>
      </c>
      <c r="F494" t="s">
        <v>5283</v>
      </c>
      <c r="G494" t="s">
        <v>5284</v>
      </c>
      <c r="H494" t="s">
        <v>5285</v>
      </c>
      <c r="I494" t="s">
        <v>5286</v>
      </c>
      <c r="J494" t="s">
        <v>5287</v>
      </c>
      <c r="K494" t="s">
        <v>2476</v>
      </c>
      <c r="L494" t="s">
        <v>2476</v>
      </c>
      <c r="M494" t="s">
        <v>5288</v>
      </c>
      <c r="N494" t="s">
        <v>5289</v>
      </c>
    </row>
    <row r="495" spans="1:14">
      <c r="A495" t="s">
        <v>5290</v>
      </c>
      <c r="B495" t="s">
        <v>5291</v>
      </c>
      <c r="C495" t="s">
        <v>5291</v>
      </c>
      <c r="D495" t="s">
        <v>130</v>
      </c>
      <c r="E495" t="s">
        <v>130</v>
      </c>
      <c r="F495" t="s">
        <v>5292</v>
      </c>
      <c r="G495" t="s">
        <v>5293</v>
      </c>
      <c r="H495" t="s">
        <v>4686</v>
      </c>
      <c r="I495" t="s">
        <v>5294</v>
      </c>
      <c r="J495" t="s">
        <v>5295</v>
      </c>
      <c r="K495" t="s">
        <v>2476</v>
      </c>
      <c r="L495" t="s">
        <v>2476</v>
      </c>
      <c r="M495" t="s">
        <v>5296</v>
      </c>
      <c r="N495" t="s">
        <v>5297</v>
      </c>
    </row>
    <row r="496" spans="1:14">
      <c r="A496" t="s">
        <v>5298</v>
      </c>
      <c r="B496" t="s">
        <v>5299</v>
      </c>
      <c r="C496" t="s">
        <v>5299</v>
      </c>
      <c r="D496" t="s">
        <v>130</v>
      </c>
      <c r="E496" t="s">
        <v>130</v>
      </c>
      <c r="F496" t="s">
        <v>5300</v>
      </c>
      <c r="G496" t="s">
        <v>5301</v>
      </c>
      <c r="H496" t="s">
        <v>5302</v>
      </c>
      <c r="I496" t="s">
        <v>5303</v>
      </c>
      <c r="J496" t="s">
        <v>5304</v>
      </c>
      <c r="K496" t="s">
        <v>2476</v>
      </c>
      <c r="L496" t="s">
        <v>2476</v>
      </c>
      <c r="M496" t="s">
        <v>5305</v>
      </c>
      <c r="N496" t="s">
        <v>3894</v>
      </c>
    </row>
    <row r="497" spans="1:14">
      <c r="A497" t="s">
        <v>5306</v>
      </c>
      <c r="B497" t="s">
        <v>5307</v>
      </c>
      <c r="C497" t="s">
        <v>5307</v>
      </c>
      <c r="D497" t="s">
        <v>130</v>
      </c>
      <c r="E497" t="s">
        <v>130</v>
      </c>
      <c r="F497" t="s">
        <v>5308</v>
      </c>
      <c r="G497" t="s">
        <v>5309</v>
      </c>
      <c r="H497" t="s">
        <v>5310</v>
      </c>
      <c r="I497" t="s">
        <v>2886</v>
      </c>
      <c r="J497" t="s">
        <v>5311</v>
      </c>
      <c r="K497" t="s">
        <v>2476</v>
      </c>
      <c r="L497" t="s">
        <v>2476</v>
      </c>
      <c r="M497" t="s">
        <v>5312</v>
      </c>
      <c r="N497" t="s">
        <v>5313</v>
      </c>
    </row>
    <row r="498" spans="1:14">
      <c r="A498" t="s">
        <v>5314</v>
      </c>
      <c r="B498" t="s">
        <v>5315</v>
      </c>
      <c r="C498" t="s">
        <v>5315</v>
      </c>
      <c r="D498" t="s">
        <v>130</v>
      </c>
      <c r="E498" t="s">
        <v>130</v>
      </c>
      <c r="F498" t="s">
        <v>5316</v>
      </c>
      <c r="G498" t="s">
        <v>5317</v>
      </c>
      <c r="H498" t="s">
        <v>5318</v>
      </c>
      <c r="I498" t="s">
        <v>5319</v>
      </c>
      <c r="J498" t="s">
        <v>5320</v>
      </c>
      <c r="K498" t="s">
        <v>2476</v>
      </c>
      <c r="L498" t="s">
        <v>2476</v>
      </c>
      <c r="M498" t="s">
        <v>5321</v>
      </c>
      <c r="N498" t="s">
        <v>1153</v>
      </c>
    </row>
    <row r="499" spans="1:14">
      <c r="A499" t="s">
        <v>5322</v>
      </c>
      <c r="B499" t="s">
        <v>5323</v>
      </c>
      <c r="C499" t="s">
        <v>5323</v>
      </c>
      <c r="D499" t="s">
        <v>130</v>
      </c>
      <c r="E499" t="s">
        <v>130</v>
      </c>
      <c r="F499" t="s">
        <v>5324</v>
      </c>
      <c r="G499" t="s">
        <v>5325</v>
      </c>
      <c r="H499" t="s">
        <v>3061</v>
      </c>
      <c r="I499" t="s">
        <v>5326</v>
      </c>
      <c r="J499" t="s">
        <v>5327</v>
      </c>
      <c r="K499" t="s">
        <v>2476</v>
      </c>
      <c r="L499" t="s">
        <v>2476</v>
      </c>
      <c r="M499" t="s">
        <v>5328</v>
      </c>
      <c r="N499" t="s">
        <v>5036</v>
      </c>
    </row>
    <row r="500" spans="1:14">
      <c r="A500" t="s">
        <v>5329</v>
      </c>
      <c r="B500" t="s">
        <v>5330</v>
      </c>
      <c r="C500" t="s">
        <v>5330</v>
      </c>
      <c r="D500" t="s">
        <v>130</v>
      </c>
      <c r="E500" t="s">
        <v>130</v>
      </c>
      <c r="F500" t="s">
        <v>5331</v>
      </c>
      <c r="G500" t="s">
        <v>5332</v>
      </c>
      <c r="H500" t="s">
        <v>5333</v>
      </c>
      <c r="I500" t="s">
        <v>5334</v>
      </c>
      <c r="J500" t="s">
        <v>5335</v>
      </c>
      <c r="K500" t="s">
        <v>2476</v>
      </c>
      <c r="L500" t="s">
        <v>2476</v>
      </c>
      <c r="M500" t="s">
        <v>5336</v>
      </c>
      <c r="N500" t="s">
        <v>4764</v>
      </c>
    </row>
    <row r="501" spans="1:14">
      <c r="A501" t="s">
        <v>5337</v>
      </c>
      <c r="B501" t="s">
        <v>4029</v>
      </c>
      <c r="C501" t="s">
        <v>4029</v>
      </c>
      <c r="D501" t="s">
        <v>130</v>
      </c>
      <c r="E501" t="s">
        <v>130</v>
      </c>
      <c r="F501" t="s">
        <v>5338</v>
      </c>
      <c r="G501" t="s">
        <v>5339</v>
      </c>
      <c r="H501" t="s">
        <v>5340</v>
      </c>
      <c r="I501" t="s">
        <v>5341</v>
      </c>
      <c r="J501" t="s">
        <v>5342</v>
      </c>
      <c r="K501" t="s">
        <v>2476</v>
      </c>
      <c r="L501" t="s">
        <v>2476</v>
      </c>
      <c r="M501" t="s">
        <v>130</v>
      </c>
      <c r="N501" t="s">
        <v>131</v>
      </c>
    </row>
    <row r="502" spans="1:14">
      <c r="A502" t="s">
        <v>5343</v>
      </c>
      <c r="B502" t="s">
        <v>5344</v>
      </c>
      <c r="C502" t="s">
        <v>5344</v>
      </c>
      <c r="D502" t="s">
        <v>130</v>
      </c>
      <c r="E502" t="s">
        <v>130</v>
      </c>
      <c r="F502" t="s">
        <v>5345</v>
      </c>
      <c r="G502" t="s">
        <v>5346</v>
      </c>
      <c r="H502" t="s">
        <v>5347</v>
      </c>
      <c r="I502" t="s">
        <v>5348</v>
      </c>
      <c r="J502" t="s">
        <v>5349</v>
      </c>
      <c r="K502" t="s">
        <v>2476</v>
      </c>
      <c r="L502" t="s">
        <v>2476</v>
      </c>
      <c r="M502" t="s">
        <v>130</v>
      </c>
      <c r="N502" t="s">
        <v>131</v>
      </c>
    </row>
    <row r="503" spans="1:14">
      <c r="A503" t="s">
        <v>5350</v>
      </c>
      <c r="B503" t="s">
        <v>5351</v>
      </c>
      <c r="C503" t="s">
        <v>5351</v>
      </c>
      <c r="D503" t="s">
        <v>130</v>
      </c>
      <c r="E503" t="s">
        <v>130</v>
      </c>
      <c r="F503" t="s">
        <v>5352</v>
      </c>
      <c r="G503" t="s">
        <v>5353</v>
      </c>
      <c r="H503" t="s">
        <v>5354</v>
      </c>
      <c r="I503" t="s">
        <v>5355</v>
      </c>
      <c r="J503" t="s">
        <v>5356</v>
      </c>
      <c r="K503" t="s">
        <v>2476</v>
      </c>
      <c r="L503" t="s">
        <v>2476</v>
      </c>
      <c r="M503" t="s">
        <v>130</v>
      </c>
      <c r="N503" t="s">
        <v>131</v>
      </c>
    </row>
    <row r="504" spans="1:14">
      <c r="A504" t="s">
        <v>5357</v>
      </c>
      <c r="B504" t="s">
        <v>5358</v>
      </c>
      <c r="C504" t="s">
        <v>5358</v>
      </c>
      <c r="D504" t="s">
        <v>130</v>
      </c>
      <c r="E504" t="s">
        <v>130</v>
      </c>
      <c r="F504" t="s">
        <v>5359</v>
      </c>
      <c r="G504" t="s">
        <v>5360</v>
      </c>
      <c r="H504" t="s">
        <v>3453</v>
      </c>
      <c r="I504" t="s">
        <v>5361</v>
      </c>
      <c r="J504" t="s">
        <v>5362</v>
      </c>
      <c r="K504" t="s">
        <v>2476</v>
      </c>
      <c r="L504" t="s">
        <v>2476</v>
      </c>
      <c r="M504" t="s">
        <v>130</v>
      </c>
      <c r="N504" t="s">
        <v>131</v>
      </c>
    </row>
    <row r="505" spans="1:14">
      <c r="A505" t="s">
        <v>5363</v>
      </c>
      <c r="B505" t="s">
        <v>5364</v>
      </c>
      <c r="C505" t="s">
        <v>5364</v>
      </c>
      <c r="D505" t="s">
        <v>130</v>
      </c>
      <c r="E505" t="s">
        <v>130</v>
      </c>
      <c r="F505" t="s">
        <v>5365</v>
      </c>
      <c r="G505" t="s">
        <v>5366</v>
      </c>
      <c r="H505" t="s">
        <v>4058</v>
      </c>
      <c r="I505" t="s">
        <v>5367</v>
      </c>
      <c r="J505" t="s">
        <v>5368</v>
      </c>
      <c r="K505" t="s">
        <v>2476</v>
      </c>
      <c r="L505" t="s">
        <v>2476</v>
      </c>
      <c r="M505" t="s">
        <v>5369</v>
      </c>
      <c r="N505" t="s">
        <v>5370</v>
      </c>
    </row>
    <row r="506" spans="1:14">
      <c r="A506" t="s">
        <v>5371</v>
      </c>
      <c r="B506" t="s">
        <v>5372</v>
      </c>
      <c r="C506" t="s">
        <v>5372</v>
      </c>
      <c r="D506" t="s">
        <v>130</v>
      </c>
      <c r="E506" t="s">
        <v>130</v>
      </c>
      <c r="F506" t="s">
        <v>5373</v>
      </c>
      <c r="G506" t="s">
        <v>5374</v>
      </c>
      <c r="H506" t="s">
        <v>5375</v>
      </c>
      <c r="I506" t="s">
        <v>2631</v>
      </c>
      <c r="J506" t="s">
        <v>5376</v>
      </c>
      <c r="K506" t="s">
        <v>2476</v>
      </c>
      <c r="L506" t="s">
        <v>2476</v>
      </c>
      <c r="M506" t="s">
        <v>5377</v>
      </c>
      <c r="N506" t="s">
        <v>3119</v>
      </c>
    </row>
    <row r="507" spans="1:14">
      <c r="A507" t="s">
        <v>5378</v>
      </c>
      <c r="B507" t="s">
        <v>5379</v>
      </c>
      <c r="C507" t="s">
        <v>5379</v>
      </c>
      <c r="D507" t="s">
        <v>130</v>
      </c>
      <c r="E507" t="s">
        <v>130</v>
      </c>
      <c r="F507" t="s">
        <v>5380</v>
      </c>
      <c r="G507" t="s">
        <v>5381</v>
      </c>
      <c r="H507" t="s">
        <v>2883</v>
      </c>
      <c r="I507" t="s">
        <v>5382</v>
      </c>
      <c r="J507" t="s">
        <v>5383</v>
      </c>
      <c r="K507" t="s">
        <v>2476</v>
      </c>
      <c r="L507" t="s">
        <v>2476</v>
      </c>
      <c r="M507" t="s">
        <v>5384</v>
      </c>
      <c r="N507" t="s">
        <v>5385</v>
      </c>
    </row>
    <row r="508" spans="1:14">
      <c r="A508" t="s">
        <v>5386</v>
      </c>
      <c r="B508" t="s">
        <v>5387</v>
      </c>
      <c r="C508" t="s">
        <v>5387</v>
      </c>
      <c r="D508" t="s">
        <v>130</v>
      </c>
      <c r="E508" t="s">
        <v>130</v>
      </c>
      <c r="F508" t="s">
        <v>5388</v>
      </c>
      <c r="G508" t="s">
        <v>5389</v>
      </c>
      <c r="H508" t="s">
        <v>4906</v>
      </c>
      <c r="I508" t="s">
        <v>5390</v>
      </c>
      <c r="J508" t="s">
        <v>5391</v>
      </c>
      <c r="K508" t="s">
        <v>2476</v>
      </c>
      <c r="L508" t="s">
        <v>2476</v>
      </c>
      <c r="M508" t="s">
        <v>5392</v>
      </c>
      <c r="N508" t="s">
        <v>1325</v>
      </c>
    </row>
    <row r="509" spans="1:14">
      <c r="A509" t="s">
        <v>5393</v>
      </c>
      <c r="B509" t="s">
        <v>5394</v>
      </c>
      <c r="C509" t="s">
        <v>5394</v>
      </c>
      <c r="D509" t="s">
        <v>130</v>
      </c>
      <c r="E509" t="s">
        <v>130</v>
      </c>
      <c r="F509" t="s">
        <v>5395</v>
      </c>
      <c r="G509" t="s">
        <v>5396</v>
      </c>
      <c r="H509" t="s">
        <v>5397</v>
      </c>
      <c r="I509" t="s">
        <v>5398</v>
      </c>
      <c r="J509" t="s">
        <v>5399</v>
      </c>
      <c r="K509" t="s">
        <v>2476</v>
      </c>
      <c r="L509" t="s">
        <v>2476</v>
      </c>
      <c r="M509" t="s">
        <v>5400</v>
      </c>
      <c r="N509" t="s">
        <v>5401</v>
      </c>
    </row>
    <row r="510" spans="1:14">
      <c r="A510" t="s">
        <v>5402</v>
      </c>
      <c r="B510" t="s">
        <v>5403</v>
      </c>
      <c r="C510" t="s">
        <v>5403</v>
      </c>
      <c r="D510" t="s">
        <v>130</v>
      </c>
      <c r="E510" t="s">
        <v>130</v>
      </c>
      <c r="F510" t="s">
        <v>5404</v>
      </c>
      <c r="G510" t="s">
        <v>5405</v>
      </c>
      <c r="H510" t="s">
        <v>4227</v>
      </c>
      <c r="I510" t="s">
        <v>5406</v>
      </c>
      <c r="J510" t="s">
        <v>5407</v>
      </c>
      <c r="K510" t="s">
        <v>2476</v>
      </c>
      <c r="L510" t="s">
        <v>2476</v>
      </c>
      <c r="M510" t="s">
        <v>5408</v>
      </c>
      <c r="N510" t="s">
        <v>5409</v>
      </c>
    </row>
    <row r="511" spans="1:14">
      <c r="A511" t="s">
        <v>5410</v>
      </c>
      <c r="B511" t="s">
        <v>5411</v>
      </c>
      <c r="C511" t="s">
        <v>5411</v>
      </c>
      <c r="D511" t="s">
        <v>130</v>
      </c>
      <c r="E511" t="s">
        <v>130</v>
      </c>
      <c r="F511" t="s">
        <v>5412</v>
      </c>
      <c r="G511" t="s">
        <v>5413</v>
      </c>
      <c r="H511" t="s">
        <v>5414</v>
      </c>
      <c r="I511" t="s">
        <v>5415</v>
      </c>
      <c r="J511" t="s">
        <v>5416</v>
      </c>
      <c r="K511" t="s">
        <v>2476</v>
      </c>
      <c r="L511" t="s">
        <v>2476</v>
      </c>
      <c r="M511" t="s">
        <v>5417</v>
      </c>
      <c r="N511" t="s">
        <v>3361</v>
      </c>
    </row>
    <row r="512" spans="1:14">
      <c r="A512" t="s">
        <v>5418</v>
      </c>
      <c r="B512" t="s">
        <v>5419</v>
      </c>
      <c r="C512" t="s">
        <v>5419</v>
      </c>
      <c r="D512" t="s">
        <v>130</v>
      </c>
      <c r="E512" t="s">
        <v>130</v>
      </c>
      <c r="F512" t="s">
        <v>5420</v>
      </c>
      <c r="G512" t="s">
        <v>5421</v>
      </c>
      <c r="H512" t="s">
        <v>3266</v>
      </c>
      <c r="I512" t="s">
        <v>5422</v>
      </c>
      <c r="J512" t="s">
        <v>5423</v>
      </c>
      <c r="K512" t="s">
        <v>2476</v>
      </c>
      <c r="L512" t="s">
        <v>2476</v>
      </c>
      <c r="M512" t="s">
        <v>5424</v>
      </c>
      <c r="N512" t="s">
        <v>4114</v>
      </c>
    </row>
    <row r="513" spans="1:14">
      <c r="A513" t="s">
        <v>5425</v>
      </c>
      <c r="B513" t="s">
        <v>5426</v>
      </c>
      <c r="C513" t="s">
        <v>5426</v>
      </c>
      <c r="D513" t="s">
        <v>130</v>
      </c>
      <c r="E513" t="s">
        <v>130</v>
      </c>
      <c r="F513" t="s">
        <v>5427</v>
      </c>
      <c r="G513" t="s">
        <v>5428</v>
      </c>
      <c r="H513" t="s">
        <v>5269</v>
      </c>
      <c r="I513" t="s">
        <v>5429</v>
      </c>
      <c r="J513" t="s">
        <v>5430</v>
      </c>
      <c r="K513" t="s">
        <v>2476</v>
      </c>
      <c r="L513" t="s">
        <v>2476</v>
      </c>
      <c r="M513" t="s">
        <v>130</v>
      </c>
      <c r="N513" t="s">
        <v>131</v>
      </c>
    </row>
    <row r="514" spans="1:14">
      <c r="A514" t="s">
        <v>5431</v>
      </c>
      <c r="B514" t="s">
        <v>5432</v>
      </c>
      <c r="C514" t="s">
        <v>5432</v>
      </c>
      <c r="D514" t="s">
        <v>130</v>
      </c>
      <c r="E514" t="s">
        <v>130</v>
      </c>
      <c r="F514" t="s">
        <v>5433</v>
      </c>
      <c r="G514" t="s">
        <v>5434</v>
      </c>
      <c r="H514" t="s">
        <v>5435</v>
      </c>
      <c r="I514" t="s">
        <v>5436</v>
      </c>
      <c r="J514" t="s">
        <v>5437</v>
      </c>
      <c r="K514" t="s">
        <v>2476</v>
      </c>
      <c r="L514" t="s">
        <v>2476</v>
      </c>
      <c r="M514" t="s">
        <v>130</v>
      </c>
      <c r="N514" t="s">
        <v>131</v>
      </c>
    </row>
    <row r="515" spans="1:14">
      <c r="A515" t="s">
        <v>5438</v>
      </c>
      <c r="B515" t="s">
        <v>5439</v>
      </c>
      <c r="C515" t="s">
        <v>5439</v>
      </c>
      <c r="D515" t="s">
        <v>130</v>
      </c>
      <c r="E515" t="s">
        <v>130</v>
      </c>
      <c r="F515" t="s">
        <v>5440</v>
      </c>
      <c r="G515" t="s">
        <v>5441</v>
      </c>
      <c r="H515" t="s">
        <v>5442</v>
      </c>
      <c r="I515" t="s">
        <v>5443</v>
      </c>
      <c r="J515" t="s">
        <v>5444</v>
      </c>
      <c r="K515" t="s">
        <v>2476</v>
      </c>
      <c r="L515" t="s">
        <v>2476</v>
      </c>
      <c r="M515" t="s">
        <v>130</v>
      </c>
      <c r="N515" t="s">
        <v>131</v>
      </c>
    </row>
    <row r="516" spans="1:14">
      <c r="A516" t="s">
        <v>5445</v>
      </c>
      <c r="B516" t="s">
        <v>5446</v>
      </c>
      <c r="C516" t="s">
        <v>5446</v>
      </c>
      <c r="D516" t="s">
        <v>130</v>
      </c>
      <c r="E516" t="s">
        <v>130</v>
      </c>
      <c r="F516" t="s">
        <v>5447</v>
      </c>
      <c r="G516" t="s">
        <v>5448</v>
      </c>
      <c r="H516" t="s">
        <v>5449</v>
      </c>
      <c r="I516" t="s">
        <v>5450</v>
      </c>
      <c r="J516" t="s">
        <v>5451</v>
      </c>
      <c r="K516" t="s">
        <v>2476</v>
      </c>
      <c r="L516" t="s">
        <v>2476</v>
      </c>
      <c r="M516" t="s">
        <v>130</v>
      </c>
      <c r="N516" t="s">
        <v>131</v>
      </c>
    </row>
    <row r="517" spans="1:14">
      <c r="A517" t="s">
        <v>5452</v>
      </c>
      <c r="B517" t="s">
        <v>5453</v>
      </c>
      <c r="C517" t="s">
        <v>5453</v>
      </c>
      <c r="D517" t="s">
        <v>130</v>
      </c>
      <c r="E517" t="s">
        <v>130</v>
      </c>
      <c r="F517" t="s">
        <v>5454</v>
      </c>
      <c r="G517" t="s">
        <v>5455</v>
      </c>
      <c r="H517" t="s">
        <v>5456</v>
      </c>
      <c r="I517" t="s">
        <v>5457</v>
      </c>
      <c r="J517" t="s">
        <v>5458</v>
      </c>
      <c r="K517" t="s">
        <v>2476</v>
      </c>
      <c r="L517" t="s">
        <v>2476</v>
      </c>
      <c r="M517" t="s">
        <v>5459</v>
      </c>
      <c r="N517" t="s">
        <v>5460</v>
      </c>
    </row>
    <row r="518" spans="1:14">
      <c r="A518" t="s">
        <v>5461</v>
      </c>
      <c r="B518" t="s">
        <v>5462</v>
      </c>
      <c r="C518" t="s">
        <v>5462</v>
      </c>
      <c r="D518" t="s">
        <v>130</v>
      </c>
      <c r="E518" t="s">
        <v>130</v>
      </c>
      <c r="F518" t="s">
        <v>5463</v>
      </c>
      <c r="G518" t="s">
        <v>5464</v>
      </c>
      <c r="H518" t="s">
        <v>5465</v>
      </c>
      <c r="I518" t="s">
        <v>5466</v>
      </c>
      <c r="J518" t="s">
        <v>5467</v>
      </c>
      <c r="K518" t="s">
        <v>2476</v>
      </c>
      <c r="L518" t="s">
        <v>2476</v>
      </c>
      <c r="M518" t="s">
        <v>5468</v>
      </c>
      <c r="N518" t="s">
        <v>5469</v>
      </c>
    </row>
    <row r="519" spans="1:14">
      <c r="A519" t="s">
        <v>5470</v>
      </c>
      <c r="B519" t="s">
        <v>5471</v>
      </c>
      <c r="C519" t="s">
        <v>5471</v>
      </c>
      <c r="D519" t="s">
        <v>130</v>
      </c>
      <c r="E519" t="s">
        <v>130</v>
      </c>
      <c r="F519" t="s">
        <v>5472</v>
      </c>
      <c r="G519" t="s">
        <v>5473</v>
      </c>
      <c r="H519" t="s">
        <v>2416</v>
      </c>
      <c r="I519" t="s">
        <v>5474</v>
      </c>
      <c r="J519" t="s">
        <v>5475</v>
      </c>
      <c r="K519" t="s">
        <v>2476</v>
      </c>
      <c r="L519" t="s">
        <v>2476</v>
      </c>
      <c r="M519" t="s">
        <v>5476</v>
      </c>
      <c r="N519" t="s">
        <v>4869</v>
      </c>
    </row>
    <row r="520" spans="1:14">
      <c r="A520" t="s">
        <v>5477</v>
      </c>
      <c r="B520" t="s">
        <v>5478</v>
      </c>
      <c r="C520" t="s">
        <v>5478</v>
      </c>
      <c r="D520" t="s">
        <v>130</v>
      </c>
      <c r="E520" t="s">
        <v>130</v>
      </c>
      <c r="F520" t="s">
        <v>5479</v>
      </c>
      <c r="G520" t="s">
        <v>5480</v>
      </c>
      <c r="H520" t="s">
        <v>5481</v>
      </c>
      <c r="I520" t="s">
        <v>5482</v>
      </c>
      <c r="J520" t="s">
        <v>5483</v>
      </c>
      <c r="K520" t="s">
        <v>2476</v>
      </c>
      <c r="L520" t="s">
        <v>2476</v>
      </c>
      <c r="M520" t="s">
        <v>5484</v>
      </c>
      <c r="N520" t="s">
        <v>5485</v>
      </c>
    </row>
    <row r="521" spans="1:14">
      <c r="A521" t="s">
        <v>5486</v>
      </c>
      <c r="B521" t="s">
        <v>5487</v>
      </c>
      <c r="C521" t="s">
        <v>5487</v>
      </c>
      <c r="D521" t="s">
        <v>130</v>
      </c>
      <c r="E521" t="s">
        <v>130</v>
      </c>
      <c r="F521" t="s">
        <v>5488</v>
      </c>
      <c r="G521" t="s">
        <v>5489</v>
      </c>
      <c r="H521" t="s">
        <v>5490</v>
      </c>
      <c r="I521" t="s">
        <v>5491</v>
      </c>
      <c r="J521" t="s">
        <v>5492</v>
      </c>
      <c r="K521" t="s">
        <v>2476</v>
      </c>
      <c r="L521" t="s">
        <v>2476</v>
      </c>
      <c r="M521" t="s">
        <v>5493</v>
      </c>
      <c r="N521" t="s">
        <v>5494</v>
      </c>
    </row>
    <row r="522" spans="1:14">
      <c r="A522" t="s">
        <v>5495</v>
      </c>
      <c r="B522" t="s">
        <v>5496</v>
      </c>
      <c r="C522" t="s">
        <v>5496</v>
      </c>
      <c r="D522" t="s">
        <v>130</v>
      </c>
      <c r="E522" t="s">
        <v>130</v>
      </c>
      <c r="F522" t="s">
        <v>5497</v>
      </c>
      <c r="G522" t="s">
        <v>5498</v>
      </c>
      <c r="H522" t="s">
        <v>5499</v>
      </c>
      <c r="I522" t="s">
        <v>5500</v>
      </c>
      <c r="J522" t="s">
        <v>5501</v>
      </c>
      <c r="K522" t="s">
        <v>2476</v>
      </c>
      <c r="L522" t="s">
        <v>2476</v>
      </c>
      <c r="M522" t="s">
        <v>5502</v>
      </c>
      <c r="N522" t="s">
        <v>5503</v>
      </c>
    </row>
    <row r="523" spans="1:14">
      <c r="A523" t="s">
        <v>5504</v>
      </c>
      <c r="B523" t="s">
        <v>5505</v>
      </c>
      <c r="C523" t="s">
        <v>5505</v>
      </c>
      <c r="D523" t="s">
        <v>130</v>
      </c>
      <c r="E523" t="s">
        <v>130</v>
      </c>
      <c r="F523" t="s">
        <v>5506</v>
      </c>
      <c r="G523" t="s">
        <v>5507</v>
      </c>
      <c r="H523" t="s">
        <v>3137</v>
      </c>
      <c r="I523" t="s">
        <v>5508</v>
      </c>
      <c r="J523" t="s">
        <v>5509</v>
      </c>
      <c r="K523" t="s">
        <v>2476</v>
      </c>
      <c r="L523" t="s">
        <v>2476</v>
      </c>
      <c r="M523" t="s">
        <v>5510</v>
      </c>
      <c r="N523" t="s">
        <v>5511</v>
      </c>
    </row>
    <row r="524" spans="1:14">
      <c r="A524" t="s">
        <v>5512</v>
      </c>
      <c r="B524" t="s">
        <v>5513</v>
      </c>
      <c r="C524" t="s">
        <v>5513</v>
      </c>
      <c r="D524" t="s">
        <v>130</v>
      </c>
      <c r="E524" t="s">
        <v>130</v>
      </c>
      <c r="F524" t="s">
        <v>5514</v>
      </c>
      <c r="G524" t="s">
        <v>5515</v>
      </c>
      <c r="H524" t="s">
        <v>5516</v>
      </c>
      <c r="I524" t="s">
        <v>5508</v>
      </c>
      <c r="J524" t="s">
        <v>5517</v>
      </c>
      <c r="K524" t="s">
        <v>2476</v>
      </c>
      <c r="L524" t="s">
        <v>2476</v>
      </c>
      <c r="M524" t="s">
        <v>5518</v>
      </c>
      <c r="N524" t="s">
        <v>5519</v>
      </c>
    </row>
    <row r="525" spans="1:14">
      <c r="A525" t="s">
        <v>5520</v>
      </c>
      <c r="B525" t="s">
        <v>5521</v>
      </c>
      <c r="C525" t="s">
        <v>5521</v>
      </c>
      <c r="D525" t="s">
        <v>130</v>
      </c>
      <c r="E525" t="s">
        <v>130</v>
      </c>
      <c r="F525" t="s">
        <v>5522</v>
      </c>
      <c r="G525" t="s">
        <v>5523</v>
      </c>
      <c r="H525" t="s">
        <v>5524</v>
      </c>
      <c r="I525" t="s">
        <v>5525</v>
      </c>
      <c r="J525" t="s">
        <v>5526</v>
      </c>
      <c r="K525" t="s">
        <v>2476</v>
      </c>
      <c r="L525" t="s">
        <v>2476</v>
      </c>
      <c r="M525" t="s">
        <v>130</v>
      </c>
      <c r="N525" t="s">
        <v>131</v>
      </c>
    </row>
    <row r="526" spans="1:14">
      <c r="A526" t="s">
        <v>5527</v>
      </c>
      <c r="B526" t="s">
        <v>5528</v>
      </c>
      <c r="C526" t="s">
        <v>5528</v>
      </c>
      <c r="D526" t="s">
        <v>130</v>
      </c>
      <c r="E526" t="s">
        <v>130</v>
      </c>
      <c r="F526" t="s">
        <v>5529</v>
      </c>
      <c r="G526" t="s">
        <v>5530</v>
      </c>
      <c r="H526" t="s">
        <v>5531</v>
      </c>
      <c r="I526" t="s">
        <v>5532</v>
      </c>
      <c r="J526" t="s">
        <v>5533</v>
      </c>
      <c r="K526" t="s">
        <v>2476</v>
      </c>
      <c r="L526" t="s">
        <v>2476</v>
      </c>
      <c r="M526" t="s">
        <v>130</v>
      </c>
      <c r="N526" t="s">
        <v>131</v>
      </c>
    </row>
    <row r="527" spans="1:14">
      <c r="A527" t="s">
        <v>5534</v>
      </c>
      <c r="B527" t="s">
        <v>5535</v>
      </c>
      <c r="C527" t="s">
        <v>5535</v>
      </c>
      <c r="D527" t="s">
        <v>130</v>
      </c>
      <c r="E527" t="s">
        <v>130</v>
      </c>
      <c r="F527" t="s">
        <v>5536</v>
      </c>
      <c r="G527" t="s">
        <v>5537</v>
      </c>
      <c r="H527" t="s">
        <v>5538</v>
      </c>
      <c r="I527" t="s">
        <v>5539</v>
      </c>
      <c r="J527" t="s">
        <v>5540</v>
      </c>
      <c r="K527" t="s">
        <v>2476</v>
      </c>
      <c r="L527" t="s">
        <v>2476</v>
      </c>
      <c r="M527" t="s">
        <v>130</v>
      </c>
      <c r="N527" t="s">
        <v>131</v>
      </c>
    </row>
    <row r="528" spans="1:14">
      <c r="A528" t="s">
        <v>5541</v>
      </c>
      <c r="B528" t="s">
        <v>5542</v>
      </c>
      <c r="C528" t="s">
        <v>5542</v>
      </c>
      <c r="D528" t="s">
        <v>130</v>
      </c>
      <c r="E528" t="s">
        <v>130</v>
      </c>
      <c r="F528" t="s">
        <v>5543</v>
      </c>
      <c r="G528" t="s">
        <v>5544</v>
      </c>
      <c r="H528" t="s">
        <v>5545</v>
      </c>
      <c r="I528" t="s">
        <v>5546</v>
      </c>
      <c r="J528" t="s">
        <v>5547</v>
      </c>
      <c r="K528" t="s">
        <v>2476</v>
      </c>
      <c r="L528" t="s">
        <v>2476</v>
      </c>
      <c r="M528" t="s">
        <v>130</v>
      </c>
      <c r="N528" t="s">
        <v>131</v>
      </c>
    </row>
    <row r="529" spans="1:14">
      <c r="A529" t="s">
        <v>5548</v>
      </c>
      <c r="B529" t="s">
        <v>5372</v>
      </c>
      <c r="C529" t="s">
        <v>5372</v>
      </c>
      <c r="D529" t="s">
        <v>130</v>
      </c>
      <c r="E529" t="s">
        <v>130</v>
      </c>
      <c r="F529" t="s">
        <v>5549</v>
      </c>
      <c r="G529" t="s">
        <v>5550</v>
      </c>
      <c r="H529" t="s">
        <v>5551</v>
      </c>
      <c r="I529" t="s">
        <v>2460</v>
      </c>
      <c r="J529" t="s">
        <v>5552</v>
      </c>
      <c r="K529" t="s">
        <v>2476</v>
      </c>
      <c r="L529" t="s">
        <v>2476</v>
      </c>
      <c r="M529" t="s">
        <v>5553</v>
      </c>
      <c r="N529" t="s">
        <v>5554</v>
      </c>
    </row>
    <row r="530" spans="1:14">
      <c r="A530" t="s">
        <v>5555</v>
      </c>
      <c r="B530" t="s">
        <v>5556</v>
      </c>
      <c r="C530" t="s">
        <v>5556</v>
      </c>
      <c r="D530" t="s">
        <v>130</v>
      </c>
      <c r="E530" t="s">
        <v>130</v>
      </c>
      <c r="F530" t="s">
        <v>5557</v>
      </c>
      <c r="G530" t="s">
        <v>5558</v>
      </c>
      <c r="H530" t="s">
        <v>2660</v>
      </c>
      <c r="I530" t="s">
        <v>5559</v>
      </c>
      <c r="J530" t="s">
        <v>5560</v>
      </c>
      <c r="K530" t="s">
        <v>2476</v>
      </c>
      <c r="L530" t="s">
        <v>2476</v>
      </c>
      <c r="M530" t="s">
        <v>5561</v>
      </c>
      <c r="N530" t="s">
        <v>4611</v>
      </c>
    </row>
    <row r="531" spans="1:14">
      <c r="A531" t="s">
        <v>5562</v>
      </c>
      <c r="B531" t="s">
        <v>5563</v>
      </c>
      <c r="C531" t="s">
        <v>5563</v>
      </c>
      <c r="D531" t="s">
        <v>130</v>
      </c>
      <c r="E531" t="s">
        <v>130</v>
      </c>
      <c r="F531" t="s">
        <v>5564</v>
      </c>
      <c r="G531" t="s">
        <v>5565</v>
      </c>
      <c r="H531" t="s">
        <v>5566</v>
      </c>
      <c r="I531" t="s">
        <v>5567</v>
      </c>
      <c r="J531" t="s">
        <v>5568</v>
      </c>
      <c r="K531" t="s">
        <v>2476</v>
      </c>
      <c r="L531" t="s">
        <v>2476</v>
      </c>
      <c r="M531" t="s">
        <v>5569</v>
      </c>
      <c r="N531" t="s">
        <v>5570</v>
      </c>
    </row>
    <row r="532" spans="1:14">
      <c r="A532" t="s">
        <v>5571</v>
      </c>
      <c r="B532" t="s">
        <v>5572</v>
      </c>
      <c r="C532" t="s">
        <v>5572</v>
      </c>
      <c r="D532" t="s">
        <v>130</v>
      </c>
      <c r="E532" t="s">
        <v>130</v>
      </c>
      <c r="F532" t="s">
        <v>5573</v>
      </c>
      <c r="G532" t="s">
        <v>5574</v>
      </c>
      <c r="H532" t="s">
        <v>5575</v>
      </c>
      <c r="I532" t="s">
        <v>5576</v>
      </c>
      <c r="J532" t="s">
        <v>5577</v>
      </c>
      <c r="K532" t="s">
        <v>2476</v>
      </c>
      <c r="L532" t="s">
        <v>2476</v>
      </c>
      <c r="M532" t="s">
        <v>5578</v>
      </c>
      <c r="N532" t="s">
        <v>4508</v>
      </c>
    </row>
    <row r="533" spans="1:14">
      <c r="A533" t="s">
        <v>5579</v>
      </c>
      <c r="B533" t="s">
        <v>5580</v>
      </c>
      <c r="C533" t="s">
        <v>5580</v>
      </c>
      <c r="D533" t="s">
        <v>130</v>
      </c>
      <c r="E533" t="s">
        <v>130</v>
      </c>
      <c r="F533" t="s">
        <v>5581</v>
      </c>
      <c r="G533" t="s">
        <v>5582</v>
      </c>
      <c r="H533" t="s">
        <v>5583</v>
      </c>
      <c r="I533" t="s">
        <v>5584</v>
      </c>
      <c r="J533" t="s">
        <v>5585</v>
      </c>
      <c r="K533" t="s">
        <v>2476</v>
      </c>
      <c r="L533" t="s">
        <v>2476</v>
      </c>
      <c r="M533" t="s">
        <v>5586</v>
      </c>
      <c r="N533" t="s">
        <v>5587</v>
      </c>
    </row>
    <row r="534" spans="1:14">
      <c r="A534" t="s">
        <v>5588</v>
      </c>
      <c r="B534" t="s">
        <v>5589</v>
      </c>
      <c r="C534" t="s">
        <v>5589</v>
      </c>
      <c r="D534" t="s">
        <v>130</v>
      </c>
      <c r="E534" t="s">
        <v>130</v>
      </c>
      <c r="F534" t="s">
        <v>5590</v>
      </c>
      <c r="G534" t="s">
        <v>5591</v>
      </c>
      <c r="H534" t="s">
        <v>5592</v>
      </c>
      <c r="I534" t="s">
        <v>5593</v>
      </c>
      <c r="J534" t="s">
        <v>5594</v>
      </c>
      <c r="K534" t="s">
        <v>2476</v>
      </c>
      <c r="L534" t="s">
        <v>2476</v>
      </c>
      <c r="M534" t="s">
        <v>5595</v>
      </c>
      <c r="N534" t="s">
        <v>5596</v>
      </c>
    </row>
    <row r="535" spans="1:14">
      <c r="A535" t="s">
        <v>5597</v>
      </c>
      <c r="B535" t="s">
        <v>5598</v>
      </c>
      <c r="C535" t="s">
        <v>5598</v>
      </c>
      <c r="D535" t="s">
        <v>130</v>
      </c>
      <c r="E535" t="s">
        <v>130</v>
      </c>
      <c r="F535" t="s">
        <v>5599</v>
      </c>
      <c r="G535" t="s">
        <v>5600</v>
      </c>
      <c r="H535" t="s">
        <v>5601</v>
      </c>
      <c r="I535" t="s">
        <v>5602</v>
      </c>
      <c r="J535" t="s">
        <v>5603</v>
      </c>
      <c r="K535" t="s">
        <v>2476</v>
      </c>
      <c r="L535" t="s">
        <v>2476</v>
      </c>
      <c r="M535" t="s">
        <v>5604</v>
      </c>
      <c r="N535" t="s">
        <v>1934</v>
      </c>
    </row>
    <row r="536" spans="1:14">
      <c r="A536" t="s">
        <v>5605</v>
      </c>
      <c r="B536" t="s">
        <v>5606</v>
      </c>
      <c r="C536" t="s">
        <v>5606</v>
      </c>
      <c r="D536" t="s">
        <v>130</v>
      </c>
      <c r="E536" t="s">
        <v>130</v>
      </c>
      <c r="F536" t="s">
        <v>5607</v>
      </c>
      <c r="G536" t="s">
        <v>5608</v>
      </c>
      <c r="H536" t="s">
        <v>5609</v>
      </c>
      <c r="I536" t="s">
        <v>5610</v>
      </c>
      <c r="J536" t="s">
        <v>5611</v>
      </c>
      <c r="K536" t="s">
        <v>2476</v>
      </c>
      <c r="L536" t="s">
        <v>2476</v>
      </c>
      <c r="M536" t="s">
        <v>5612</v>
      </c>
      <c r="N536" t="s">
        <v>5613</v>
      </c>
    </row>
    <row r="537" spans="1:14">
      <c r="A537" t="s">
        <v>5614</v>
      </c>
      <c r="B537" t="s">
        <v>5615</v>
      </c>
      <c r="C537" t="s">
        <v>5615</v>
      </c>
      <c r="D537" t="s">
        <v>130</v>
      </c>
      <c r="E537" t="s">
        <v>130</v>
      </c>
      <c r="F537" t="s">
        <v>5616</v>
      </c>
      <c r="G537" t="s">
        <v>5617</v>
      </c>
      <c r="H537" t="s">
        <v>5618</v>
      </c>
      <c r="I537" t="s">
        <v>5619</v>
      </c>
      <c r="J537" t="s">
        <v>5620</v>
      </c>
      <c r="K537" t="s">
        <v>2476</v>
      </c>
      <c r="L537" t="s">
        <v>2476</v>
      </c>
      <c r="M537" t="s">
        <v>130</v>
      </c>
      <c r="N537" t="s">
        <v>131</v>
      </c>
    </row>
    <row r="538" spans="1:14">
      <c r="A538" t="s">
        <v>5621</v>
      </c>
      <c r="B538" t="s">
        <v>5622</v>
      </c>
      <c r="C538" t="s">
        <v>5622</v>
      </c>
      <c r="D538" t="s">
        <v>130</v>
      </c>
      <c r="E538" t="s">
        <v>130</v>
      </c>
      <c r="F538" t="s">
        <v>5623</v>
      </c>
      <c r="G538" t="s">
        <v>5624</v>
      </c>
      <c r="H538" t="s">
        <v>5625</v>
      </c>
      <c r="I538" t="s">
        <v>5626</v>
      </c>
      <c r="J538" t="s">
        <v>5627</v>
      </c>
      <c r="K538" t="s">
        <v>2476</v>
      </c>
      <c r="L538" t="s">
        <v>2476</v>
      </c>
      <c r="M538" t="s">
        <v>130</v>
      </c>
      <c r="N538" t="s">
        <v>131</v>
      </c>
    </row>
    <row r="539" spans="1:14">
      <c r="A539" t="s">
        <v>5628</v>
      </c>
      <c r="B539" t="s">
        <v>5629</v>
      </c>
      <c r="C539" t="s">
        <v>5629</v>
      </c>
      <c r="D539" t="s">
        <v>130</v>
      </c>
      <c r="E539" t="s">
        <v>130</v>
      </c>
      <c r="F539" t="s">
        <v>5630</v>
      </c>
      <c r="G539" t="s">
        <v>5631</v>
      </c>
      <c r="H539" t="s">
        <v>3190</v>
      </c>
      <c r="I539" t="s">
        <v>5632</v>
      </c>
      <c r="J539" t="s">
        <v>5633</v>
      </c>
      <c r="K539" t="s">
        <v>2476</v>
      </c>
      <c r="L539" t="s">
        <v>2476</v>
      </c>
      <c r="M539" t="s">
        <v>130</v>
      </c>
      <c r="N539" t="s">
        <v>131</v>
      </c>
    </row>
    <row r="540" spans="1:14">
      <c r="A540" t="s">
        <v>5634</v>
      </c>
      <c r="B540" t="s">
        <v>5635</v>
      </c>
      <c r="C540" t="s">
        <v>5635</v>
      </c>
      <c r="D540" t="s">
        <v>130</v>
      </c>
      <c r="E540" t="s">
        <v>130</v>
      </c>
      <c r="F540" t="s">
        <v>5636</v>
      </c>
      <c r="G540" t="s">
        <v>5637</v>
      </c>
      <c r="H540" t="s">
        <v>5638</v>
      </c>
      <c r="I540" t="s">
        <v>5639</v>
      </c>
      <c r="J540" t="s">
        <v>5640</v>
      </c>
      <c r="K540" t="s">
        <v>2476</v>
      </c>
      <c r="L540" t="s">
        <v>2476</v>
      </c>
      <c r="M540" t="s">
        <v>130</v>
      </c>
      <c r="N540" t="s">
        <v>131</v>
      </c>
    </row>
    <row r="541" spans="1:14">
      <c r="A541" t="s">
        <v>5641</v>
      </c>
      <c r="B541" t="s">
        <v>5642</v>
      </c>
      <c r="C541" t="s">
        <v>5642</v>
      </c>
      <c r="D541" t="s">
        <v>130</v>
      </c>
      <c r="E541" t="s">
        <v>130</v>
      </c>
      <c r="F541" t="s">
        <v>5643</v>
      </c>
      <c r="G541" t="s">
        <v>5644</v>
      </c>
      <c r="H541" t="s">
        <v>5645</v>
      </c>
      <c r="I541" t="s">
        <v>5646</v>
      </c>
      <c r="J541" t="s">
        <v>5647</v>
      </c>
      <c r="K541" t="s">
        <v>2476</v>
      </c>
      <c r="L541" t="s">
        <v>2476</v>
      </c>
      <c r="M541" t="s">
        <v>5648</v>
      </c>
      <c r="N541" t="s">
        <v>5649</v>
      </c>
    </row>
    <row r="542" spans="1:14">
      <c r="A542" t="s">
        <v>5650</v>
      </c>
      <c r="B542" t="s">
        <v>5651</v>
      </c>
      <c r="C542" t="s">
        <v>5651</v>
      </c>
      <c r="D542" t="s">
        <v>130</v>
      </c>
      <c r="E542" t="s">
        <v>130</v>
      </c>
      <c r="F542" t="s">
        <v>5652</v>
      </c>
      <c r="G542" t="s">
        <v>5653</v>
      </c>
      <c r="H542" t="s">
        <v>5050</v>
      </c>
      <c r="I542" t="s">
        <v>5654</v>
      </c>
      <c r="J542" t="s">
        <v>5655</v>
      </c>
      <c r="K542" t="s">
        <v>2476</v>
      </c>
      <c r="L542" t="s">
        <v>2476</v>
      </c>
      <c r="M542" t="s">
        <v>5656</v>
      </c>
      <c r="N542" t="s">
        <v>5657</v>
      </c>
    </row>
    <row r="543" spans="1:14">
      <c r="A543" t="s">
        <v>5658</v>
      </c>
      <c r="B543" t="s">
        <v>5659</v>
      </c>
      <c r="C543" t="s">
        <v>5659</v>
      </c>
      <c r="D543" t="s">
        <v>130</v>
      </c>
      <c r="E543" t="s">
        <v>130</v>
      </c>
      <c r="F543" t="s">
        <v>5660</v>
      </c>
      <c r="G543" t="s">
        <v>5661</v>
      </c>
      <c r="H543" t="s">
        <v>5662</v>
      </c>
      <c r="I543" t="s">
        <v>5663</v>
      </c>
      <c r="J543" t="s">
        <v>5664</v>
      </c>
      <c r="K543" t="s">
        <v>2476</v>
      </c>
      <c r="L543" t="s">
        <v>2476</v>
      </c>
      <c r="M543" t="s">
        <v>5665</v>
      </c>
      <c r="N543" t="s">
        <v>2700</v>
      </c>
    </row>
    <row r="544" spans="1:14">
      <c r="A544" t="s">
        <v>5666</v>
      </c>
      <c r="B544" t="s">
        <v>5667</v>
      </c>
      <c r="C544" t="s">
        <v>5667</v>
      </c>
      <c r="D544" t="s">
        <v>130</v>
      </c>
      <c r="E544" t="s">
        <v>130</v>
      </c>
      <c r="F544" t="s">
        <v>5668</v>
      </c>
      <c r="G544" t="s">
        <v>5669</v>
      </c>
      <c r="H544" t="s">
        <v>5609</v>
      </c>
      <c r="I544" t="s">
        <v>5670</v>
      </c>
      <c r="J544" t="s">
        <v>5671</v>
      </c>
      <c r="K544" t="s">
        <v>2476</v>
      </c>
      <c r="L544" t="s">
        <v>2476</v>
      </c>
      <c r="M544" t="s">
        <v>5672</v>
      </c>
      <c r="N544" t="s">
        <v>5673</v>
      </c>
    </row>
    <row r="545" spans="1:14">
      <c r="A545" t="s">
        <v>5674</v>
      </c>
      <c r="B545" t="s">
        <v>5675</v>
      </c>
      <c r="C545" t="s">
        <v>5675</v>
      </c>
      <c r="D545" t="s">
        <v>130</v>
      </c>
      <c r="E545" t="s">
        <v>130</v>
      </c>
      <c r="F545" t="s">
        <v>5676</v>
      </c>
      <c r="G545" t="s">
        <v>5591</v>
      </c>
      <c r="H545" t="s">
        <v>5677</v>
      </c>
      <c r="I545" t="s">
        <v>5678</v>
      </c>
      <c r="J545" t="s">
        <v>5679</v>
      </c>
      <c r="K545" t="s">
        <v>2476</v>
      </c>
      <c r="L545" t="s">
        <v>2476</v>
      </c>
      <c r="M545" t="s">
        <v>5680</v>
      </c>
      <c r="N545" t="s">
        <v>5681</v>
      </c>
    </row>
    <row r="546" spans="1:14">
      <c r="A546" t="s">
        <v>5682</v>
      </c>
      <c r="B546" t="s">
        <v>2476</v>
      </c>
      <c r="C546" t="s">
        <v>2476</v>
      </c>
      <c r="D546" t="s">
        <v>2476</v>
      </c>
      <c r="E546" t="s">
        <v>2476</v>
      </c>
      <c r="F546" t="s">
        <v>2476</v>
      </c>
      <c r="G546" t="s">
        <v>2476</v>
      </c>
      <c r="H546" t="s">
        <v>2476</v>
      </c>
      <c r="I546" t="s">
        <v>2476</v>
      </c>
      <c r="J546" t="s">
        <v>2476</v>
      </c>
      <c r="K546" t="s">
        <v>2476</v>
      </c>
      <c r="L546" t="s">
        <v>2476</v>
      </c>
      <c r="M546" t="s">
        <v>5683</v>
      </c>
      <c r="N546" t="s">
        <v>4647</v>
      </c>
    </row>
    <row r="547" spans="1:14">
      <c r="A547" t="s">
        <v>5684</v>
      </c>
      <c r="B547" t="s">
        <v>2476</v>
      </c>
      <c r="C547" t="s">
        <v>2476</v>
      </c>
      <c r="D547" t="s">
        <v>2476</v>
      </c>
      <c r="E547" t="s">
        <v>2476</v>
      </c>
      <c r="F547" t="s">
        <v>2476</v>
      </c>
      <c r="G547" t="s">
        <v>2476</v>
      </c>
      <c r="H547" t="s">
        <v>2476</v>
      </c>
      <c r="I547" t="s">
        <v>2476</v>
      </c>
      <c r="J547" t="s">
        <v>2476</v>
      </c>
      <c r="K547" t="s">
        <v>2476</v>
      </c>
      <c r="L547" t="s">
        <v>2476</v>
      </c>
      <c r="M547" t="s">
        <v>5685</v>
      </c>
      <c r="N547" t="s">
        <v>4203</v>
      </c>
    </row>
    <row r="548" spans="1:14">
      <c r="A548" t="s">
        <v>5686</v>
      </c>
      <c r="B548" t="s">
        <v>2476</v>
      </c>
      <c r="C548" t="s">
        <v>2476</v>
      </c>
      <c r="D548" t="s">
        <v>2476</v>
      </c>
      <c r="E548" t="s">
        <v>2476</v>
      </c>
      <c r="F548" t="s">
        <v>2476</v>
      </c>
      <c r="G548" t="s">
        <v>2476</v>
      </c>
      <c r="H548" t="s">
        <v>2476</v>
      </c>
      <c r="I548" t="s">
        <v>2476</v>
      </c>
      <c r="J548" t="s">
        <v>2476</v>
      </c>
      <c r="K548" t="s">
        <v>2476</v>
      </c>
      <c r="L548" t="s">
        <v>2476</v>
      </c>
      <c r="M548" t="s">
        <v>5687</v>
      </c>
      <c r="N548" t="s">
        <v>5688</v>
      </c>
    </row>
    <row r="549" spans="1:14">
      <c r="A549" t="s">
        <v>5689</v>
      </c>
      <c r="B549" t="s">
        <v>2476</v>
      </c>
      <c r="C549" t="s">
        <v>2476</v>
      </c>
      <c r="D549" t="s">
        <v>2476</v>
      </c>
      <c r="E549" t="s">
        <v>2476</v>
      </c>
      <c r="F549" t="s">
        <v>2476</v>
      </c>
      <c r="G549" t="s">
        <v>2476</v>
      </c>
      <c r="H549" t="s">
        <v>2476</v>
      </c>
      <c r="I549" t="s">
        <v>2476</v>
      </c>
      <c r="J549" t="s">
        <v>2476</v>
      </c>
      <c r="K549" t="s">
        <v>2476</v>
      </c>
      <c r="L549" t="s">
        <v>2476</v>
      </c>
      <c r="M549" t="s">
        <v>130</v>
      </c>
      <c r="N549" t="s">
        <v>131</v>
      </c>
    </row>
    <row r="550" spans="1:14">
      <c r="A550" t="s">
        <v>5690</v>
      </c>
      <c r="B550" t="s">
        <v>2476</v>
      </c>
      <c r="C550" t="s">
        <v>2476</v>
      </c>
      <c r="D550" t="s">
        <v>2476</v>
      </c>
      <c r="E550" t="s">
        <v>2476</v>
      </c>
      <c r="F550" t="s">
        <v>2476</v>
      </c>
      <c r="G550" t="s">
        <v>2476</v>
      </c>
      <c r="H550" t="s">
        <v>2476</v>
      </c>
      <c r="I550" t="s">
        <v>2476</v>
      </c>
      <c r="J550" t="s">
        <v>2476</v>
      </c>
      <c r="K550" t="s">
        <v>2476</v>
      </c>
      <c r="L550" t="s">
        <v>2476</v>
      </c>
      <c r="M550" t="s">
        <v>130</v>
      </c>
      <c r="N550" t="s">
        <v>131</v>
      </c>
    </row>
    <row r="551" spans="1:14">
      <c r="A551" t="s">
        <v>5691</v>
      </c>
      <c r="B551" t="s">
        <v>2476</v>
      </c>
      <c r="C551" t="s">
        <v>2476</v>
      </c>
      <c r="D551" t="s">
        <v>2476</v>
      </c>
      <c r="E551" t="s">
        <v>2476</v>
      </c>
      <c r="F551" t="s">
        <v>2476</v>
      </c>
      <c r="G551" t="s">
        <v>2476</v>
      </c>
      <c r="H551" t="s">
        <v>2476</v>
      </c>
      <c r="I551" t="s">
        <v>2476</v>
      </c>
      <c r="J551" t="s">
        <v>2476</v>
      </c>
      <c r="K551" t="s">
        <v>2476</v>
      </c>
      <c r="L551" t="s">
        <v>2476</v>
      </c>
      <c r="M551" t="s">
        <v>130</v>
      </c>
      <c r="N551" t="s">
        <v>131</v>
      </c>
    </row>
    <row r="552" spans="1:14">
      <c r="A552" t="s">
        <v>5692</v>
      </c>
      <c r="B552" t="s">
        <v>2476</v>
      </c>
      <c r="C552" t="s">
        <v>2476</v>
      </c>
      <c r="D552" t="s">
        <v>2476</v>
      </c>
      <c r="E552" t="s">
        <v>2476</v>
      </c>
      <c r="F552" t="s">
        <v>2476</v>
      </c>
      <c r="G552" t="s">
        <v>2476</v>
      </c>
      <c r="H552" t="s">
        <v>2476</v>
      </c>
      <c r="I552" t="s">
        <v>2476</v>
      </c>
      <c r="J552" t="s">
        <v>2476</v>
      </c>
      <c r="K552" t="s">
        <v>2476</v>
      </c>
      <c r="L552" t="s">
        <v>2476</v>
      </c>
      <c r="M552" t="s">
        <v>130</v>
      </c>
      <c r="N552" t="s">
        <v>131</v>
      </c>
    </row>
    <row r="553" spans="1:14">
      <c r="A553" t="s">
        <v>5693</v>
      </c>
      <c r="B553" t="s">
        <v>2476</v>
      </c>
      <c r="C553" t="s">
        <v>2476</v>
      </c>
      <c r="D553" t="s">
        <v>2476</v>
      </c>
      <c r="E553" t="s">
        <v>2476</v>
      </c>
      <c r="F553" t="s">
        <v>2476</v>
      </c>
      <c r="G553" t="s">
        <v>2476</v>
      </c>
      <c r="H553" t="s">
        <v>2476</v>
      </c>
      <c r="I553" t="s">
        <v>2476</v>
      </c>
      <c r="J553" t="s">
        <v>2476</v>
      </c>
      <c r="K553" t="s">
        <v>2476</v>
      </c>
      <c r="L553" t="s">
        <v>2476</v>
      </c>
      <c r="M553" t="s">
        <v>5694</v>
      </c>
      <c r="N553" t="s">
        <v>5695</v>
      </c>
    </row>
    <row r="554" spans="1:14">
      <c r="A554" t="s">
        <v>5696</v>
      </c>
      <c r="B554" t="s">
        <v>2476</v>
      </c>
      <c r="C554" t="s">
        <v>2476</v>
      </c>
      <c r="D554" t="s">
        <v>2476</v>
      </c>
      <c r="E554" t="s">
        <v>2476</v>
      </c>
      <c r="F554" t="s">
        <v>2476</v>
      </c>
      <c r="G554" t="s">
        <v>2476</v>
      </c>
      <c r="H554" t="s">
        <v>2476</v>
      </c>
      <c r="I554" t="s">
        <v>2476</v>
      </c>
      <c r="J554" t="s">
        <v>2476</v>
      </c>
      <c r="K554" t="s">
        <v>2476</v>
      </c>
      <c r="L554" t="s">
        <v>2476</v>
      </c>
      <c r="M554" t="s">
        <v>5697</v>
      </c>
      <c r="N554" t="s">
        <v>5698</v>
      </c>
    </row>
    <row r="555" spans="1:14">
      <c r="A555" t="s">
        <v>5699</v>
      </c>
      <c r="B555" t="s">
        <v>2476</v>
      </c>
      <c r="C555" t="s">
        <v>2476</v>
      </c>
      <c r="D555" t="s">
        <v>2476</v>
      </c>
      <c r="E555" t="s">
        <v>2476</v>
      </c>
      <c r="F555" t="s">
        <v>2476</v>
      </c>
      <c r="G555" t="s">
        <v>2476</v>
      </c>
      <c r="H555" t="s">
        <v>2476</v>
      </c>
      <c r="I555" t="s">
        <v>2476</v>
      </c>
      <c r="J555" t="s">
        <v>2476</v>
      </c>
      <c r="K555" t="s">
        <v>2476</v>
      </c>
      <c r="L555" t="s">
        <v>2476</v>
      </c>
      <c r="M555" t="s">
        <v>5700</v>
      </c>
      <c r="N555" t="s">
        <v>5701</v>
      </c>
    </row>
    <row r="556" spans="1:14">
      <c r="A556" t="s">
        <v>5702</v>
      </c>
      <c r="B556" t="s">
        <v>2476</v>
      </c>
      <c r="C556" t="s">
        <v>2476</v>
      </c>
      <c r="D556" t="s">
        <v>2476</v>
      </c>
      <c r="E556" t="s">
        <v>2476</v>
      </c>
      <c r="F556" t="s">
        <v>2476</v>
      </c>
      <c r="G556" t="s">
        <v>2476</v>
      </c>
      <c r="H556" t="s">
        <v>2476</v>
      </c>
      <c r="I556" t="s">
        <v>2476</v>
      </c>
      <c r="J556" t="s">
        <v>2476</v>
      </c>
      <c r="K556" t="s">
        <v>2476</v>
      </c>
      <c r="L556" t="s">
        <v>2476</v>
      </c>
      <c r="M556" t="s">
        <v>5703</v>
      </c>
      <c r="N556" t="s">
        <v>2855</v>
      </c>
    </row>
    <row r="557" spans="1:14">
      <c r="A557" t="s">
        <v>5704</v>
      </c>
      <c r="B557" t="s">
        <v>2476</v>
      </c>
      <c r="C557" t="s">
        <v>2476</v>
      </c>
      <c r="D557" t="s">
        <v>2476</v>
      </c>
      <c r="E557" t="s">
        <v>2476</v>
      </c>
      <c r="F557" t="s">
        <v>2476</v>
      </c>
      <c r="G557" t="s">
        <v>2476</v>
      </c>
      <c r="H557" t="s">
        <v>2476</v>
      </c>
      <c r="I557" t="s">
        <v>2476</v>
      </c>
      <c r="J557" t="s">
        <v>2476</v>
      </c>
      <c r="K557" t="s">
        <v>2476</v>
      </c>
      <c r="L557" t="s">
        <v>2476</v>
      </c>
      <c r="M557" t="s">
        <v>5705</v>
      </c>
      <c r="N557" t="s">
        <v>5706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2A75-EA9D-48EA-9B3A-2E3E1F17CD24}">
  <dimension ref="A1:L205"/>
  <sheetViews>
    <sheetView workbookViewId="0">
      <selection activeCell="M47" sqref="M47"/>
    </sheetView>
  </sheetViews>
  <sheetFormatPr baseColWidth="10" defaultRowHeight="14.4"/>
  <cols>
    <col min="1" max="1" width="11.109375" style="6" bestFit="1" customWidth="1"/>
    <col min="2" max="2" width="14.77734375" customWidth="1"/>
    <col min="3" max="3" width="14.21875" customWidth="1"/>
    <col min="4" max="4" width="16.5546875" customWidth="1"/>
    <col min="5" max="6" width="12.21875" customWidth="1"/>
    <col min="9" max="9" width="16.6640625" customWidth="1"/>
    <col min="10" max="10" width="17.6640625" customWidth="1"/>
    <col min="11" max="11" width="20.33203125" customWidth="1"/>
    <col min="12" max="12" width="15.33203125" customWidth="1"/>
  </cols>
  <sheetData>
    <row r="1" spans="1:12">
      <c r="A1" s="6" t="s">
        <v>0</v>
      </c>
      <c r="B1" t="s">
        <v>3</v>
      </c>
      <c r="C1" t="s">
        <v>4</v>
      </c>
      <c r="D1" t="s">
        <v>5</v>
      </c>
      <c r="E1" t="s">
        <v>6</v>
      </c>
      <c r="F1" t="s">
        <v>5734</v>
      </c>
      <c r="G1" t="s">
        <v>1</v>
      </c>
      <c r="H1" t="s">
        <v>2</v>
      </c>
      <c r="I1" t="s">
        <v>5707</v>
      </c>
      <c r="J1" t="s">
        <v>5708</v>
      </c>
      <c r="K1" t="s">
        <v>5709</v>
      </c>
      <c r="L1" t="s">
        <v>5710</v>
      </c>
    </row>
    <row r="2" spans="1:12">
      <c r="A2" s="6" t="s">
        <v>557</v>
      </c>
      <c r="B2">
        <v>5234.5219999999999</v>
      </c>
      <c r="C2">
        <v>4364.634</v>
      </c>
      <c r="D2">
        <v>604.49699999999996</v>
      </c>
      <c r="E2">
        <f>89307.744</f>
        <v>89307.744000000006</v>
      </c>
      <c r="F2">
        <f t="shared" ref="F2:F65" si="0">E2/3</f>
        <v>29769.248000000003</v>
      </c>
      <c r="G2">
        <f t="shared" ref="G2:G65" si="1">LEFT(A2,4)*1</f>
        <v>2022</v>
      </c>
      <c r="H2">
        <f t="shared" ref="H2:H65" si="2">RIGHT(A2,2)*1</f>
        <v>12</v>
      </c>
      <c r="I2">
        <f t="shared" ref="I2:I28" si="3">SUM($B2,$C2,$D2)</f>
        <v>10203.652999999998</v>
      </c>
      <c r="J2">
        <f>SUM($B2,$C2,$D2,$F2)</f>
        <v>39972.900999999998</v>
      </c>
      <c r="K2">
        <f t="shared" ref="K2:K65" si="4" xml:space="preserve"> F2 / J2</f>
        <v>0.7447357398453518</v>
      </c>
      <c r="L2">
        <f xml:space="preserve"> I2 / J2</f>
        <v>0.25526426015464826</v>
      </c>
    </row>
    <row r="3" spans="1:12">
      <c r="A3" s="6" t="s">
        <v>571</v>
      </c>
      <c r="B3">
        <v>3949.0450000000001</v>
      </c>
      <c r="C3">
        <v>4626.7579999999998</v>
      </c>
      <c r="D3">
        <v>848.82399999999996</v>
      </c>
      <c r="E3">
        <v>69562.288</v>
      </c>
      <c r="F3">
        <f t="shared" si="0"/>
        <v>23187.429333333333</v>
      </c>
      <c r="G3">
        <f t="shared" si="1"/>
        <v>2022</v>
      </c>
      <c r="H3">
        <f t="shared" si="2"/>
        <v>11</v>
      </c>
      <c r="I3">
        <f t="shared" si="3"/>
        <v>9424.6270000000004</v>
      </c>
      <c r="J3">
        <f t="shared" ref="J3:J66" si="5">SUM($B3,$C3,$D3,$F3)</f>
        <v>32612.056333333334</v>
      </c>
      <c r="K3">
        <f t="shared" si="4"/>
        <v>0.71100788911716284</v>
      </c>
      <c r="L3">
        <f t="shared" ref="L3:L66" si="6" xml:space="preserve"> I3 / J3</f>
        <v>0.28899211088283722</v>
      </c>
    </row>
    <row r="4" spans="1:12">
      <c r="A4" s="6" t="s">
        <v>585</v>
      </c>
      <c r="B4">
        <v>3152.902</v>
      </c>
      <c r="C4">
        <v>3432.3760000000002</v>
      </c>
      <c r="D4">
        <v>1319.37</v>
      </c>
      <c r="E4">
        <v>65057.226000000002</v>
      </c>
      <c r="F4">
        <f t="shared" si="0"/>
        <v>21685.742000000002</v>
      </c>
      <c r="G4">
        <f t="shared" si="1"/>
        <v>2022</v>
      </c>
      <c r="H4">
        <f t="shared" si="2"/>
        <v>10</v>
      </c>
      <c r="I4">
        <f t="shared" si="3"/>
        <v>7904.6480000000001</v>
      </c>
      <c r="J4">
        <f t="shared" si="5"/>
        <v>29590.390000000003</v>
      </c>
      <c r="K4">
        <f t="shared" si="4"/>
        <v>0.73286435224409008</v>
      </c>
      <c r="L4">
        <f t="shared" si="6"/>
        <v>0.26713564775590992</v>
      </c>
    </row>
    <row r="5" spans="1:12">
      <c r="A5" s="6" t="s">
        <v>599</v>
      </c>
      <c r="B5">
        <v>2541.154</v>
      </c>
      <c r="C5">
        <v>2293.837</v>
      </c>
      <c r="D5">
        <v>1838.6089999999999</v>
      </c>
      <c r="E5">
        <v>58600.02</v>
      </c>
      <c r="F5">
        <f t="shared" si="0"/>
        <v>19533.34</v>
      </c>
      <c r="G5">
        <f t="shared" si="1"/>
        <v>2022</v>
      </c>
      <c r="H5">
        <f t="shared" si="2"/>
        <v>9</v>
      </c>
      <c r="I5">
        <f t="shared" si="3"/>
        <v>6673.6</v>
      </c>
      <c r="J5">
        <f t="shared" si="5"/>
        <v>26206.940000000002</v>
      </c>
      <c r="K5">
        <f t="shared" si="4"/>
        <v>0.74534989586727785</v>
      </c>
      <c r="L5">
        <f t="shared" si="6"/>
        <v>0.2546501041327221</v>
      </c>
    </row>
    <row r="6" spans="1:12">
      <c r="A6" s="6" t="s">
        <v>611</v>
      </c>
      <c r="B6">
        <v>2778.7089999999998</v>
      </c>
      <c r="C6">
        <v>2077.6019999999999</v>
      </c>
      <c r="D6">
        <v>2302.8539999999998</v>
      </c>
      <c r="E6">
        <v>58554.053999999996</v>
      </c>
      <c r="F6">
        <f t="shared" si="0"/>
        <v>19518.018</v>
      </c>
      <c r="G6">
        <f t="shared" si="1"/>
        <v>2022</v>
      </c>
      <c r="H6">
        <f t="shared" si="2"/>
        <v>8</v>
      </c>
      <c r="I6">
        <f t="shared" si="3"/>
        <v>7159.1649999999991</v>
      </c>
      <c r="J6">
        <f t="shared" si="5"/>
        <v>26677.182999999997</v>
      </c>
      <c r="K6">
        <f t="shared" si="4"/>
        <v>0.73163714474650499</v>
      </c>
      <c r="L6">
        <f t="shared" si="6"/>
        <v>0.26836285525349507</v>
      </c>
    </row>
    <row r="7" spans="1:12">
      <c r="A7" s="6" t="s">
        <v>623</v>
      </c>
      <c r="B7">
        <v>3588.9290000000001</v>
      </c>
      <c r="C7">
        <v>1885.33</v>
      </c>
      <c r="D7">
        <v>2592.2370000000001</v>
      </c>
      <c r="E7">
        <v>60385.593000000001</v>
      </c>
      <c r="F7">
        <f t="shared" si="0"/>
        <v>20128.530999999999</v>
      </c>
      <c r="G7">
        <f t="shared" si="1"/>
        <v>2022</v>
      </c>
      <c r="H7">
        <f t="shared" si="2"/>
        <v>7</v>
      </c>
      <c r="I7">
        <f t="shared" si="3"/>
        <v>8066.4960000000001</v>
      </c>
      <c r="J7">
        <f t="shared" si="5"/>
        <v>28195.026999999998</v>
      </c>
      <c r="K7">
        <f t="shared" si="4"/>
        <v>0.71390359016148486</v>
      </c>
      <c r="L7">
        <f t="shared" si="6"/>
        <v>0.28609640983851514</v>
      </c>
    </row>
    <row r="8" spans="1:12">
      <c r="A8" s="6" t="s">
        <v>635</v>
      </c>
      <c r="B8">
        <v>4157.1779999999999</v>
      </c>
      <c r="C8">
        <v>1849.9390000000001</v>
      </c>
      <c r="D8">
        <v>2230.2069999999999</v>
      </c>
      <c r="E8">
        <v>64482.038</v>
      </c>
      <c r="F8">
        <f t="shared" si="0"/>
        <v>21494.012666666666</v>
      </c>
      <c r="G8">
        <f t="shared" si="1"/>
        <v>2022</v>
      </c>
      <c r="H8">
        <f t="shared" si="2"/>
        <v>6</v>
      </c>
      <c r="I8">
        <f t="shared" si="3"/>
        <v>8237.3240000000005</v>
      </c>
      <c r="J8">
        <f t="shared" si="5"/>
        <v>29731.336666666666</v>
      </c>
      <c r="K8">
        <f t="shared" si="4"/>
        <v>0.72294134998527371</v>
      </c>
      <c r="L8">
        <f t="shared" si="6"/>
        <v>0.27705865001472635</v>
      </c>
    </row>
    <row r="9" spans="1:12">
      <c r="A9" s="6" t="s">
        <v>647</v>
      </c>
      <c r="B9">
        <v>5157.2550000000001</v>
      </c>
      <c r="C9">
        <v>2076.2759999999998</v>
      </c>
      <c r="D9">
        <v>2263.87</v>
      </c>
      <c r="E9">
        <v>65809.978000000003</v>
      </c>
      <c r="F9">
        <f t="shared" si="0"/>
        <v>21936.659333333333</v>
      </c>
      <c r="G9">
        <f t="shared" si="1"/>
        <v>2022</v>
      </c>
      <c r="H9">
        <f t="shared" si="2"/>
        <v>5</v>
      </c>
      <c r="I9">
        <f t="shared" si="3"/>
        <v>9497.4009999999998</v>
      </c>
      <c r="J9">
        <f t="shared" si="5"/>
        <v>31434.060333333335</v>
      </c>
      <c r="K9">
        <f t="shared" si="4"/>
        <v>0.69786273553948874</v>
      </c>
      <c r="L9">
        <f t="shared" si="6"/>
        <v>0.30213726446051126</v>
      </c>
    </row>
    <row r="10" spans="1:12">
      <c r="A10" s="6" t="s">
        <v>661</v>
      </c>
      <c r="B10">
        <v>5231.0889999999999</v>
      </c>
      <c r="C10">
        <v>3560.29</v>
      </c>
      <c r="D10">
        <v>1795.845</v>
      </c>
      <c r="E10">
        <v>69785.578999999998</v>
      </c>
      <c r="F10">
        <f t="shared" si="0"/>
        <v>23261.859666666667</v>
      </c>
      <c r="G10">
        <f t="shared" si="1"/>
        <v>2022</v>
      </c>
      <c r="H10">
        <f t="shared" si="2"/>
        <v>4</v>
      </c>
      <c r="I10">
        <f t="shared" si="3"/>
        <v>10587.224</v>
      </c>
      <c r="J10">
        <f t="shared" si="5"/>
        <v>33849.083666666666</v>
      </c>
      <c r="K10">
        <f t="shared" si="4"/>
        <v>0.68722272944641316</v>
      </c>
      <c r="L10">
        <f t="shared" si="6"/>
        <v>0.31277727055358695</v>
      </c>
    </row>
    <row r="11" spans="1:12">
      <c r="A11" s="6" t="s">
        <v>675</v>
      </c>
      <c r="B11">
        <v>4712.4319999999998</v>
      </c>
      <c r="C11">
        <v>3461.02</v>
      </c>
      <c r="D11">
        <v>1390.713</v>
      </c>
      <c r="E11">
        <v>85750.866999999998</v>
      </c>
      <c r="F11">
        <f t="shared" si="0"/>
        <v>28583.622333333333</v>
      </c>
      <c r="G11">
        <f t="shared" si="1"/>
        <v>2022</v>
      </c>
      <c r="H11">
        <f t="shared" si="2"/>
        <v>3</v>
      </c>
      <c r="I11">
        <f t="shared" si="3"/>
        <v>9564.1649999999991</v>
      </c>
      <c r="J11">
        <f t="shared" si="5"/>
        <v>38147.787333333334</v>
      </c>
      <c r="K11">
        <f t="shared" si="4"/>
        <v>0.74928650732927615</v>
      </c>
      <c r="L11">
        <f t="shared" si="6"/>
        <v>0.25071349267072385</v>
      </c>
    </row>
    <row r="12" spans="1:12">
      <c r="A12" s="6" t="s">
        <v>689</v>
      </c>
      <c r="B12">
        <v>4511.357</v>
      </c>
      <c r="C12">
        <v>5265.7830000000004</v>
      </c>
      <c r="D12">
        <v>1029.124</v>
      </c>
      <c r="E12">
        <v>94127.123999999996</v>
      </c>
      <c r="F12">
        <f t="shared" si="0"/>
        <v>31375.707999999999</v>
      </c>
      <c r="G12">
        <f t="shared" si="1"/>
        <v>2022</v>
      </c>
      <c r="H12">
        <f t="shared" si="2"/>
        <v>2</v>
      </c>
      <c r="I12">
        <f t="shared" si="3"/>
        <v>10806.263999999999</v>
      </c>
      <c r="J12">
        <f t="shared" si="5"/>
        <v>42181.971999999994</v>
      </c>
      <c r="K12">
        <f t="shared" si="4"/>
        <v>0.74381795142247031</v>
      </c>
      <c r="L12">
        <f t="shared" si="6"/>
        <v>0.2561820485775298</v>
      </c>
    </row>
    <row r="13" spans="1:12">
      <c r="A13" s="6" t="s">
        <v>703</v>
      </c>
      <c r="B13">
        <v>6075.32</v>
      </c>
      <c r="C13">
        <v>3144.953</v>
      </c>
      <c r="D13">
        <v>784.95600000000002</v>
      </c>
      <c r="E13">
        <v>111862.39999999999</v>
      </c>
      <c r="F13">
        <f t="shared" si="0"/>
        <v>37287.466666666667</v>
      </c>
      <c r="G13">
        <f t="shared" si="1"/>
        <v>2022</v>
      </c>
      <c r="H13">
        <f t="shared" si="2"/>
        <v>1</v>
      </c>
      <c r="I13">
        <f t="shared" si="3"/>
        <v>10005.228999999999</v>
      </c>
      <c r="J13">
        <f t="shared" si="5"/>
        <v>47292.695666666667</v>
      </c>
      <c r="K13">
        <f t="shared" si="4"/>
        <v>0.78844028958467705</v>
      </c>
      <c r="L13">
        <f t="shared" si="6"/>
        <v>0.21155971041532295</v>
      </c>
    </row>
    <row r="14" spans="1:12">
      <c r="A14" s="6" t="s">
        <v>717</v>
      </c>
      <c r="B14">
        <v>5461.2179999999998</v>
      </c>
      <c r="C14">
        <v>4331.1279999999997</v>
      </c>
      <c r="D14">
        <v>588.28599999999994</v>
      </c>
      <c r="E14">
        <v>100376.851</v>
      </c>
      <c r="F14">
        <f t="shared" si="0"/>
        <v>33458.950333333334</v>
      </c>
      <c r="G14">
        <f t="shared" si="1"/>
        <v>2021</v>
      </c>
      <c r="H14">
        <f t="shared" si="2"/>
        <v>12</v>
      </c>
      <c r="I14">
        <f t="shared" si="3"/>
        <v>10380.632</v>
      </c>
      <c r="J14">
        <f t="shared" si="5"/>
        <v>43839.582333333332</v>
      </c>
      <c r="K14">
        <f t="shared" si="4"/>
        <v>0.76321325506545468</v>
      </c>
      <c r="L14">
        <f t="shared" si="6"/>
        <v>0.23678674493454535</v>
      </c>
    </row>
    <row r="15" spans="1:12">
      <c r="A15" s="6" t="s">
        <v>730</v>
      </c>
      <c r="B15">
        <v>4141.7160000000003</v>
      </c>
      <c r="C15">
        <v>2710.3870000000002</v>
      </c>
      <c r="D15">
        <v>704.46</v>
      </c>
      <c r="E15">
        <v>96607.448999999993</v>
      </c>
      <c r="F15">
        <f t="shared" si="0"/>
        <v>32202.482999999997</v>
      </c>
      <c r="G15">
        <f t="shared" si="1"/>
        <v>2021</v>
      </c>
      <c r="H15">
        <f t="shared" si="2"/>
        <v>11</v>
      </c>
      <c r="I15">
        <f t="shared" si="3"/>
        <v>7556.563000000001</v>
      </c>
      <c r="J15">
        <f t="shared" si="5"/>
        <v>39759.045999999995</v>
      </c>
      <c r="K15">
        <f t="shared" si="4"/>
        <v>0.80994103832370623</v>
      </c>
      <c r="L15">
        <f t="shared" si="6"/>
        <v>0.1900589616762938</v>
      </c>
    </row>
    <row r="16" spans="1:12">
      <c r="A16" s="6" t="s">
        <v>744</v>
      </c>
      <c r="B16">
        <v>3162.1219999999998</v>
      </c>
      <c r="C16">
        <v>3489.4850000000001</v>
      </c>
      <c r="D16">
        <v>1248.9770000000001</v>
      </c>
      <c r="E16">
        <v>97571.430999999997</v>
      </c>
      <c r="F16">
        <f t="shared" si="0"/>
        <v>32523.810333333331</v>
      </c>
      <c r="G16">
        <f t="shared" si="1"/>
        <v>2021</v>
      </c>
      <c r="H16">
        <f t="shared" si="2"/>
        <v>10</v>
      </c>
      <c r="I16">
        <f t="shared" si="3"/>
        <v>7900.5839999999998</v>
      </c>
      <c r="J16">
        <f t="shared" si="5"/>
        <v>40424.39433333333</v>
      </c>
      <c r="K16">
        <f t="shared" si="4"/>
        <v>0.80455900130864055</v>
      </c>
      <c r="L16">
        <f t="shared" si="6"/>
        <v>0.1954409986913595</v>
      </c>
    </row>
    <row r="17" spans="1:12">
      <c r="A17" s="6" t="s">
        <v>758</v>
      </c>
      <c r="B17">
        <v>3538.607</v>
      </c>
      <c r="C17">
        <v>1657.3920000000001</v>
      </c>
      <c r="D17">
        <v>1466.2729999999999</v>
      </c>
      <c r="E17">
        <v>92746.183999999994</v>
      </c>
      <c r="F17">
        <f t="shared" si="0"/>
        <v>30915.394666666663</v>
      </c>
      <c r="G17">
        <f t="shared" si="1"/>
        <v>2021</v>
      </c>
      <c r="H17">
        <f t="shared" si="2"/>
        <v>9</v>
      </c>
      <c r="I17">
        <f t="shared" si="3"/>
        <v>6662.2719999999999</v>
      </c>
      <c r="J17">
        <f t="shared" si="5"/>
        <v>37577.666666666664</v>
      </c>
      <c r="K17">
        <f t="shared" si="4"/>
        <v>0.82270660764815973</v>
      </c>
      <c r="L17">
        <f t="shared" si="6"/>
        <v>0.17729339235184019</v>
      </c>
    </row>
    <row r="18" spans="1:12">
      <c r="A18" s="6" t="s">
        <v>770</v>
      </c>
      <c r="B18">
        <v>4522.3289999999997</v>
      </c>
      <c r="C18">
        <v>2225.5639999999999</v>
      </c>
      <c r="D18">
        <v>1749.93</v>
      </c>
      <c r="E18">
        <v>93107.481</v>
      </c>
      <c r="F18">
        <f t="shared" si="0"/>
        <v>31035.827000000001</v>
      </c>
      <c r="G18">
        <f t="shared" si="1"/>
        <v>2021</v>
      </c>
      <c r="H18">
        <f t="shared" si="2"/>
        <v>8</v>
      </c>
      <c r="I18">
        <f t="shared" si="3"/>
        <v>8497.8230000000003</v>
      </c>
      <c r="J18">
        <f t="shared" si="5"/>
        <v>39533.65</v>
      </c>
      <c r="K18">
        <f t="shared" si="4"/>
        <v>0.78504835753845137</v>
      </c>
      <c r="L18">
        <f t="shared" si="6"/>
        <v>0.21495164246154858</v>
      </c>
    </row>
    <row r="19" spans="1:12">
      <c r="A19" s="6" t="s">
        <v>782</v>
      </c>
      <c r="B19">
        <v>5773.3670000000002</v>
      </c>
      <c r="C19">
        <v>2315.1030000000001</v>
      </c>
      <c r="D19">
        <v>1718.223</v>
      </c>
      <c r="E19">
        <v>91149.167000000001</v>
      </c>
      <c r="F19">
        <f t="shared" si="0"/>
        <v>30383.055666666667</v>
      </c>
      <c r="G19">
        <f t="shared" si="1"/>
        <v>2021</v>
      </c>
      <c r="H19">
        <f t="shared" si="2"/>
        <v>7</v>
      </c>
      <c r="I19">
        <f t="shared" si="3"/>
        <v>9806.6929999999993</v>
      </c>
      <c r="J19">
        <f t="shared" si="5"/>
        <v>40189.748666666666</v>
      </c>
      <c r="K19">
        <f t="shared" si="4"/>
        <v>0.75599018841006937</v>
      </c>
      <c r="L19">
        <f t="shared" si="6"/>
        <v>0.24400981158993063</v>
      </c>
    </row>
    <row r="20" spans="1:12">
      <c r="A20" s="6" t="s">
        <v>794</v>
      </c>
      <c r="B20">
        <v>6375.2939999999999</v>
      </c>
      <c r="C20">
        <v>1359.5050000000001</v>
      </c>
      <c r="D20">
        <v>1676.3050000000001</v>
      </c>
      <c r="E20">
        <v>88324.864000000001</v>
      </c>
      <c r="F20">
        <f t="shared" si="0"/>
        <v>29441.621333333333</v>
      </c>
      <c r="G20">
        <f t="shared" si="1"/>
        <v>2021</v>
      </c>
      <c r="H20">
        <f t="shared" si="2"/>
        <v>6</v>
      </c>
      <c r="I20">
        <f t="shared" si="3"/>
        <v>9411.1039999999994</v>
      </c>
      <c r="J20">
        <f t="shared" si="5"/>
        <v>38852.725333333336</v>
      </c>
      <c r="K20">
        <f t="shared" si="4"/>
        <v>0.75777493292276632</v>
      </c>
      <c r="L20">
        <f t="shared" si="6"/>
        <v>0.24222506707723357</v>
      </c>
    </row>
    <row r="21" spans="1:12">
      <c r="A21" s="6" t="s">
        <v>806</v>
      </c>
      <c r="B21">
        <v>6436.8209999999999</v>
      </c>
      <c r="C21">
        <v>3964.355</v>
      </c>
      <c r="D21">
        <v>1621.2909999999999</v>
      </c>
      <c r="E21">
        <v>87953.998999999996</v>
      </c>
      <c r="F21">
        <f t="shared" si="0"/>
        <v>29317.999666666667</v>
      </c>
      <c r="G21">
        <f t="shared" si="1"/>
        <v>2021</v>
      </c>
      <c r="H21">
        <f t="shared" si="2"/>
        <v>5</v>
      </c>
      <c r="I21">
        <f t="shared" si="3"/>
        <v>12022.466999999999</v>
      </c>
      <c r="J21">
        <f t="shared" si="5"/>
        <v>41340.466666666667</v>
      </c>
      <c r="K21">
        <f t="shared" si="4"/>
        <v>0.70918405210713631</v>
      </c>
      <c r="L21">
        <f t="shared" si="6"/>
        <v>0.29081594789286364</v>
      </c>
    </row>
    <row r="22" spans="1:12">
      <c r="A22" s="6" t="s">
        <v>820</v>
      </c>
      <c r="B22">
        <v>4170.2759999999998</v>
      </c>
      <c r="C22">
        <v>2949.2350000000001</v>
      </c>
      <c r="D22">
        <v>1580.027</v>
      </c>
      <c r="E22">
        <v>86700.854999999996</v>
      </c>
      <c r="F22">
        <f t="shared" si="0"/>
        <v>28900.285</v>
      </c>
      <c r="G22">
        <f t="shared" si="1"/>
        <v>2021</v>
      </c>
      <c r="H22">
        <f t="shared" si="2"/>
        <v>4</v>
      </c>
      <c r="I22">
        <f t="shared" si="3"/>
        <v>8699.5380000000005</v>
      </c>
      <c r="J22">
        <f t="shared" si="5"/>
        <v>37599.823000000004</v>
      </c>
      <c r="K22">
        <f t="shared" si="4"/>
        <v>0.7686282193402878</v>
      </c>
      <c r="L22">
        <f t="shared" si="6"/>
        <v>0.23137178065971215</v>
      </c>
    </row>
    <row r="23" spans="1:12">
      <c r="A23" s="6" t="s">
        <v>834</v>
      </c>
      <c r="B23">
        <v>6089.1260000000002</v>
      </c>
      <c r="C23">
        <v>3714.4169999999999</v>
      </c>
      <c r="D23">
        <v>1304.153</v>
      </c>
      <c r="E23">
        <v>100674.872</v>
      </c>
      <c r="F23">
        <f t="shared" si="0"/>
        <v>33558.290666666668</v>
      </c>
      <c r="G23">
        <f t="shared" si="1"/>
        <v>2021</v>
      </c>
      <c r="H23">
        <f t="shared" si="2"/>
        <v>3</v>
      </c>
      <c r="I23">
        <f t="shared" si="3"/>
        <v>11107.696</v>
      </c>
      <c r="J23">
        <f t="shared" si="5"/>
        <v>44665.986666666664</v>
      </c>
      <c r="K23">
        <f t="shared" si="4"/>
        <v>0.75131645287734239</v>
      </c>
      <c r="L23">
        <f t="shared" si="6"/>
        <v>0.24868354712265769</v>
      </c>
    </row>
    <row r="24" spans="1:12">
      <c r="A24" s="6" t="s">
        <v>848</v>
      </c>
      <c r="B24">
        <v>7057.5519999999997</v>
      </c>
      <c r="C24">
        <v>4253.7150000000001</v>
      </c>
      <c r="D24">
        <v>673.73099999999999</v>
      </c>
      <c r="E24">
        <v>96487.993000000002</v>
      </c>
      <c r="F24">
        <f t="shared" si="0"/>
        <v>32162.664333333334</v>
      </c>
      <c r="G24">
        <f t="shared" si="1"/>
        <v>2021</v>
      </c>
      <c r="H24">
        <f t="shared" si="2"/>
        <v>2</v>
      </c>
      <c r="I24">
        <f t="shared" si="3"/>
        <v>11984.998</v>
      </c>
      <c r="J24">
        <f t="shared" si="5"/>
        <v>44147.662333333334</v>
      </c>
      <c r="K24">
        <f t="shared" si="4"/>
        <v>0.72852474249920085</v>
      </c>
      <c r="L24">
        <f t="shared" si="6"/>
        <v>0.27147525750079921</v>
      </c>
    </row>
    <row r="25" spans="1:12">
      <c r="A25" s="6" t="s">
        <v>862</v>
      </c>
      <c r="B25">
        <v>7493.7039999999997</v>
      </c>
      <c r="C25">
        <v>3960.9740000000002</v>
      </c>
      <c r="D25">
        <v>480.38499999999999</v>
      </c>
      <c r="E25">
        <v>118085.182</v>
      </c>
      <c r="F25">
        <f t="shared" si="0"/>
        <v>39361.727333333336</v>
      </c>
      <c r="G25">
        <f t="shared" si="1"/>
        <v>2021</v>
      </c>
      <c r="H25">
        <f t="shared" si="2"/>
        <v>1</v>
      </c>
      <c r="I25">
        <f t="shared" si="3"/>
        <v>11935.063</v>
      </c>
      <c r="J25">
        <f t="shared" si="5"/>
        <v>51296.790333333338</v>
      </c>
      <c r="K25">
        <f t="shared" si="4"/>
        <v>0.76733314263047681</v>
      </c>
      <c r="L25">
        <f t="shared" si="6"/>
        <v>0.23266685736952311</v>
      </c>
    </row>
    <row r="26" spans="1:12">
      <c r="A26" s="6" t="s">
        <v>876</v>
      </c>
      <c r="B26">
        <v>5860.8119999999999</v>
      </c>
      <c r="C26">
        <v>4383.9110000000001</v>
      </c>
      <c r="D26">
        <v>374.11500000000001</v>
      </c>
      <c r="E26">
        <v>109533.554</v>
      </c>
      <c r="F26">
        <f t="shared" si="0"/>
        <v>36511.184666666668</v>
      </c>
      <c r="G26">
        <f t="shared" si="1"/>
        <v>2020</v>
      </c>
      <c r="H26">
        <f t="shared" si="2"/>
        <v>12</v>
      </c>
      <c r="I26">
        <f t="shared" si="3"/>
        <v>10618.838</v>
      </c>
      <c r="J26">
        <f t="shared" si="5"/>
        <v>47130.022666666671</v>
      </c>
      <c r="K26">
        <f t="shared" si="4"/>
        <v>0.77469058151948833</v>
      </c>
      <c r="L26">
        <f t="shared" si="6"/>
        <v>0.22530941848051164</v>
      </c>
    </row>
    <row r="27" spans="1:12">
      <c r="A27" s="6" t="s">
        <v>890</v>
      </c>
      <c r="B27">
        <v>4622.3190000000004</v>
      </c>
      <c r="C27">
        <v>3154.7910000000002</v>
      </c>
      <c r="D27">
        <v>697.01300000000003</v>
      </c>
      <c r="E27">
        <v>100429.253</v>
      </c>
      <c r="F27">
        <f t="shared" si="0"/>
        <v>33476.417666666668</v>
      </c>
      <c r="G27">
        <f t="shared" si="1"/>
        <v>2020</v>
      </c>
      <c r="H27">
        <f t="shared" si="2"/>
        <v>11</v>
      </c>
      <c r="I27">
        <f t="shared" si="3"/>
        <v>8474.1230000000014</v>
      </c>
      <c r="J27">
        <f t="shared" si="5"/>
        <v>41950.540666666668</v>
      </c>
      <c r="K27">
        <f t="shared" si="4"/>
        <v>0.79799728763130284</v>
      </c>
      <c r="L27">
        <f t="shared" si="6"/>
        <v>0.20200271236869718</v>
      </c>
    </row>
    <row r="28" spans="1:12">
      <c r="A28" s="6" t="s">
        <v>904</v>
      </c>
      <c r="B28">
        <v>5275.9639999999999</v>
      </c>
      <c r="C28">
        <v>4320.308</v>
      </c>
      <c r="D28">
        <v>809.23400000000004</v>
      </c>
      <c r="E28">
        <v>90211.445999999996</v>
      </c>
      <c r="F28">
        <f t="shared" si="0"/>
        <v>30070.482</v>
      </c>
      <c r="G28">
        <f t="shared" si="1"/>
        <v>2020</v>
      </c>
      <c r="H28">
        <f t="shared" si="2"/>
        <v>10</v>
      </c>
      <c r="I28">
        <f t="shared" si="3"/>
        <v>10405.506000000001</v>
      </c>
      <c r="J28">
        <f t="shared" si="5"/>
        <v>40475.987999999998</v>
      </c>
      <c r="K28">
        <f t="shared" si="4"/>
        <v>0.74292150694382064</v>
      </c>
      <c r="L28">
        <f t="shared" si="6"/>
        <v>0.25707849305617941</v>
      </c>
    </row>
    <row r="29" spans="1:12">
      <c r="A29" s="6" t="s">
        <v>918</v>
      </c>
      <c r="B29">
        <v>3466.232</v>
      </c>
      <c r="C29">
        <v>2145.0859999999998</v>
      </c>
      <c r="D29">
        <v>1273.5</v>
      </c>
      <c r="E29">
        <v>69877.497000000003</v>
      </c>
      <c r="F29">
        <f t="shared" si="0"/>
        <v>23292.499</v>
      </c>
      <c r="G29">
        <f t="shared" si="1"/>
        <v>2020</v>
      </c>
      <c r="H29">
        <f t="shared" si="2"/>
        <v>9</v>
      </c>
      <c r="I29">
        <f t="shared" ref="I29:I92" si="7">SUM($B29,$C29,$D29)</f>
        <v>6884.8179999999993</v>
      </c>
      <c r="J29">
        <f t="shared" si="5"/>
        <v>30177.316999999999</v>
      </c>
      <c r="K29">
        <f t="shared" si="4"/>
        <v>0.77185453564344375</v>
      </c>
      <c r="L29">
        <f t="shared" si="6"/>
        <v>0.22814546435655628</v>
      </c>
    </row>
    <row r="30" spans="1:12">
      <c r="A30" s="6" t="s">
        <v>930</v>
      </c>
      <c r="B30">
        <v>3795.92</v>
      </c>
      <c r="C30">
        <v>2047.002</v>
      </c>
      <c r="D30">
        <v>1556.403</v>
      </c>
      <c r="E30">
        <v>73715.968999999997</v>
      </c>
      <c r="F30">
        <f t="shared" si="0"/>
        <v>24571.989666666665</v>
      </c>
      <c r="G30">
        <f t="shared" si="1"/>
        <v>2020</v>
      </c>
      <c r="H30">
        <f t="shared" si="2"/>
        <v>8</v>
      </c>
      <c r="I30">
        <f t="shared" si="7"/>
        <v>7399.3250000000007</v>
      </c>
      <c r="J30">
        <f t="shared" si="5"/>
        <v>31971.314666666665</v>
      </c>
      <c r="K30">
        <f t="shared" si="4"/>
        <v>0.76856363033095576</v>
      </c>
      <c r="L30">
        <f t="shared" si="6"/>
        <v>0.23143636966904418</v>
      </c>
    </row>
    <row r="31" spans="1:12">
      <c r="A31" s="6" t="s">
        <v>942</v>
      </c>
      <c r="B31">
        <v>4741.8670000000002</v>
      </c>
      <c r="C31">
        <v>2105.002</v>
      </c>
      <c r="D31">
        <v>1742.078</v>
      </c>
      <c r="E31">
        <v>72325.808000000005</v>
      </c>
      <c r="F31">
        <f t="shared" si="0"/>
        <v>24108.602666666669</v>
      </c>
      <c r="G31">
        <f t="shared" si="1"/>
        <v>2020</v>
      </c>
      <c r="H31">
        <f t="shared" si="2"/>
        <v>7</v>
      </c>
      <c r="I31">
        <f t="shared" si="7"/>
        <v>8588.9470000000001</v>
      </c>
      <c r="J31">
        <f t="shared" si="5"/>
        <v>32697.54966666667</v>
      </c>
      <c r="K31">
        <f t="shared" si="4"/>
        <v>0.73732138684520587</v>
      </c>
      <c r="L31">
        <f t="shared" si="6"/>
        <v>0.26267861315479407</v>
      </c>
    </row>
    <row r="32" spans="1:12">
      <c r="A32" s="6" t="s">
        <v>954</v>
      </c>
      <c r="B32">
        <v>6527.5039999999999</v>
      </c>
      <c r="C32">
        <v>2051.3090000000002</v>
      </c>
      <c r="D32">
        <v>1554.798</v>
      </c>
      <c r="E32">
        <v>68777.752999999997</v>
      </c>
      <c r="F32">
        <f t="shared" si="0"/>
        <v>22925.917666666664</v>
      </c>
      <c r="G32">
        <f t="shared" si="1"/>
        <v>2020</v>
      </c>
      <c r="H32">
        <f t="shared" si="2"/>
        <v>6</v>
      </c>
      <c r="I32">
        <f t="shared" si="7"/>
        <v>10133.611000000001</v>
      </c>
      <c r="J32">
        <f t="shared" si="5"/>
        <v>33059.528666666665</v>
      </c>
      <c r="K32">
        <f t="shared" si="4"/>
        <v>0.6934738210524598</v>
      </c>
      <c r="L32">
        <f t="shared" si="6"/>
        <v>0.3065261789475402</v>
      </c>
    </row>
    <row r="33" spans="1:12">
      <c r="A33" s="6" t="s">
        <v>966</v>
      </c>
      <c r="B33">
        <v>6858.0069999999996</v>
      </c>
      <c r="C33">
        <v>2662.7860000000001</v>
      </c>
      <c r="D33">
        <v>1633.665</v>
      </c>
      <c r="E33">
        <v>79563.073000000004</v>
      </c>
      <c r="F33">
        <f t="shared" si="0"/>
        <v>26521.024333333335</v>
      </c>
      <c r="G33">
        <f t="shared" si="1"/>
        <v>2020</v>
      </c>
      <c r="H33">
        <f t="shared" si="2"/>
        <v>5</v>
      </c>
      <c r="I33">
        <f t="shared" si="7"/>
        <v>11154.457999999999</v>
      </c>
      <c r="J33">
        <f t="shared" si="5"/>
        <v>37675.482333333333</v>
      </c>
      <c r="K33">
        <f t="shared" si="4"/>
        <v>0.70393323962488186</v>
      </c>
      <c r="L33">
        <f t="shared" si="6"/>
        <v>0.2960667603751182</v>
      </c>
    </row>
    <row r="34" spans="1:12">
      <c r="A34" s="6" t="s">
        <v>980</v>
      </c>
      <c r="B34">
        <v>5225.5060000000003</v>
      </c>
      <c r="C34">
        <v>2282.0309999999999</v>
      </c>
      <c r="D34">
        <v>1351.3230000000001</v>
      </c>
      <c r="E34">
        <v>85870.558999999994</v>
      </c>
      <c r="F34">
        <f t="shared" si="0"/>
        <v>28623.519666666663</v>
      </c>
      <c r="G34">
        <f t="shared" si="1"/>
        <v>2020</v>
      </c>
      <c r="H34">
        <f t="shared" si="2"/>
        <v>4</v>
      </c>
      <c r="I34">
        <f t="shared" si="7"/>
        <v>8858.86</v>
      </c>
      <c r="J34">
        <f t="shared" si="5"/>
        <v>37482.37966666666</v>
      </c>
      <c r="K34">
        <f t="shared" si="4"/>
        <v>0.76365267950481164</v>
      </c>
      <c r="L34">
        <f t="shared" si="6"/>
        <v>0.23634732049518847</v>
      </c>
    </row>
    <row r="35" spans="1:12">
      <c r="A35" s="6" t="s">
        <v>994</v>
      </c>
      <c r="B35">
        <v>7508.6210000000001</v>
      </c>
      <c r="C35">
        <v>4498.8249999999998</v>
      </c>
      <c r="D35">
        <v>1101.644</v>
      </c>
      <c r="E35">
        <v>97714.37</v>
      </c>
      <c r="F35">
        <f t="shared" si="0"/>
        <v>32571.456666666665</v>
      </c>
      <c r="G35">
        <f t="shared" si="1"/>
        <v>2020</v>
      </c>
      <c r="H35">
        <f t="shared" si="2"/>
        <v>3</v>
      </c>
      <c r="I35">
        <f t="shared" si="7"/>
        <v>13109.09</v>
      </c>
      <c r="J35">
        <f t="shared" si="5"/>
        <v>45680.546666666662</v>
      </c>
      <c r="K35">
        <f t="shared" si="4"/>
        <v>0.71302685811407396</v>
      </c>
      <c r="L35">
        <f t="shared" si="6"/>
        <v>0.2869731418859261</v>
      </c>
    </row>
    <row r="36" spans="1:12">
      <c r="A36" s="6" t="s">
        <v>1008</v>
      </c>
      <c r="B36">
        <v>6432.0010000000002</v>
      </c>
      <c r="C36">
        <v>5907.95</v>
      </c>
      <c r="D36">
        <v>782.66800000000001</v>
      </c>
      <c r="E36">
        <v>105638.334</v>
      </c>
      <c r="F36">
        <f t="shared" si="0"/>
        <v>35212.777999999998</v>
      </c>
      <c r="G36">
        <f t="shared" si="1"/>
        <v>2020</v>
      </c>
      <c r="H36">
        <f t="shared" si="2"/>
        <v>2</v>
      </c>
      <c r="I36">
        <f t="shared" si="7"/>
        <v>13122.619000000001</v>
      </c>
      <c r="J36">
        <f t="shared" si="5"/>
        <v>48335.396999999997</v>
      </c>
      <c r="K36">
        <f t="shared" si="4"/>
        <v>0.72850912965502279</v>
      </c>
      <c r="L36">
        <f t="shared" si="6"/>
        <v>0.27149087034497721</v>
      </c>
    </row>
    <row r="37" spans="1:12">
      <c r="A37" s="6" t="s">
        <v>1022</v>
      </c>
      <c r="B37">
        <v>6472.11</v>
      </c>
      <c r="C37">
        <v>4174.9229999999998</v>
      </c>
      <c r="D37">
        <v>524.25699999999995</v>
      </c>
      <c r="E37">
        <v>118755.94100000001</v>
      </c>
      <c r="F37">
        <f t="shared" si="0"/>
        <v>39585.313666666669</v>
      </c>
      <c r="G37">
        <f t="shared" si="1"/>
        <v>2020</v>
      </c>
      <c r="H37">
        <f t="shared" si="2"/>
        <v>1</v>
      </c>
      <c r="I37">
        <f t="shared" si="7"/>
        <v>11171.289999999999</v>
      </c>
      <c r="J37">
        <f t="shared" si="5"/>
        <v>50756.60366666667</v>
      </c>
      <c r="K37">
        <f t="shared" si="4"/>
        <v>0.7799046982464567</v>
      </c>
      <c r="L37">
        <f t="shared" si="6"/>
        <v>0.22009530175354322</v>
      </c>
    </row>
    <row r="38" spans="1:12">
      <c r="A38" s="6" t="s">
        <v>1036</v>
      </c>
      <c r="B38">
        <v>8052.2190000000001</v>
      </c>
      <c r="C38">
        <v>4715.0079999999998</v>
      </c>
      <c r="D38">
        <v>490.09699999999998</v>
      </c>
      <c r="E38">
        <v>105413.8</v>
      </c>
      <c r="F38">
        <f t="shared" si="0"/>
        <v>35137.933333333334</v>
      </c>
      <c r="G38">
        <f t="shared" si="1"/>
        <v>2019</v>
      </c>
      <c r="H38">
        <f t="shared" si="2"/>
        <v>12</v>
      </c>
      <c r="I38">
        <f t="shared" si="7"/>
        <v>13257.323999999999</v>
      </c>
      <c r="J38">
        <f t="shared" si="5"/>
        <v>48395.257333333335</v>
      </c>
      <c r="K38">
        <f t="shared" si="4"/>
        <v>0.72606150415345105</v>
      </c>
      <c r="L38">
        <f t="shared" si="6"/>
        <v>0.27393849584654889</v>
      </c>
    </row>
    <row r="39" spans="1:12">
      <c r="A39" s="6" t="s">
        <v>1050</v>
      </c>
      <c r="B39">
        <v>6644.6210000000001</v>
      </c>
      <c r="C39">
        <v>3416.78</v>
      </c>
      <c r="D39">
        <v>559.28300000000002</v>
      </c>
      <c r="E39">
        <v>93100.702000000005</v>
      </c>
      <c r="F39">
        <f t="shared" si="0"/>
        <v>31033.567333333336</v>
      </c>
      <c r="G39">
        <f t="shared" si="1"/>
        <v>2019</v>
      </c>
      <c r="H39">
        <f t="shared" si="2"/>
        <v>11</v>
      </c>
      <c r="I39">
        <f t="shared" si="7"/>
        <v>10620.683999999999</v>
      </c>
      <c r="J39">
        <f t="shared" si="5"/>
        <v>41654.251333333334</v>
      </c>
      <c r="K39">
        <f t="shared" si="4"/>
        <v>0.74502761038701182</v>
      </c>
      <c r="L39">
        <f t="shared" si="6"/>
        <v>0.25497238961298818</v>
      </c>
    </row>
    <row r="40" spans="1:12">
      <c r="A40" s="6" t="s">
        <v>1064</v>
      </c>
      <c r="B40">
        <v>3922.9119999999998</v>
      </c>
      <c r="C40">
        <v>3429.0990000000002</v>
      </c>
      <c r="D40">
        <v>822.01900000000001</v>
      </c>
      <c r="E40">
        <v>92959.701000000001</v>
      </c>
      <c r="F40">
        <f t="shared" si="0"/>
        <v>30986.566999999999</v>
      </c>
      <c r="G40">
        <f t="shared" si="1"/>
        <v>2019</v>
      </c>
      <c r="H40">
        <f t="shared" si="2"/>
        <v>10</v>
      </c>
      <c r="I40">
        <f t="shared" si="7"/>
        <v>8174.0300000000007</v>
      </c>
      <c r="J40">
        <f t="shared" si="5"/>
        <v>39160.597000000002</v>
      </c>
      <c r="K40">
        <f t="shared" si="4"/>
        <v>0.7912690146169119</v>
      </c>
      <c r="L40">
        <f t="shared" si="6"/>
        <v>0.20873098538308801</v>
      </c>
    </row>
    <row r="41" spans="1:12">
      <c r="A41" s="6" t="s">
        <v>1078</v>
      </c>
      <c r="B41">
        <v>2693.82</v>
      </c>
      <c r="C41">
        <v>2696.32</v>
      </c>
      <c r="D41">
        <v>1200.6199999999999</v>
      </c>
      <c r="E41">
        <v>88010.441000000006</v>
      </c>
      <c r="F41">
        <f t="shared" si="0"/>
        <v>29336.813666666669</v>
      </c>
      <c r="G41">
        <f t="shared" si="1"/>
        <v>2019</v>
      </c>
      <c r="H41">
        <f t="shared" si="2"/>
        <v>9</v>
      </c>
      <c r="I41">
        <f t="shared" si="7"/>
        <v>6590.76</v>
      </c>
      <c r="J41">
        <f t="shared" si="5"/>
        <v>35927.573666666671</v>
      </c>
      <c r="K41">
        <f t="shared" si="4"/>
        <v>0.81655426939908116</v>
      </c>
      <c r="L41">
        <f t="shared" si="6"/>
        <v>0.18344573060091884</v>
      </c>
    </row>
    <row r="42" spans="1:12">
      <c r="A42" s="6" t="s">
        <v>1090</v>
      </c>
      <c r="B42">
        <v>3881.36</v>
      </c>
      <c r="C42">
        <v>1662.521</v>
      </c>
      <c r="D42">
        <v>1407.7429999999999</v>
      </c>
      <c r="E42">
        <v>88794.004000000001</v>
      </c>
      <c r="F42">
        <f t="shared" si="0"/>
        <v>29598.001333333334</v>
      </c>
      <c r="G42">
        <f t="shared" si="1"/>
        <v>2019</v>
      </c>
      <c r="H42">
        <f t="shared" si="2"/>
        <v>8</v>
      </c>
      <c r="I42">
        <f t="shared" si="7"/>
        <v>6951.6239999999998</v>
      </c>
      <c r="J42">
        <f t="shared" si="5"/>
        <v>36549.62533333333</v>
      </c>
      <c r="K42">
        <f t="shared" si="4"/>
        <v>0.80980313924969016</v>
      </c>
      <c r="L42">
        <f t="shared" si="6"/>
        <v>0.19019686075030995</v>
      </c>
    </row>
    <row r="43" spans="1:12">
      <c r="A43" s="6" t="s">
        <v>1102</v>
      </c>
      <c r="B43">
        <v>4553.2640000000001</v>
      </c>
      <c r="C43">
        <v>1758.16</v>
      </c>
      <c r="D43">
        <v>1484.086</v>
      </c>
      <c r="E43">
        <v>93226.275999999998</v>
      </c>
      <c r="F43">
        <f t="shared" si="0"/>
        <v>31075.425333333333</v>
      </c>
      <c r="G43">
        <f t="shared" si="1"/>
        <v>2019</v>
      </c>
      <c r="H43">
        <f t="shared" si="2"/>
        <v>7</v>
      </c>
      <c r="I43">
        <f t="shared" si="7"/>
        <v>7795.51</v>
      </c>
      <c r="J43">
        <f t="shared" si="5"/>
        <v>38870.935333333335</v>
      </c>
      <c r="K43">
        <f t="shared" si="4"/>
        <v>0.79945144275149327</v>
      </c>
      <c r="L43">
        <f t="shared" si="6"/>
        <v>0.20054855724850665</v>
      </c>
    </row>
    <row r="44" spans="1:12">
      <c r="A44" s="6" t="s">
        <v>1114</v>
      </c>
      <c r="B44">
        <v>5919.2640000000001</v>
      </c>
      <c r="C44">
        <v>1907.3320000000001</v>
      </c>
      <c r="D44">
        <v>1396.056</v>
      </c>
      <c r="E44">
        <v>91228.342000000004</v>
      </c>
      <c r="F44">
        <f t="shared" si="0"/>
        <v>30409.447333333334</v>
      </c>
      <c r="G44">
        <f t="shared" si="1"/>
        <v>2019</v>
      </c>
      <c r="H44">
        <f t="shared" si="2"/>
        <v>6</v>
      </c>
      <c r="I44">
        <f t="shared" si="7"/>
        <v>9222.652</v>
      </c>
      <c r="J44">
        <f t="shared" si="5"/>
        <v>39632.099333333332</v>
      </c>
      <c r="K44">
        <f t="shared" si="4"/>
        <v>0.76729337695611011</v>
      </c>
      <c r="L44">
        <f t="shared" si="6"/>
        <v>0.23270662304388989</v>
      </c>
    </row>
    <row r="45" spans="1:12">
      <c r="A45" s="6" t="s">
        <v>1126</v>
      </c>
      <c r="B45">
        <v>5696.6049999999996</v>
      </c>
      <c r="C45">
        <v>2266.7759999999998</v>
      </c>
      <c r="D45">
        <v>1299.751</v>
      </c>
      <c r="E45">
        <v>100989.601</v>
      </c>
      <c r="F45">
        <f t="shared" si="0"/>
        <v>33663.200333333334</v>
      </c>
      <c r="G45">
        <f t="shared" si="1"/>
        <v>2019</v>
      </c>
      <c r="H45">
        <f t="shared" si="2"/>
        <v>5</v>
      </c>
      <c r="I45">
        <f t="shared" si="7"/>
        <v>9263.1319999999996</v>
      </c>
      <c r="J45">
        <f t="shared" si="5"/>
        <v>42926.332333333332</v>
      </c>
      <c r="K45">
        <f t="shared" si="4"/>
        <v>0.78420863147427688</v>
      </c>
      <c r="L45">
        <f t="shared" si="6"/>
        <v>0.21579136852572317</v>
      </c>
    </row>
    <row r="46" spans="1:12">
      <c r="A46" s="6" t="s">
        <v>1140</v>
      </c>
      <c r="B46">
        <v>4622.4970000000003</v>
      </c>
      <c r="C46">
        <v>2358.3310000000001</v>
      </c>
      <c r="D46">
        <v>1080.3240000000001</v>
      </c>
      <c r="E46">
        <v>101109.583</v>
      </c>
      <c r="F46">
        <f t="shared" si="0"/>
        <v>33703.194333333333</v>
      </c>
      <c r="G46">
        <f t="shared" si="1"/>
        <v>2019</v>
      </c>
      <c r="H46">
        <f t="shared" si="2"/>
        <v>4</v>
      </c>
      <c r="I46">
        <f t="shared" si="7"/>
        <v>8061.152</v>
      </c>
      <c r="J46">
        <f t="shared" si="5"/>
        <v>41764.346333333335</v>
      </c>
      <c r="K46">
        <f t="shared" si="4"/>
        <v>0.80698483975634105</v>
      </c>
      <c r="L46">
        <f t="shared" si="6"/>
        <v>0.19301516024365886</v>
      </c>
    </row>
    <row r="47" spans="1:12">
      <c r="A47" s="6" t="s">
        <v>1154</v>
      </c>
      <c r="B47">
        <v>5309.3620000000001</v>
      </c>
      <c r="C47">
        <v>4506.8090000000002</v>
      </c>
      <c r="D47">
        <v>1068.5129999999999</v>
      </c>
      <c r="E47">
        <v>112901.594</v>
      </c>
      <c r="F47">
        <f t="shared" si="0"/>
        <v>37633.864666666668</v>
      </c>
      <c r="G47">
        <f t="shared" si="1"/>
        <v>2019</v>
      </c>
      <c r="H47">
        <f t="shared" si="2"/>
        <v>3</v>
      </c>
      <c r="I47">
        <f t="shared" si="7"/>
        <v>10884.684000000001</v>
      </c>
      <c r="J47">
        <f t="shared" si="5"/>
        <v>48518.548666666669</v>
      </c>
      <c r="K47">
        <f t="shared" si="4"/>
        <v>0.77565932413229777</v>
      </c>
      <c r="L47">
        <f t="shared" si="6"/>
        <v>0.22434067586770218</v>
      </c>
    </row>
    <row r="48" spans="1:12">
      <c r="A48" s="6" t="s">
        <v>1166</v>
      </c>
      <c r="B48">
        <v>5202.4660000000003</v>
      </c>
      <c r="C48">
        <v>2627.5070000000001</v>
      </c>
      <c r="D48">
        <v>782.28700000000003</v>
      </c>
      <c r="E48">
        <v>114250.76300000001</v>
      </c>
      <c r="F48">
        <f t="shared" si="0"/>
        <v>38083.587666666666</v>
      </c>
      <c r="G48">
        <f t="shared" si="1"/>
        <v>2019</v>
      </c>
      <c r="H48">
        <f t="shared" si="2"/>
        <v>2</v>
      </c>
      <c r="I48">
        <f t="shared" si="7"/>
        <v>8612.26</v>
      </c>
      <c r="J48">
        <f t="shared" si="5"/>
        <v>46695.847666666668</v>
      </c>
      <c r="K48">
        <f t="shared" si="4"/>
        <v>0.81556689876415345</v>
      </c>
      <c r="L48">
        <f t="shared" si="6"/>
        <v>0.1844331012358465</v>
      </c>
    </row>
    <row r="49" spans="1:12">
      <c r="A49" s="6" t="s">
        <v>1180</v>
      </c>
      <c r="B49">
        <v>5146.7420000000002</v>
      </c>
      <c r="C49">
        <v>2968.8679999999999</v>
      </c>
      <c r="D49">
        <v>501.226</v>
      </c>
      <c r="E49">
        <v>127358.57399999999</v>
      </c>
      <c r="F49">
        <f t="shared" si="0"/>
        <v>42452.858</v>
      </c>
      <c r="G49">
        <f t="shared" si="1"/>
        <v>2019</v>
      </c>
      <c r="H49">
        <f t="shared" si="2"/>
        <v>1</v>
      </c>
      <c r="I49">
        <f t="shared" si="7"/>
        <v>8616.8360000000011</v>
      </c>
      <c r="J49">
        <f t="shared" si="5"/>
        <v>51069.694000000003</v>
      </c>
      <c r="K49">
        <f t="shared" si="4"/>
        <v>0.8312730050820355</v>
      </c>
      <c r="L49">
        <f t="shared" si="6"/>
        <v>0.16872699491796447</v>
      </c>
    </row>
    <row r="50" spans="1:12">
      <c r="A50" s="6" t="s">
        <v>1194</v>
      </c>
      <c r="B50">
        <v>5311.143</v>
      </c>
      <c r="C50">
        <v>3613.4520000000002</v>
      </c>
      <c r="D50">
        <v>370.54899999999998</v>
      </c>
      <c r="E50">
        <v>123406.02</v>
      </c>
      <c r="F50">
        <f t="shared" si="0"/>
        <v>41135.340000000004</v>
      </c>
      <c r="G50">
        <f t="shared" si="1"/>
        <v>2018</v>
      </c>
      <c r="H50">
        <f t="shared" si="2"/>
        <v>12</v>
      </c>
      <c r="I50">
        <f t="shared" si="7"/>
        <v>9295.1440000000002</v>
      </c>
      <c r="J50">
        <f t="shared" si="5"/>
        <v>50430.484000000004</v>
      </c>
      <c r="K50">
        <f t="shared" si="4"/>
        <v>0.81568402159297149</v>
      </c>
      <c r="L50">
        <f t="shared" si="6"/>
        <v>0.18431597840702857</v>
      </c>
    </row>
    <row r="51" spans="1:12">
      <c r="A51" s="6" t="s">
        <v>1208</v>
      </c>
      <c r="B51">
        <v>4123.8059999999996</v>
      </c>
      <c r="C51">
        <v>2796.145</v>
      </c>
      <c r="D51">
        <v>499.14400000000001</v>
      </c>
      <c r="E51">
        <v>103937.52099999999</v>
      </c>
      <c r="F51">
        <f t="shared" si="0"/>
        <v>34645.840333333334</v>
      </c>
      <c r="G51">
        <f t="shared" si="1"/>
        <v>2018</v>
      </c>
      <c r="H51">
        <f t="shared" si="2"/>
        <v>11</v>
      </c>
      <c r="I51">
        <f t="shared" si="7"/>
        <v>7419.0949999999993</v>
      </c>
      <c r="J51">
        <f t="shared" si="5"/>
        <v>42064.935333333335</v>
      </c>
      <c r="K51">
        <f t="shared" si="4"/>
        <v>0.82362756673202542</v>
      </c>
      <c r="L51">
        <f t="shared" si="6"/>
        <v>0.17637243326797458</v>
      </c>
    </row>
    <row r="52" spans="1:12">
      <c r="A52" s="6" t="s">
        <v>1222</v>
      </c>
      <c r="B52">
        <v>3074.4259999999999</v>
      </c>
      <c r="C52">
        <v>2449.6019999999999</v>
      </c>
      <c r="D52">
        <v>810.06700000000001</v>
      </c>
      <c r="E52">
        <v>100772.212</v>
      </c>
      <c r="F52">
        <f t="shared" si="0"/>
        <v>33590.737333333331</v>
      </c>
      <c r="G52">
        <f t="shared" si="1"/>
        <v>2018</v>
      </c>
      <c r="H52">
        <f t="shared" si="2"/>
        <v>10</v>
      </c>
      <c r="I52">
        <f t="shared" si="7"/>
        <v>6334.0950000000003</v>
      </c>
      <c r="J52">
        <f t="shared" si="5"/>
        <v>39924.832333333332</v>
      </c>
      <c r="K52">
        <f t="shared" si="4"/>
        <v>0.84134949028422967</v>
      </c>
      <c r="L52">
        <f t="shared" si="6"/>
        <v>0.1586505097157703</v>
      </c>
    </row>
    <row r="53" spans="1:12">
      <c r="A53" s="6" t="s">
        <v>1236</v>
      </c>
      <c r="B53">
        <v>3175.1019999999999</v>
      </c>
      <c r="C53">
        <v>1585.212</v>
      </c>
      <c r="D53">
        <v>1177.0060000000001</v>
      </c>
      <c r="E53">
        <v>96104.597999999998</v>
      </c>
      <c r="F53">
        <f t="shared" si="0"/>
        <v>32034.865999999998</v>
      </c>
      <c r="G53">
        <f t="shared" si="1"/>
        <v>2018</v>
      </c>
      <c r="H53">
        <f t="shared" si="2"/>
        <v>9</v>
      </c>
      <c r="I53">
        <f t="shared" si="7"/>
        <v>5937.3200000000006</v>
      </c>
      <c r="J53">
        <f t="shared" si="5"/>
        <v>37972.186000000002</v>
      </c>
      <c r="K53">
        <f t="shared" si="4"/>
        <v>0.84364028976367067</v>
      </c>
      <c r="L53">
        <f t="shared" si="6"/>
        <v>0.1563597102363293</v>
      </c>
    </row>
    <row r="54" spans="1:12">
      <c r="A54" s="6" t="s">
        <v>1248</v>
      </c>
      <c r="B54">
        <v>4064.8449999999998</v>
      </c>
      <c r="C54">
        <v>1402.538</v>
      </c>
      <c r="D54">
        <v>1326.5619999999999</v>
      </c>
      <c r="E54">
        <v>87546.407999999996</v>
      </c>
      <c r="F54">
        <f t="shared" si="0"/>
        <v>29182.135999999999</v>
      </c>
      <c r="G54">
        <f t="shared" si="1"/>
        <v>2018</v>
      </c>
      <c r="H54">
        <f t="shared" si="2"/>
        <v>8</v>
      </c>
      <c r="I54">
        <f t="shared" si="7"/>
        <v>6793.9449999999997</v>
      </c>
      <c r="J54">
        <f t="shared" si="5"/>
        <v>35976.080999999998</v>
      </c>
      <c r="K54">
        <f t="shared" si="4"/>
        <v>0.81115383301477451</v>
      </c>
      <c r="L54">
        <f t="shared" si="6"/>
        <v>0.18884616698522555</v>
      </c>
    </row>
    <row r="55" spans="1:12">
      <c r="A55" s="6" t="s">
        <v>1260</v>
      </c>
      <c r="B55">
        <v>5465.7420000000002</v>
      </c>
      <c r="C55">
        <v>1085.7349999999999</v>
      </c>
      <c r="D55">
        <v>1432.732</v>
      </c>
      <c r="E55">
        <v>95721.775999999998</v>
      </c>
      <c r="F55">
        <f t="shared" si="0"/>
        <v>31907.258666666665</v>
      </c>
      <c r="G55">
        <f t="shared" si="1"/>
        <v>2018</v>
      </c>
      <c r="H55">
        <f t="shared" si="2"/>
        <v>7</v>
      </c>
      <c r="I55">
        <f t="shared" si="7"/>
        <v>7984.2089999999998</v>
      </c>
      <c r="J55">
        <f t="shared" si="5"/>
        <v>39891.467666666664</v>
      </c>
      <c r="K55">
        <f t="shared" si="4"/>
        <v>0.79985171097949825</v>
      </c>
      <c r="L55">
        <f t="shared" si="6"/>
        <v>0.20014828902050175</v>
      </c>
    </row>
    <row r="56" spans="1:12">
      <c r="A56" s="6" t="s">
        <v>1272</v>
      </c>
      <c r="B56">
        <v>7803.665</v>
      </c>
      <c r="C56">
        <v>1373.5129999999999</v>
      </c>
      <c r="D56">
        <v>1283.9749999999999</v>
      </c>
      <c r="E56">
        <v>91391.126000000004</v>
      </c>
      <c r="F56">
        <f t="shared" si="0"/>
        <v>30463.708666666669</v>
      </c>
      <c r="G56">
        <f t="shared" si="1"/>
        <v>2018</v>
      </c>
      <c r="H56">
        <f t="shared" si="2"/>
        <v>6</v>
      </c>
      <c r="I56">
        <f t="shared" si="7"/>
        <v>10461.153</v>
      </c>
      <c r="J56">
        <f t="shared" si="5"/>
        <v>40924.861666666671</v>
      </c>
      <c r="K56">
        <f t="shared" si="4"/>
        <v>0.74438146950364359</v>
      </c>
      <c r="L56">
        <f t="shared" si="6"/>
        <v>0.25561853049635636</v>
      </c>
    </row>
    <row r="57" spans="1:12">
      <c r="A57" s="6" t="s">
        <v>1284</v>
      </c>
      <c r="B57">
        <v>7938.8519999999999</v>
      </c>
      <c r="C57">
        <v>1605.95</v>
      </c>
      <c r="D57">
        <v>1144.258</v>
      </c>
      <c r="E57">
        <v>97495.217999999993</v>
      </c>
      <c r="F57">
        <f t="shared" si="0"/>
        <v>32498.405999999999</v>
      </c>
      <c r="G57">
        <f t="shared" si="1"/>
        <v>2018</v>
      </c>
      <c r="H57">
        <f t="shared" si="2"/>
        <v>5</v>
      </c>
      <c r="I57">
        <f t="shared" si="7"/>
        <v>10689.06</v>
      </c>
      <c r="J57">
        <f t="shared" si="5"/>
        <v>43187.466</v>
      </c>
      <c r="K57">
        <f t="shared" si="4"/>
        <v>0.75249624509111046</v>
      </c>
      <c r="L57">
        <f t="shared" si="6"/>
        <v>0.24750375490888951</v>
      </c>
    </row>
    <row r="58" spans="1:12">
      <c r="A58" s="6" t="s">
        <v>1298</v>
      </c>
      <c r="B58">
        <v>7162.3819999999996</v>
      </c>
      <c r="C58">
        <v>2160.3820000000001</v>
      </c>
      <c r="D58">
        <v>1011.24</v>
      </c>
      <c r="E58">
        <v>97451.630999999994</v>
      </c>
      <c r="F58">
        <f t="shared" si="0"/>
        <v>32483.876999999997</v>
      </c>
      <c r="G58">
        <f t="shared" si="1"/>
        <v>2018</v>
      </c>
      <c r="H58">
        <f t="shared" si="2"/>
        <v>4</v>
      </c>
      <c r="I58">
        <f t="shared" si="7"/>
        <v>10334.003999999999</v>
      </c>
      <c r="J58">
        <f t="shared" si="5"/>
        <v>42817.880999999994</v>
      </c>
      <c r="K58">
        <f t="shared" si="4"/>
        <v>0.75865213881088611</v>
      </c>
      <c r="L58">
        <f t="shared" si="6"/>
        <v>0.24134786118911397</v>
      </c>
    </row>
    <row r="59" spans="1:12">
      <c r="A59" s="6" t="s">
        <v>1312</v>
      </c>
      <c r="B59">
        <v>7323.9870000000001</v>
      </c>
      <c r="C59">
        <v>3093.6089999999999</v>
      </c>
      <c r="D59">
        <v>774.30899999999997</v>
      </c>
      <c r="E59">
        <v>113291.10799999999</v>
      </c>
      <c r="F59">
        <f t="shared" si="0"/>
        <v>37763.702666666664</v>
      </c>
      <c r="G59">
        <f t="shared" si="1"/>
        <v>2018</v>
      </c>
      <c r="H59">
        <f t="shared" si="2"/>
        <v>3</v>
      </c>
      <c r="I59">
        <f t="shared" si="7"/>
        <v>11191.904999999999</v>
      </c>
      <c r="J59">
        <f t="shared" si="5"/>
        <v>48955.607666666663</v>
      </c>
      <c r="K59">
        <f t="shared" si="4"/>
        <v>0.77138665959976549</v>
      </c>
      <c r="L59">
        <f t="shared" si="6"/>
        <v>0.22861334040023457</v>
      </c>
    </row>
    <row r="60" spans="1:12">
      <c r="A60" s="6" t="s">
        <v>1326</v>
      </c>
      <c r="B60">
        <v>7367.1890000000003</v>
      </c>
      <c r="C60">
        <v>2732.924</v>
      </c>
      <c r="D60">
        <v>534.43799999999999</v>
      </c>
      <c r="E60">
        <v>115269.05</v>
      </c>
      <c r="F60">
        <f t="shared" si="0"/>
        <v>38423.01666666667</v>
      </c>
      <c r="G60">
        <f t="shared" si="1"/>
        <v>2018</v>
      </c>
      <c r="H60">
        <f t="shared" si="2"/>
        <v>2</v>
      </c>
      <c r="I60">
        <f t="shared" si="7"/>
        <v>10634.551000000001</v>
      </c>
      <c r="J60">
        <f t="shared" si="5"/>
        <v>49057.56766666667</v>
      </c>
      <c r="K60">
        <f t="shared" si="4"/>
        <v>0.78322302743872285</v>
      </c>
      <c r="L60">
        <f t="shared" si="6"/>
        <v>0.21677697256127723</v>
      </c>
    </row>
    <row r="61" spans="1:12">
      <c r="A61" s="6" t="s">
        <v>1340</v>
      </c>
      <c r="B61">
        <v>7523.848</v>
      </c>
      <c r="C61">
        <v>3976.68</v>
      </c>
      <c r="D61">
        <v>331.25099999999998</v>
      </c>
      <c r="E61">
        <v>129237.35799999999</v>
      </c>
      <c r="F61">
        <f t="shared" si="0"/>
        <v>43079.119333333329</v>
      </c>
      <c r="G61">
        <f t="shared" si="1"/>
        <v>2018</v>
      </c>
      <c r="H61">
        <f t="shared" si="2"/>
        <v>1</v>
      </c>
      <c r="I61">
        <f t="shared" si="7"/>
        <v>11831.779</v>
      </c>
      <c r="J61">
        <f t="shared" si="5"/>
        <v>54910.898333333331</v>
      </c>
      <c r="K61">
        <f t="shared" si="4"/>
        <v>0.78452767375656662</v>
      </c>
      <c r="L61">
        <f t="shared" si="6"/>
        <v>0.21547232624343335</v>
      </c>
    </row>
    <row r="62" spans="1:12">
      <c r="A62" s="6" t="s">
        <v>1354</v>
      </c>
      <c r="B62">
        <v>5344.4610000000002</v>
      </c>
      <c r="C62">
        <v>3084.3389999999999</v>
      </c>
      <c r="D62">
        <v>295.327</v>
      </c>
      <c r="E62">
        <v>118870.359</v>
      </c>
      <c r="F62">
        <f t="shared" si="0"/>
        <v>39623.453000000001</v>
      </c>
      <c r="G62">
        <f t="shared" si="1"/>
        <v>2017</v>
      </c>
      <c r="H62">
        <f t="shared" si="2"/>
        <v>12</v>
      </c>
      <c r="I62">
        <f t="shared" si="7"/>
        <v>8724.1269999999986</v>
      </c>
      <c r="J62">
        <f t="shared" si="5"/>
        <v>48347.58</v>
      </c>
      <c r="K62">
        <f t="shared" si="4"/>
        <v>0.81955400870115935</v>
      </c>
      <c r="L62">
        <f t="shared" si="6"/>
        <v>0.18044599129884056</v>
      </c>
    </row>
    <row r="63" spans="1:12">
      <c r="A63" s="6" t="s">
        <v>1368</v>
      </c>
      <c r="B63">
        <v>3930.395</v>
      </c>
      <c r="C63">
        <v>2172.6849999999999</v>
      </c>
      <c r="D63">
        <v>400.92599999999999</v>
      </c>
      <c r="E63">
        <v>96864.569000000003</v>
      </c>
      <c r="F63">
        <f t="shared" si="0"/>
        <v>32288.189666666669</v>
      </c>
      <c r="G63">
        <f t="shared" si="1"/>
        <v>2017</v>
      </c>
      <c r="H63">
        <f t="shared" si="2"/>
        <v>11</v>
      </c>
      <c r="I63">
        <f t="shared" si="7"/>
        <v>6504.0060000000003</v>
      </c>
      <c r="J63">
        <f t="shared" si="5"/>
        <v>38792.195666666667</v>
      </c>
      <c r="K63">
        <f t="shared" si="4"/>
        <v>0.83233725525908409</v>
      </c>
      <c r="L63">
        <f t="shared" si="6"/>
        <v>0.16766274474091597</v>
      </c>
    </row>
    <row r="64" spans="1:12">
      <c r="A64" s="6" t="s">
        <v>1382</v>
      </c>
      <c r="B64">
        <v>2732.8150000000001</v>
      </c>
      <c r="C64">
        <v>1972.7170000000001</v>
      </c>
      <c r="D64">
        <v>652.53399999999999</v>
      </c>
      <c r="E64">
        <v>89679.724000000002</v>
      </c>
      <c r="F64">
        <f t="shared" si="0"/>
        <v>29893.241333333335</v>
      </c>
      <c r="G64">
        <f t="shared" si="1"/>
        <v>2017</v>
      </c>
      <c r="H64">
        <f t="shared" si="2"/>
        <v>10</v>
      </c>
      <c r="I64">
        <f t="shared" si="7"/>
        <v>5358.0659999999998</v>
      </c>
      <c r="J64">
        <f t="shared" si="5"/>
        <v>35251.307333333338</v>
      </c>
      <c r="K64">
        <f t="shared" si="4"/>
        <v>0.84800376481545525</v>
      </c>
      <c r="L64">
        <f t="shared" si="6"/>
        <v>0.15199623518454472</v>
      </c>
    </row>
    <row r="65" spans="1:12">
      <c r="A65" s="6" t="s">
        <v>1396</v>
      </c>
      <c r="B65">
        <v>3098.5259999999998</v>
      </c>
      <c r="C65">
        <v>1557.9680000000001</v>
      </c>
      <c r="D65">
        <v>792.77200000000005</v>
      </c>
      <c r="E65">
        <v>93701.03</v>
      </c>
      <c r="F65">
        <f t="shared" si="0"/>
        <v>31233.676666666666</v>
      </c>
      <c r="G65">
        <f t="shared" si="1"/>
        <v>2017</v>
      </c>
      <c r="H65">
        <f t="shared" si="2"/>
        <v>9</v>
      </c>
      <c r="I65">
        <f t="shared" si="7"/>
        <v>5449.2659999999996</v>
      </c>
      <c r="J65">
        <f t="shared" si="5"/>
        <v>36682.94266666667</v>
      </c>
      <c r="K65">
        <f t="shared" si="4"/>
        <v>0.85144959471990012</v>
      </c>
      <c r="L65">
        <f t="shared" si="6"/>
        <v>0.14855040528009983</v>
      </c>
    </row>
    <row r="66" spans="1:12">
      <c r="A66" s="6" t="s">
        <v>1408</v>
      </c>
      <c r="B66">
        <v>3531.8139999999999</v>
      </c>
      <c r="C66">
        <v>1170.4100000000001</v>
      </c>
      <c r="D66">
        <v>1000.546</v>
      </c>
      <c r="E66">
        <v>91336.843999999997</v>
      </c>
      <c r="F66">
        <f t="shared" ref="F66:F129" si="8">E66/3</f>
        <v>30445.614666666665</v>
      </c>
      <c r="G66">
        <f t="shared" ref="G66:G129" si="9">LEFT(A66,4)*1</f>
        <v>2017</v>
      </c>
      <c r="H66">
        <f t="shared" ref="H66:H129" si="10">RIGHT(A66,2)*1</f>
        <v>8</v>
      </c>
      <c r="I66">
        <f t="shared" si="7"/>
        <v>5702.77</v>
      </c>
      <c r="J66">
        <f t="shared" si="5"/>
        <v>36148.384666666665</v>
      </c>
      <c r="K66">
        <f t="shared" ref="K66:K129" si="11" xml:space="preserve"> F66 / J66</f>
        <v>0.84223997690113472</v>
      </c>
      <c r="L66">
        <f t="shared" si="6"/>
        <v>0.15776002309886528</v>
      </c>
    </row>
    <row r="67" spans="1:12">
      <c r="A67" s="6" t="s">
        <v>1420</v>
      </c>
      <c r="B67">
        <v>3939.3409999999999</v>
      </c>
      <c r="C67">
        <v>1619.1030000000001</v>
      </c>
      <c r="D67">
        <v>1059.8620000000001</v>
      </c>
      <c r="E67">
        <v>90039.040999999997</v>
      </c>
      <c r="F67">
        <f t="shared" si="8"/>
        <v>30013.013666666666</v>
      </c>
      <c r="G67">
        <f t="shared" si="9"/>
        <v>2017</v>
      </c>
      <c r="H67">
        <f t="shared" si="10"/>
        <v>7</v>
      </c>
      <c r="I67">
        <f t="shared" si="7"/>
        <v>6618.3059999999996</v>
      </c>
      <c r="J67">
        <f t="shared" ref="J67:J130" si="12">SUM($B67,$C67,$D67,$F67)</f>
        <v>36631.319666666663</v>
      </c>
      <c r="K67">
        <f t="shared" si="11"/>
        <v>0.81932657463000313</v>
      </c>
      <c r="L67">
        <f t="shared" ref="L67:L130" si="13" xml:space="preserve"> I67 / J67</f>
        <v>0.18067342536999692</v>
      </c>
    </row>
    <row r="68" spans="1:12">
      <c r="A68" s="6" t="s">
        <v>1432</v>
      </c>
      <c r="B68">
        <v>5157.8940000000002</v>
      </c>
      <c r="C68">
        <v>1396.048</v>
      </c>
      <c r="D68">
        <v>1049.4939999999999</v>
      </c>
      <c r="E68">
        <v>86043.752999999997</v>
      </c>
      <c r="F68">
        <f t="shared" si="8"/>
        <v>28681.251</v>
      </c>
      <c r="G68">
        <f t="shared" si="9"/>
        <v>2017</v>
      </c>
      <c r="H68">
        <f t="shared" si="10"/>
        <v>6</v>
      </c>
      <c r="I68">
        <f t="shared" si="7"/>
        <v>7603.4359999999997</v>
      </c>
      <c r="J68">
        <f t="shared" si="12"/>
        <v>36284.686999999998</v>
      </c>
      <c r="K68">
        <f t="shared" si="11"/>
        <v>0.7904505556297069</v>
      </c>
      <c r="L68">
        <f t="shared" si="13"/>
        <v>0.20954944437029319</v>
      </c>
    </row>
    <row r="69" spans="1:12">
      <c r="A69" s="6" t="s">
        <v>1444</v>
      </c>
      <c r="B69">
        <v>5757.9650000000001</v>
      </c>
      <c r="C69">
        <v>1400.7619999999999</v>
      </c>
      <c r="D69">
        <v>1015.797</v>
      </c>
      <c r="E69">
        <v>95666.748999999996</v>
      </c>
      <c r="F69">
        <f t="shared" si="8"/>
        <v>31888.916333333331</v>
      </c>
      <c r="G69">
        <f t="shared" si="9"/>
        <v>2017</v>
      </c>
      <c r="H69">
        <f t="shared" si="10"/>
        <v>5</v>
      </c>
      <c r="I69">
        <f t="shared" si="7"/>
        <v>8174.5239999999994</v>
      </c>
      <c r="J69">
        <f t="shared" si="12"/>
        <v>40063.440333333332</v>
      </c>
      <c r="K69">
        <f t="shared" si="11"/>
        <v>0.79596050833411114</v>
      </c>
      <c r="L69">
        <f t="shared" si="13"/>
        <v>0.20403949166588881</v>
      </c>
    </row>
    <row r="70" spans="1:12">
      <c r="A70" s="6" t="s">
        <v>1458</v>
      </c>
      <c r="B70">
        <v>4239.9049999999997</v>
      </c>
      <c r="C70">
        <v>1378.93</v>
      </c>
      <c r="D70">
        <v>931.16099999999994</v>
      </c>
      <c r="E70">
        <v>101042.997</v>
      </c>
      <c r="F70">
        <f t="shared" si="8"/>
        <v>33680.999000000003</v>
      </c>
      <c r="G70">
        <f t="shared" si="9"/>
        <v>2017</v>
      </c>
      <c r="H70">
        <f t="shared" si="10"/>
        <v>4</v>
      </c>
      <c r="I70">
        <f t="shared" si="7"/>
        <v>6549.9960000000001</v>
      </c>
      <c r="J70">
        <f t="shared" si="12"/>
        <v>40230.995000000003</v>
      </c>
      <c r="K70">
        <f t="shared" si="11"/>
        <v>0.8371903056337533</v>
      </c>
      <c r="L70">
        <f t="shared" si="13"/>
        <v>0.1628096943662467</v>
      </c>
    </row>
    <row r="71" spans="1:12">
      <c r="A71" s="6" t="s">
        <v>1472</v>
      </c>
      <c r="B71">
        <v>6308.38</v>
      </c>
      <c r="C71">
        <v>2514.855</v>
      </c>
      <c r="D71">
        <v>678.52</v>
      </c>
      <c r="E71">
        <v>108798.41899999999</v>
      </c>
      <c r="F71">
        <f t="shared" si="8"/>
        <v>36266.139666666662</v>
      </c>
      <c r="G71">
        <f t="shared" si="9"/>
        <v>2017</v>
      </c>
      <c r="H71">
        <f t="shared" si="10"/>
        <v>3</v>
      </c>
      <c r="I71">
        <f t="shared" si="7"/>
        <v>9501.755000000001</v>
      </c>
      <c r="J71">
        <f t="shared" si="12"/>
        <v>45767.89466666666</v>
      </c>
      <c r="K71">
        <f t="shared" si="11"/>
        <v>0.79239256974343097</v>
      </c>
      <c r="L71">
        <f t="shared" si="13"/>
        <v>0.20760743025656914</v>
      </c>
    </row>
    <row r="72" spans="1:12">
      <c r="A72" s="6" t="s">
        <v>1486</v>
      </c>
      <c r="B72">
        <v>4583.5389999999998</v>
      </c>
      <c r="C72">
        <v>2422.1579999999999</v>
      </c>
      <c r="D72">
        <v>412.99799999999999</v>
      </c>
      <c r="E72">
        <v>107040.272</v>
      </c>
      <c r="F72">
        <f t="shared" si="8"/>
        <v>35680.090666666663</v>
      </c>
      <c r="G72">
        <f t="shared" si="9"/>
        <v>2017</v>
      </c>
      <c r="H72">
        <f t="shared" si="10"/>
        <v>2</v>
      </c>
      <c r="I72">
        <f t="shared" si="7"/>
        <v>7418.6949999999997</v>
      </c>
      <c r="J72">
        <f t="shared" si="12"/>
        <v>43098.785666666663</v>
      </c>
      <c r="K72">
        <f t="shared" si="11"/>
        <v>0.82786765600828183</v>
      </c>
      <c r="L72">
        <f t="shared" si="13"/>
        <v>0.1721323439917182</v>
      </c>
    </row>
    <row r="73" spans="1:12">
      <c r="A73" s="6" t="s">
        <v>1500</v>
      </c>
      <c r="B73">
        <v>5286.67</v>
      </c>
      <c r="C73">
        <v>1909.1420000000001</v>
      </c>
      <c r="D73">
        <v>317.89299999999997</v>
      </c>
      <c r="E73">
        <v>128272.379</v>
      </c>
      <c r="F73">
        <f t="shared" si="8"/>
        <v>42757.459666666669</v>
      </c>
      <c r="G73">
        <f t="shared" si="9"/>
        <v>2017</v>
      </c>
      <c r="H73">
        <f t="shared" si="10"/>
        <v>1</v>
      </c>
      <c r="I73">
        <f t="shared" si="7"/>
        <v>7513.7049999999999</v>
      </c>
      <c r="J73">
        <f t="shared" si="12"/>
        <v>50271.164666666671</v>
      </c>
      <c r="K73">
        <f t="shared" si="11"/>
        <v>0.85053648448725683</v>
      </c>
      <c r="L73">
        <f t="shared" si="13"/>
        <v>0.14946351551274317</v>
      </c>
    </row>
    <row r="74" spans="1:12">
      <c r="A74" s="6" t="s">
        <v>1514</v>
      </c>
      <c r="B74">
        <v>4597.3379999999997</v>
      </c>
      <c r="C74">
        <v>1388.663</v>
      </c>
      <c r="D74">
        <v>251.57</v>
      </c>
      <c r="E74">
        <v>116283.806</v>
      </c>
      <c r="F74">
        <f t="shared" si="8"/>
        <v>38761.268666666663</v>
      </c>
      <c r="G74">
        <f t="shared" si="9"/>
        <v>2016</v>
      </c>
      <c r="H74">
        <f t="shared" si="10"/>
        <v>12</v>
      </c>
      <c r="I74">
        <f t="shared" si="7"/>
        <v>6237.5709999999999</v>
      </c>
      <c r="J74">
        <f t="shared" si="12"/>
        <v>44998.839666666667</v>
      </c>
      <c r="K74">
        <f t="shared" si="11"/>
        <v>0.86138373686509639</v>
      </c>
      <c r="L74">
        <f t="shared" si="13"/>
        <v>0.13861626313490349</v>
      </c>
    </row>
    <row r="75" spans="1:12">
      <c r="A75" s="6" t="s">
        <v>1527</v>
      </c>
      <c r="B75">
        <v>4228.7659999999996</v>
      </c>
      <c r="C75">
        <v>2188.5010000000002</v>
      </c>
      <c r="D75">
        <v>315.50599999999997</v>
      </c>
      <c r="E75">
        <v>99125.531000000003</v>
      </c>
      <c r="F75">
        <f t="shared" si="8"/>
        <v>33041.843666666668</v>
      </c>
      <c r="G75">
        <f t="shared" si="9"/>
        <v>2016</v>
      </c>
      <c r="H75">
        <f t="shared" si="10"/>
        <v>11</v>
      </c>
      <c r="I75">
        <f t="shared" si="7"/>
        <v>6732.7730000000001</v>
      </c>
      <c r="J75">
        <f t="shared" si="12"/>
        <v>39774.616666666669</v>
      </c>
      <c r="K75">
        <f t="shared" si="11"/>
        <v>0.83072689156442736</v>
      </c>
      <c r="L75">
        <f t="shared" si="13"/>
        <v>0.16927310843557261</v>
      </c>
    </row>
    <row r="76" spans="1:12">
      <c r="A76" s="6" t="s">
        <v>1541</v>
      </c>
      <c r="B76">
        <v>3081.4839999999999</v>
      </c>
      <c r="C76">
        <v>1340.8520000000001</v>
      </c>
      <c r="D76">
        <v>551.00199999999995</v>
      </c>
      <c r="E76">
        <v>92610.347999999998</v>
      </c>
      <c r="F76">
        <f t="shared" si="8"/>
        <v>30870.115999999998</v>
      </c>
      <c r="G76">
        <f t="shared" si="9"/>
        <v>2016</v>
      </c>
      <c r="H76">
        <f t="shared" si="10"/>
        <v>10</v>
      </c>
      <c r="I76">
        <f t="shared" si="7"/>
        <v>4973.3379999999997</v>
      </c>
      <c r="J76">
        <f t="shared" si="12"/>
        <v>35843.453999999998</v>
      </c>
      <c r="K76">
        <f t="shared" si="11"/>
        <v>0.86124836071880795</v>
      </c>
      <c r="L76">
        <f t="shared" si="13"/>
        <v>0.13875163928119205</v>
      </c>
    </row>
    <row r="77" spans="1:12">
      <c r="A77" s="6" t="s">
        <v>1555</v>
      </c>
      <c r="B77">
        <v>3403.33</v>
      </c>
      <c r="C77">
        <v>953.06299999999999</v>
      </c>
      <c r="D77">
        <v>759.49599999999998</v>
      </c>
      <c r="E77">
        <v>84673.304000000004</v>
      </c>
      <c r="F77">
        <f t="shared" si="8"/>
        <v>28224.434666666668</v>
      </c>
      <c r="G77">
        <f t="shared" si="9"/>
        <v>2016</v>
      </c>
      <c r="H77">
        <f t="shared" si="10"/>
        <v>9</v>
      </c>
      <c r="I77">
        <f t="shared" si="7"/>
        <v>5115.8890000000001</v>
      </c>
      <c r="J77">
        <f t="shared" si="12"/>
        <v>33340.323666666671</v>
      </c>
      <c r="K77">
        <f t="shared" si="11"/>
        <v>0.84655550884424025</v>
      </c>
      <c r="L77">
        <f t="shared" si="13"/>
        <v>0.1534444911557597</v>
      </c>
    </row>
    <row r="78" spans="1:12">
      <c r="A78" s="6" t="s">
        <v>1567</v>
      </c>
      <c r="B78">
        <v>3918.2109999999998</v>
      </c>
      <c r="C78">
        <v>1134.4459999999999</v>
      </c>
      <c r="D78">
        <v>962.98800000000006</v>
      </c>
      <c r="E78">
        <v>86803.210999999996</v>
      </c>
      <c r="F78">
        <f t="shared" si="8"/>
        <v>28934.403666666665</v>
      </c>
      <c r="G78">
        <f t="shared" si="9"/>
        <v>2016</v>
      </c>
      <c r="H78">
        <f t="shared" si="10"/>
        <v>8</v>
      </c>
      <c r="I78">
        <f t="shared" si="7"/>
        <v>6015.6449999999995</v>
      </c>
      <c r="J78">
        <f t="shared" si="12"/>
        <v>34950.048666666662</v>
      </c>
      <c r="K78">
        <f t="shared" si="11"/>
        <v>0.82787878044537966</v>
      </c>
      <c r="L78">
        <f t="shared" si="13"/>
        <v>0.17212121955462037</v>
      </c>
    </row>
    <row r="79" spans="1:12">
      <c r="A79" s="6" t="s">
        <v>1579</v>
      </c>
      <c r="B79">
        <v>5356.7070000000003</v>
      </c>
      <c r="C79">
        <v>974.32899999999995</v>
      </c>
      <c r="D79">
        <v>1006.566</v>
      </c>
      <c r="E79">
        <v>90469.67</v>
      </c>
      <c r="F79">
        <f t="shared" si="8"/>
        <v>30156.556666666667</v>
      </c>
      <c r="G79">
        <f t="shared" si="9"/>
        <v>2016</v>
      </c>
      <c r="H79">
        <f t="shared" si="10"/>
        <v>7</v>
      </c>
      <c r="I79">
        <f t="shared" si="7"/>
        <v>7337.6019999999999</v>
      </c>
      <c r="J79">
        <f t="shared" si="12"/>
        <v>37494.15866666667</v>
      </c>
      <c r="K79">
        <f t="shared" si="11"/>
        <v>0.80430012938193141</v>
      </c>
      <c r="L79">
        <f t="shared" si="13"/>
        <v>0.19569987061806851</v>
      </c>
    </row>
    <row r="80" spans="1:12">
      <c r="A80" s="6" t="s">
        <v>1591</v>
      </c>
      <c r="B80">
        <v>7231.335</v>
      </c>
      <c r="C80">
        <v>1025.0239999999999</v>
      </c>
      <c r="D80">
        <v>911.02300000000002</v>
      </c>
      <c r="E80">
        <v>91412.76</v>
      </c>
      <c r="F80">
        <f t="shared" si="8"/>
        <v>30470.92</v>
      </c>
      <c r="G80">
        <f t="shared" si="9"/>
        <v>2016</v>
      </c>
      <c r="H80">
        <f t="shared" si="10"/>
        <v>6</v>
      </c>
      <c r="I80">
        <f t="shared" si="7"/>
        <v>9167.3819999999996</v>
      </c>
      <c r="J80">
        <f t="shared" si="12"/>
        <v>39638.301999999996</v>
      </c>
      <c r="K80">
        <f t="shared" si="11"/>
        <v>0.76872414968734037</v>
      </c>
      <c r="L80">
        <f t="shared" si="13"/>
        <v>0.23127585031265974</v>
      </c>
    </row>
    <row r="81" spans="1:12">
      <c r="A81" s="6" t="s">
        <v>1603</v>
      </c>
      <c r="B81">
        <v>6570.1490000000003</v>
      </c>
      <c r="C81">
        <v>1480.6489999999999</v>
      </c>
      <c r="D81">
        <v>896.36199999999997</v>
      </c>
      <c r="E81">
        <v>94016.725000000006</v>
      </c>
      <c r="F81">
        <f t="shared" si="8"/>
        <v>31338.908333333336</v>
      </c>
      <c r="G81">
        <f t="shared" si="9"/>
        <v>2016</v>
      </c>
      <c r="H81">
        <f t="shared" si="10"/>
        <v>5</v>
      </c>
      <c r="I81">
        <f t="shared" si="7"/>
        <v>8947.16</v>
      </c>
      <c r="J81">
        <f t="shared" si="12"/>
        <v>40286.068333333336</v>
      </c>
      <c r="K81">
        <f t="shared" si="11"/>
        <v>0.77790932771175947</v>
      </c>
      <c r="L81">
        <f t="shared" si="13"/>
        <v>0.22209067228824056</v>
      </c>
    </row>
    <row r="82" spans="1:12">
      <c r="A82" s="6" t="s">
        <v>1617</v>
      </c>
      <c r="B82">
        <v>6538.2520000000004</v>
      </c>
      <c r="C82">
        <v>1603.6369999999999</v>
      </c>
      <c r="D82">
        <v>760.26900000000001</v>
      </c>
      <c r="E82">
        <v>98619.127999999997</v>
      </c>
      <c r="F82">
        <f t="shared" si="8"/>
        <v>32873.042666666668</v>
      </c>
      <c r="G82">
        <f t="shared" si="9"/>
        <v>2016</v>
      </c>
      <c r="H82">
        <f t="shared" si="10"/>
        <v>4</v>
      </c>
      <c r="I82">
        <f t="shared" si="7"/>
        <v>8902.1579999999994</v>
      </c>
      <c r="J82">
        <f t="shared" si="12"/>
        <v>41775.200666666671</v>
      </c>
      <c r="K82">
        <f t="shared" si="11"/>
        <v>0.78690328573087565</v>
      </c>
      <c r="L82">
        <f t="shared" si="13"/>
        <v>0.21309671426912433</v>
      </c>
    </row>
    <row r="83" spans="1:12">
      <c r="A83" s="6" t="s">
        <v>1631</v>
      </c>
      <c r="B83">
        <v>6684.6540000000005</v>
      </c>
      <c r="C83">
        <v>2334.085</v>
      </c>
      <c r="D83">
        <v>622.24900000000002</v>
      </c>
      <c r="E83">
        <v>117876.299</v>
      </c>
      <c r="F83">
        <f t="shared" si="8"/>
        <v>39292.099666666669</v>
      </c>
      <c r="G83">
        <f t="shared" si="9"/>
        <v>2016</v>
      </c>
      <c r="H83">
        <f t="shared" si="10"/>
        <v>3</v>
      </c>
      <c r="I83">
        <f t="shared" si="7"/>
        <v>9640.9880000000012</v>
      </c>
      <c r="J83">
        <f t="shared" si="12"/>
        <v>48933.087666666674</v>
      </c>
      <c r="K83">
        <f t="shared" si="11"/>
        <v>0.80297609532276737</v>
      </c>
      <c r="L83">
        <f t="shared" si="13"/>
        <v>0.1970239046772326</v>
      </c>
    </row>
    <row r="84" spans="1:12">
      <c r="A84" s="6" t="s">
        <v>1645</v>
      </c>
      <c r="B84">
        <v>7016.7479999999996</v>
      </c>
      <c r="C84">
        <v>2748.6129999999998</v>
      </c>
      <c r="D84">
        <v>380.45299999999997</v>
      </c>
      <c r="E84">
        <v>118312.262</v>
      </c>
      <c r="F84">
        <f t="shared" si="8"/>
        <v>39437.420666666665</v>
      </c>
      <c r="G84">
        <f t="shared" si="9"/>
        <v>2016</v>
      </c>
      <c r="H84">
        <f t="shared" si="10"/>
        <v>2</v>
      </c>
      <c r="I84">
        <f t="shared" si="7"/>
        <v>10145.813999999998</v>
      </c>
      <c r="J84">
        <f t="shared" si="12"/>
        <v>49583.234666666664</v>
      </c>
      <c r="K84">
        <f t="shared" si="11"/>
        <v>0.79537813399615243</v>
      </c>
      <c r="L84">
        <f t="shared" si="13"/>
        <v>0.20462186600384763</v>
      </c>
    </row>
    <row r="85" spans="1:12">
      <c r="A85" s="6" t="s">
        <v>1659</v>
      </c>
      <c r="B85">
        <v>5731.9610000000002</v>
      </c>
      <c r="C85">
        <v>2716.194</v>
      </c>
      <c r="D85">
        <v>248.315</v>
      </c>
      <c r="E85">
        <v>131863.546</v>
      </c>
      <c r="F85">
        <f t="shared" si="8"/>
        <v>43954.515333333336</v>
      </c>
      <c r="G85">
        <f t="shared" si="9"/>
        <v>2016</v>
      </c>
      <c r="H85">
        <f t="shared" si="10"/>
        <v>1</v>
      </c>
      <c r="I85">
        <f t="shared" si="7"/>
        <v>8696.4700000000012</v>
      </c>
      <c r="J85">
        <f t="shared" si="12"/>
        <v>52650.985333333338</v>
      </c>
      <c r="K85">
        <f t="shared" si="11"/>
        <v>0.83482797245022755</v>
      </c>
      <c r="L85">
        <f t="shared" si="13"/>
        <v>0.16517202754977248</v>
      </c>
    </row>
    <row r="86" spans="1:12">
      <c r="A86" s="6" t="s">
        <v>1672</v>
      </c>
      <c r="B86">
        <v>3688.393</v>
      </c>
      <c r="C86">
        <v>2527.0549999999998</v>
      </c>
      <c r="D86">
        <v>211.76</v>
      </c>
      <c r="E86">
        <v>127974.03200000001</v>
      </c>
      <c r="F86">
        <f t="shared" si="8"/>
        <v>42658.010666666669</v>
      </c>
      <c r="G86">
        <f t="shared" si="9"/>
        <v>2015</v>
      </c>
      <c r="H86">
        <f t="shared" si="10"/>
        <v>12</v>
      </c>
      <c r="I86">
        <f t="shared" si="7"/>
        <v>6427.2080000000005</v>
      </c>
      <c r="J86">
        <f t="shared" si="12"/>
        <v>49085.218666666668</v>
      </c>
      <c r="K86">
        <f t="shared" si="11"/>
        <v>0.86906021456995852</v>
      </c>
      <c r="L86">
        <f t="shared" si="13"/>
        <v>0.13093978543004148</v>
      </c>
    </row>
    <row r="87" spans="1:12">
      <c r="A87" s="6" t="s">
        <v>1686</v>
      </c>
      <c r="B87">
        <v>3557.6280000000002</v>
      </c>
      <c r="C87">
        <v>2433.6120000000001</v>
      </c>
      <c r="D87">
        <v>323.54300000000001</v>
      </c>
      <c r="E87">
        <v>113490.519</v>
      </c>
      <c r="F87">
        <f t="shared" si="8"/>
        <v>37830.173000000003</v>
      </c>
      <c r="G87">
        <f t="shared" si="9"/>
        <v>2015</v>
      </c>
      <c r="H87">
        <f t="shared" si="10"/>
        <v>11</v>
      </c>
      <c r="I87">
        <f t="shared" si="7"/>
        <v>6314.7829999999994</v>
      </c>
      <c r="J87">
        <f t="shared" si="12"/>
        <v>44144.956000000006</v>
      </c>
      <c r="K87">
        <f t="shared" si="11"/>
        <v>0.85695346485337975</v>
      </c>
      <c r="L87">
        <f t="shared" si="13"/>
        <v>0.14304653514662011</v>
      </c>
    </row>
    <row r="88" spans="1:12">
      <c r="A88" s="6" t="s">
        <v>1700</v>
      </c>
      <c r="B88">
        <v>3893.2840000000001</v>
      </c>
      <c r="C88">
        <v>1218.133</v>
      </c>
      <c r="D88">
        <v>478.99799999999999</v>
      </c>
      <c r="E88">
        <v>109641.58500000001</v>
      </c>
      <c r="F88">
        <f t="shared" si="8"/>
        <v>36547.195</v>
      </c>
      <c r="G88">
        <f t="shared" si="9"/>
        <v>2015</v>
      </c>
      <c r="H88">
        <f t="shared" si="10"/>
        <v>10</v>
      </c>
      <c r="I88">
        <f t="shared" si="7"/>
        <v>5590.415</v>
      </c>
      <c r="J88">
        <f t="shared" si="12"/>
        <v>42137.61</v>
      </c>
      <c r="K88">
        <f t="shared" si="11"/>
        <v>0.86732956615242296</v>
      </c>
      <c r="L88">
        <f t="shared" si="13"/>
        <v>0.13267043384757701</v>
      </c>
    </row>
    <row r="89" spans="1:12">
      <c r="A89" s="6" t="s">
        <v>1714</v>
      </c>
      <c r="B89">
        <v>3442.721</v>
      </c>
      <c r="C89">
        <v>1585.6030000000001</v>
      </c>
      <c r="D89">
        <v>648.55499999999995</v>
      </c>
      <c r="E89">
        <v>97679.616999999998</v>
      </c>
      <c r="F89">
        <f t="shared" si="8"/>
        <v>32559.872333333333</v>
      </c>
      <c r="G89">
        <f t="shared" si="9"/>
        <v>2015</v>
      </c>
      <c r="H89">
        <f t="shared" si="10"/>
        <v>9</v>
      </c>
      <c r="I89">
        <f t="shared" si="7"/>
        <v>5676.8790000000008</v>
      </c>
      <c r="J89">
        <f t="shared" si="12"/>
        <v>38236.751333333334</v>
      </c>
      <c r="K89">
        <f t="shared" si="11"/>
        <v>0.85153343832714379</v>
      </c>
      <c r="L89">
        <f t="shared" si="13"/>
        <v>0.14846656167285621</v>
      </c>
    </row>
    <row r="90" spans="1:12">
      <c r="A90" s="6" t="s">
        <v>1726</v>
      </c>
      <c r="B90">
        <v>3458.6060000000002</v>
      </c>
      <c r="C90">
        <v>1076.5160000000001</v>
      </c>
      <c r="D90">
        <v>791.31100000000004</v>
      </c>
      <c r="E90">
        <v>102283.505</v>
      </c>
      <c r="F90">
        <f t="shared" si="8"/>
        <v>34094.501666666671</v>
      </c>
      <c r="G90">
        <f t="shared" si="9"/>
        <v>2015</v>
      </c>
      <c r="H90">
        <f t="shared" si="10"/>
        <v>8</v>
      </c>
      <c r="I90">
        <f t="shared" si="7"/>
        <v>5326.433</v>
      </c>
      <c r="J90">
        <f t="shared" si="12"/>
        <v>39420.934666666668</v>
      </c>
      <c r="K90">
        <f t="shared" si="11"/>
        <v>0.86488313772773395</v>
      </c>
      <c r="L90">
        <f t="shared" si="13"/>
        <v>0.1351168622722661</v>
      </c>
    </row>
    <row r="91" spans="1:12">
      <c r="A91" s="6" t="s">
        <v>1738</v>
      </c>
      <c r="B91">
        <v>4092.741</v>
      </c>
      <c r="C91">
        <v>1338.682</v>
      </c>
      <c r="D91">
        <v>872.39099999999996</v>
      </c>
      <c r="E91">
        <v>106076.09600000001</v>
      </c>
      <c r="F91">
        <f t="shared" si="8"/>
        <v>35358.698666666671</v>
      </c>
      <c r="G91">
        <f t="shared" si="9"/>
        <v>2015</v>
      </c>
      <c r="H91">
        <f t="shared" si="10"/>
        <v>7</v>
      </c>
      <c r="I91">
        <f t="shared" si="7"/>
        <v>6303.8139999999994</v>
      </c>
      <c r="J91">
        <f t="shared" si="12"/>
        <v>41662.512666666669</v>
      </c>
      <c r="K91">
        <f t="shared" si="11"/>
        <v>0.84869337933514621</v>
      </c>
      <c r="L91">
        <f t="shared" si="13"/>
        <v>0.15130662066485379</v>
      </c>
    </row>
    <row r="92" spans="1:12">
      <c r="A92" s="6" t="s">
        <v>1750</v>
      </c>
      <c r="B92">
        <v>5693.893</v>
      </c>
      <c r="C92">
        <v>1199.77</v>
      </c>
      <c r="D92">
        <v>850.68200000000002</v>
      </c>
      <c r="E92">
        <v>97938.391000000003</v>
      </c>
      <c r="F92">
        <f t="shared" si="8"/>
        <v>32646.130333333334</v>
      </c>
      <c r="G92">
        <f t="shared" si="9"/>
        <v>2015</v>
      </c>
      <c r="H92">
        <f t="shared" si="10"/>
        <v>6</v>
      </c>
      <c r="I92">
        <f t="shared" si="7"/>
        <v>7744.3450000000003</v>
      </c>
      <c r="J92">
        <f t="shared" si="12"/>
        <v>40390.475333333336</v>
      </c>
      <c r="K92">
        <f t="shared" si="11"/>
        <v>0.80826308836210281</v>
      </c>
      <c r="L92">
        <f t="shared" si="13"/>
        <v>0.19173691163789719</v>
      </c>
    </row>
    <row r="93" spans="1:12">
      <c r="A93" s="6" t="s">
        <v>1762</v>
      </c>
      <c r="B93">
        <v>6515.7860000000001</v>
      </c>
      <c r="C93">
        <v>1519.049</v>
      </c>
      <c r="D93">
        <v>787.32500000000005</v>
      </c>
      <c r="E93">
        <v>96932.331000000006</v>
      </c>
      <c r="F93">
        <f t="shared" si="8"/>
        <v>32310.777000000002</v>
      </c>
      <c r="G93">
        <f t="shared" si="9"/>
        <v>2015</v>
      </c>
      <c r="H93">
        <f t="shared" si="10"/>
        <v>5</v>
      </c>
      <c r="I93">
        <f t="shared" ref="I93:I156" si="14">SUM($B93,$C93,$D93)</f>
        <v>8822.16</v>
      </c>
      <c r="J93">
        <f t="shared" si="12"/>
        <v>41132.937000000005</v>
      </c>
      <c r="K93">
        <f t="shared" si="11"/>
        <v>0.7855207859336667</v>
      </c>
      <c r="L93">
        <f t="shared" si="13"/>
        <v>0.21447921406633325</v>
      </c>
    </row>
    <row r="94" spans="1:12">
      <c r="A94" s="6" t="s">
        <v>1776</v>
      </c>
      <c r="B94">
        <v>5809.6239999999998</v>
      </c>
      <c r="C94">
        <v>1378.05</v>
      </c>
      <c r="D94">
        <v>697.72</v>
      </c>
      <c r="E94">
        <v>99393.986000000004</v>
      </c>
      <c r="F94">
        <f t="shared" si="8"/>
        <v>33131.328666666668</v>
      </c>
      <c r="G94">
        <f t="shared" si="9"/>
        <v>2015</v>
      </c>
      <c r="H94">
        <f t="shared" si="10"/>
        <v>4</v>
      </c>
      <c r="I94">
        <f t="shared" si="14"/>
        <v>7885.3940000000002</v>
      </c>
      <c r="J94">
        <f t="shared" si="12"/>
        <v>41016.722666666668</v>
      </c>
      <c r="K94">
        <f t="shared" si="11"/>
        <v>0.80775172935968687</v>
      </c>
      <c r="L94">
        <f t="shared" si="13"/>
        <v>0.19224827064031313</v>
      </c>
    </row>
    <row r="95" spans="1:12">
      <c r="A95" s="6" t="s">
        <v>1790</v>
      </c>
      <c r="B95">
        <v>6525.1080000000002</v>
      </c>
      <c r="C95">
        <v>1908.979</v>
      </c>
      <c r="D95">
        <v>516.31100000000004</v>
      </c>
      <c r="E95">
        <v>117108.442</v>
      </c>
      <c r="F95">
        <f t="shared" si="8"/>
        <v>39036.147333333334</v>
      </c>
      <c r="G95">
        <f t="shared" si="9"/>
        <v>2015</v>
      </c>
      <c r="H95">
        <f t="shared" si="10"/>
        <v>3</v>
      </c>
      <c r="I95">
        <f t="shared" si="14"/>
        <v>8950.3979999999992</v>
      </c>
      <c r="J95">
        <f t="shared" si="12"/>
        <v>47986.545333333335</v>
      </c>
      <c r="K95">
        <f t="shared" si="11"/>
        <v>0.81348109271407154</v>
      </c>
      <c r="L95">
        <f t="shared" si="13"/>
        <v>0.18651890728592838</v>
      </c>
    </row>
    <row r="96" spans="1:12">
      <c r="A96" s="6" t="s">
        <v>1804</v>
      </c>
      <c r="B96">
        <v>6423.1750000000002</v>
      </c>
      <c r="C96">
        <v>1808.5309999999999</v>
      </c>
      <c r="D96">
        <v>332.70299999999997</v>
      </c>
      <c r="E96">
        <v>118645.628</v>
      </c>
      <c r="F96">
        <f t="shared" si="8"/>
        <v>39548.542666666668</v>
      </c>
      <c r="G96">
        <f t="shared" si="9"/>
        <v>2015</v>
      </c>
      <c r="H96">
        <f t="shared" si="10"/>
        <v>2</v>
      </c>
      <c r="I96">
        <f t="shared" si="14"/>
        <v>8564.4089999999997</v>
      </c>
      <c r="J96">
        <f t="shared" si="12"/>
        <v>48112.951666666668</v>
      </c>
      <c r="K96">
        <f t="shared" si="11"/>
        <v>0.82199368977951226</v>
      </c>
      <c r="L96">
        <f t="shared" si="13"/>
        <v>0.17800631022048774</v>
      </c>
    </row>
    <row r="97" spans="1:12">
      <c r="A97" s="6" t="s">
        <v>1818</v>
      </c>
      <c r="B97">
        <v>6236.8440000000001</v>
      </c>
      <c r="C97">
        <v>2176.4430000000002</v>
      </c>
      <c r="D97">
        <v>228.00399999999999</v>
      </c>
      <c r="E97">
        <v>138614.247</v>
      </c>
      <c r="F97">
        <f t="shared" si="8"/>
        <v>46204.749000000003</v>
      </c>
      <c r="G97">
        <f t="shared" si="9"/>
        <v>2015</v>
      </c>
      <c r="H97">
        <f t="shared" si="10"/>
        <v>1</v>
      </c>
      <c r="I97">
        <f t="shared" si="14"/>
        <v>8641.2910000000011</v>
      </c>
      <c r="J97">
        <f t="shared" si="12"/>
        <v>54846.040000000008</v>
      </c>
      <c r="K97">
        <f t="shared" si="11"/>
        <v>0.84244457758481739</v>
      </c>
      <c r="L97">
        <f t="shared" si="13"/>
        <v>0.15755542241518256</v>
      </c>
    </row>
    <row r="98" spans="1:12">
      <c r="A98" s="6" t="s">
        <v>1832</v>
      </c>
      <c r="B98">
        <v>5745.2969999999996</v>
      </c>
      <c r="C98">
        <v>1958.883</v>
      </c>
      <c r="D98">
        <v>181.53299999999999</v>
      </c>
      <c r="E98">
        <v>131968.568</v>
      </c>
      <c r="F98">
        <f t="shared" si="8"/>
        <v>43989.522666666664</v>
      </c>
      <c r="G98">
        <f t="shared" si="9"/>
        <v>2014</v>
      </c>
      <c r="H98">
        <f t="shared" si="10"/>
        <v>12</v>
      </c>
      <c r="I98">
        <f t="shared" si="14"/>
        <v>7885.7129999999997</v>
      </c>
      <c r="J98">
        <f t="shared" si="12"/>
        <v>51875.23566666666</v>
      </c>
      <c r="K98">
        <f t="shared" si="11"/>
        <v>0.84798694601271762</v>
      </c>
      <c r="L98">
        <f t="shared" si="13"/>
        <v>0.15201305398728246</v>
      </c>
    </row>
    <row r="99" spans="1:12">
      <c r="A99" s="6" t="s">
        <v>1845</v>
      </c>
      <c r="B99">
        <v>4897.2709999999997</v>
      </c>
      <c r="C99">
        <v>1411.79</v>
      </c>
      <c r="D99">
        <v>227.435</v>
      </c>
      <c r="E99">
        <v>115390.43700000001</v>
      </c>
      <c r="F99">
        <f t="shared" si="8"/>
        <v>38463.478999999999</v>
      </c>
      <c r="G99">
        <f t="shared" si="9"/>
        <v>2014</v>
      </c>
      <c r="H99">
        <f t="shared" si="10"/>
        <v>11</v>
      </c>
      <c r="I99">
        <f t="shared" si="14"/>
        <v>6536.4960000000001</v>
      </c>
      <c r="J99">
        <f t="shared" si="12"/>
        <v>44999.974999999999</v>
      </c>
      <c r="K99">
        <f t="shared" si="11"/>
        <v>0.85474445263580701</v>
      </c>
      <c r="L99">
        <f t="shared" si="13"/>
        <v>0.14525554736419299</v>
      </c>
    </row>
    <row r="100" spans="1:12">
      <c r="A100" s="6" t="s">
        <v>1859</v>
      </c>
      <c r="B100">
        <v>3783.4229999999998</v>
      </c>
      <c r="C100">
        <v>1209.845</v>
      </c>
      <c r="D100">
        <v>428.78399999999999</v>
      </c>
      <c r="E100">
        <v>104464.23</v>
      </c>
      <c r="F100">
        <f t="shared" si="8"/>
        <v>34821.409999999996</v>
      </c>
      <c r="G100">
        <f t="shared" si="9"/>
        <v>2014</v>
      </c>
      <c r="H100">
        <f t="shared" si="10"/>
        <v>10</v>
      </c>
      <c r="I100">
        <f t="shared" si="14"/>
        <v>5422.0519999999997</v>
      </c>
      <c r="J100">
        <f t="shared" si="12"/>
        <v>40243.462</v>
      </c>
      <c r="K100">
        <f t="shared" si="11"/>
        <v>0.8652687484988244</v>
      </c>
      <c r="L100">
        <f t="shared" si="13"/>
        <v>0.13473125150117551</v>
      </c>
    </row>
    <row r="101" spans="1:12">
      <c r="A101" s="6" t="s">
        <v>1873</v>
      </c>
      <c r="B101">
        <v>3786.2370000000001</v>
      </c>
      <c r="C101">
        <v>678.46400000000006</v>
      </c>
      <c r="D101">
        <v>565.38800000000003</v>
      </c>
      <c r="E101">
        <v>101569.77099999999</v>
      </c>
      <c r="F101">
        <f t="shared" si="8"/>
        <v>33856.590333333334</v>
      </c>
      <c r="G101">
        <f t="shared" si="9"/>
        <v>2014</v>
      </c>
      <c r="H101">
        <f t="shared" si="10"/>
        <v>9</v>
      </c>
      <c r="I101">
        <f t="shared" si="14"/>
        <v>5030.0889999999999</v>
      </c>
      <c r="J101">
        <f t="shared" si="12"/>
        <v>38886.679333333333</v>
      </c>
      <c r="K101">
        <f t="shared" si="11"/>
        <v>0.87064750484651821</v>
      </c>
      <c r="L101">
        <f t="shared" si="13"/>
        <v>0.12935249515348177</v>
      </c>
    </row>
    <row r="102" spans="1:12">
      <c r="A102" s="6" t="s">
        <v>1885</v>
      </c>
      <c r="B102">
        <v>5334.1189999999997</v>
      </c>
      <c r="C102">
        <v>933.67</v>
      </c>
      <c r="D102">
        <v>659.89300000000003</v>
      </c>
      <c r="E102">
        <v>99057.198000000004</v>
      </c>
      <c r="F102">
        <f t="shared" si="8"/>
        <v>33019.065999999999</v>
      </c>
      <c r="G102">
        <f t="shared" si="9"/>
        <v>2014</v>
      </c>
      <c r="H102">
        <f t="shared" si="10"/>
        <v>8</v>
      </c>
      <c r="I102">
        <f t="shared" si="14"/>
        <v>6927.6819999999998</v>
      </c>
      <c r="J102">
        <f t="shared" si="12"/>
        <v>39946.748</v>
      </c>
      <c r="K102">
        <f t="shared" si="11"/>
        <v>0.82657707205602815</v>
      </c>
      <c r="L102">
        <f t="shared" si="13"/>
        <v>0.17342292794397179</v>
      </c>
    </row>
    <row r="103" spans="1:12">
      <c r="A103" s="6" t="s">
        <v>1897</v>
      </c>
      <c r="B103">
        <v>6232.79</v>
      </c>
      <c r="C103">
        <v>910.97799999999995</v>
      </c>
      <c r="D103">
        <v>681.44200000000001</v>
      </c>
      <c r="E103">
        <v>106619.163</v>
      </c>
      <c r="F103">
        <f t="shared" si="8"/>
        <v>35539.720999999998</v>
      </c>
      <c r="G103">
        <f t="shared" si="9"/>
        <v>2014</v>
      </c>
      <c r="H103">
        <f t="shared" si="10"/>
        <v>7</v>
      </c>
      <c r="I103">
        <f t="shared" si="14"/>
        <v>7825.21</v>
      </c>
      <c r="J103">
        <f t="shared" si="12"/>
        <v>43364.930999999997</v>
      </c>
      <c r="K103">
        <f t="shared" si="11"/>
        <v>0.8195498108828998</v>
      </c>
      <c r="L103">
        <f t="shared" si="13"/>
        <v>0.1804501891171002</v>
      </c>
    </row>
    <row r="104" spans="1:12">
      <c r="A104" s="6" t="s">
        <v>1909</v>
      </c>
      <c r="B104">
        <v>5111.2259999999997</v>
      </c>
      <c r="C104">
        <v>902.47500000000002</v>
      </c>
      <c r="D104">
        <v>685.63</v>
      </c>
      <c r="E104">
        <v>98890.501000000004</v>
      </c>
      <c r="F104">
        <f t="shared" si="8"/>
        <v>32963.500333333337</v>
      </c>
      <c r="G104">
        <f t="shared" si="9"/>
        <v>2014</v>
      </c>
      <c r="H104">
        <f t="shared" si="10"/>
        <v>6</v>
      </c>
      <c r="I104">
        <f t="shared" si="14"/>
        <v>6699.3310000000001</v>
      </c>
      <c r="J104">
        <f t="shared" si="12"/>
        <v>39662.831333333335</v>
      </c>
      <c r="K104">
        <f t="shared" si="11"/>
        <v>0.83109297105651248</v>
      </c>
      <c r="L104">
        <f t="shared" si="13"/>
        <v>0.16890702894348758</v>
      </c>
    </row>
    <row r="105" spans="1:12">
      <c r="A105" s="6" t="s">
        <v>1921</v>
      </c>
      <c r="B105">
        <v>6221.3680000000004</v>
      </c>
      <c r="C105">
        <v>1461.836</v>
      </c>
      <c r="D105">
        <v>635.38199999999995</v>
      </c>
      <c r="E105">
        <v>99269.357000000004</v>
      </c>
      <c r="F105">
        <f t="shared" si="8"/>
        <v>33089.78566666667</v>
      </c>
      <c r="G105">
        <f t="shared" si="9"/>
        <v>2014</v>
      </c>
      <c r="H105">
        <f t="shared" si="10"/>
        <v>5</v>
      </c>
      <c r="I105">
        <f t="shared" si="14"/>
        <v>8318.5860000000011</v>
      </c>
      <c r="J105">
        <f t="shared" si="12"/>
        <v>41408.371666666673</v>
      </c>
      <c r="K105">
        <f t="shared" si="11"/>
        <v>0.7991085941035353</v>
      </c>
      <c r="L105">
        <f t="shared" si="13"/>
        <v>0.20089140589646465</v>
      </c>
    </row>
    <row r="106" spans="1:12">
      <c r="A106" s="6" t="s">
        <v>1935</v>
      </c>
      <c r="B106">
        <v>5905.107</v>
      </c>
      <c r="C106">
        <v>1006.282</v>
      </c>
      <c r="D106">
        <v>543.93100000000004</v>
      </c>
      <c r="E106">
        <v>99323.913</v>
      </c>
      <c r="F106">
        <f t="shared" si="8"/>
        <v>33107.970999999998</v>
      </c>
      <c r="G106">
        <f t="shared" si="9"/>
        <v>2014</v>
      </c>
      <c r="H106">
        <f t="shared" si="10"/>
        <v>4</v>
      </c>
      <c r="I106">
        <f t="shared" si="14"/>
        <v>7455.32</v>
      </c>
      <c r="J106">
        <f t="shared" si="12"/>
        <v>40563.290999999997</v>
      </c>
      <c r="K106">
        <f t="shared" si="11"/>
        <v>0.81620524823787099</v>
      </c>
      <c r="L106">
        <f t="shared" si="13"/>
        <v>0.18379475176212898</v>
      </c>
    </row>
    <row r="107" spans="1:12">
      <c r="A107" s="6" t="s">
        <v>1948</v>
      </c>
      <c r="B107">
        <v>7065.4380000000001</v>
      </c>
      <c r="C107">
        <v>1239.57</v>
      </c>
      <c r="D107">
        <v>464.56400000000002</v>
      </c>
      <c r="E107">
        <v>113702.254</v>
      </c>
      <c r="F107">
        <f t="shared" si="8"/>
        <v>37900.751333333334</v>
      </c>
      <c r="G107">
        <f t="shared" si="9"/>
        <v>2014</v>
      </c>
      <c r="H107">
        <f t="shared" si="10"/>
        <v>3</v>
      </c>
      <c r="I107">
        <f t="shared" si="14"/>
        <v>8769.5720000000001</v>
      </c>
      <c r="J107">
        <f t="shared" si="12"/>
        <v>46670.323333333334</v>
      </c>
      <c r="K107">
        <f t="shared" si="11"/>
        <v>0.8120953236735664</v>
      </c>
      <c r="L107">
        <f t="shared" si="13"/>
        <v>0.18790467632643357</v>
      </c>
    </row>
    <row r="108" spans="1:12">
      <c r="A108" s="6" t="s">
        <v>1962</v>
      </c>
      <c r="B108">
        <v>7112.3649999999998</v>
      </c>
      <c r="C108">
        <v>2357.192</v>
      </c>
      <c r="D108">
        <v>248.23099999999999</v>
      </c>
      <c r="E108">
        <v>115457.11500000001</v>
      </c>
      <c r="F108">
        <f t="shared" si="8"/>
        <v>38485.705000000002</v>
      </c>
      <c r="G108">
        <f t="shared" si="9"/>
        <v>2014</v>
      </c>
      <c r="H108">
        <f t="shared" si="10"/>
        <v>2</v>
      </c>
      <c r="I108">
        <f t="shared" si="14"/>
        <v>9717.7880000000005</v>
      </c>
      <c r="J108">
        <f t="shared" si="12"/>
        <v>48203.493000000002</v>
      </c>
      <c r="K108">
        <f t="shared" si="11"/>
        <v>0.79840075075057315</v>
      </c>
      <c r="L108">
        <f t="shared" si="13"/>
        <v>0.20159924924942679</v>
      </c>
    </row>
    <row r="109" spans="1:12">
      <c r="A109" s="6" t="s">
        <v>1976</v>
      </c>
      <c r="B109">
        <v>7053.0829999999996</v>
      </c>
      <c r="C109">
        <v>2100.3339999999998</v>
      </c>
      <c r="D109">
        <v>164.98099999999999</v>
      </c>
      <c r="E109">
        <v>135384.93900000001</v>
      </c>
      <c r="F109">
        <f t="shared" si="8"/>
        <v>45128.313000000002</v>
      </c>
      <c r="G109">
        <f t="shared" si="9"/>
        <v>2014</v>
      </c>
      <c r="H109">
        <f t="shared" si="10"/>
        <v>1</v>
      </c>
      <c r="I109">
        <f t="shared" si="14"/>
        <v>9318.3979999999992</v>
      </c>
      <c r="J109">
        <f t="shared" si="12"/>
        <v>54446.711000000003</v>
      </c>
      <c r="K109">
        <f t="shared" si="11"/>
        <v>0.82885287597996504</v>
      </c>
      <c r="L109">
        <f t="shared" si="13"/>
        <v>0.1711471240200349</v>
      </c>
    </row>
    <row r="110" spans="1:12">
      <c r="A110" s="6" t="s">
        <v>1990</v>
      </c>
      <c r="B110">
        <v>5711.1809999999996</v>
      </c>
      <c r="C110">
        <v>1916.751</v>
      </c>
      <c r="D110">
        <v>160.041</v>
      </c>
      <c r="E110">
        <v>128204.861</v>
      </c>
      <c r="F110">
        <f t="shared" si="8"/>
        <v>42734.953666666668</v>
      </c>
      <c r="G110">
        <f t="shared" si="9"/>
        <v>2013</v>
      </c>
      <c r="H110">
        <f t="shared" si="10"/>
        <v>12</v>
      </c>
      <c r="I110">
        <f t="shared" si="14"/>
        <v>7787.973</v>
      </c>
      <c r="J110">
        <f t="shared" si="12"/>
        <v>50522.926666666666</v>
      </c>
      <c r="K110">
        <f t="shared" si="11"/>
        <v>0.84585269473040559</v>
      </c>
      <c r="L110">
        <f t="shared" si="13"/>
        <v>0.15414730526959444</v>
      </c>
    </row>
    <row r="111" spans="1:12">
      <c r="A111" s="6" t="s">
        <v>2004</v>
      </c>
      <c r="B111">
        <v>6321.4960000000001</v>
      </c>
      <c r="C111">
        <v>1714.499</v>
      </c>
      <c r="D111">
        <v>176.309</v>
      </c>
      <c r="E111">
        <v>110128.88499999999</v>
      </c>
      <c r="F111">
        <f t="shared" si="8"/>
        <v>36709.628333333334</v>
      </c>
      <c r="G111">
        <f t="shared" si="9"/>
        <v>2013</v>
      </c>
      <c r="H111">
        <f t="shared" si="10"/>
        <v>11</v>
      </c>
      <c r="I111">
        <f t="shared" si="14"/>
        <v>8212.3040000000001</v>
      </c>
      <c r="J111">
        <f t="shared" si="12"/>
        <v>44921.93233333333</v>
      </c>
      <c r="K111">
        <f t="shared" si="11"/>
        <v>0.81718720514820242</v>
      </c>
      <c r="L111">
        <f t="shared" si="13"/>
        <v>0.18281279485179761</v>
      </c>
    </row>
    <row r="112" spans="1:12">
      <c r="A112" s="6" t="s">
        <v>2018</v>
      </c>
      <c r="B112">
        <v>4825.201</v>
      </c>
      <c r="C112">
        <v>1543.6659999999999</v>
      </c>
      <c r="D112">
        <v>306.16500000000002</v>
      </c>
      <c r="E112">
        <v>99163.126000000004</v>
      </c>
      <c r="F112">
        <f t="shared" si="8"/>
        <v>33054.375333333337</v>
      </c>
      <c r="G112">
        <f t="shared" si="9"/>
        <v>2013</v>
      </c>
      <c r="H112">
        <f t="shared" si="10"/>
        <v>10</v>
      </c>
      <c r="I112">
        <f t="shared" si="14"/>
        <v>6675.0320000000002</v>
      </c>
      <c r="J112">
        <f t="shared" si="12"/>
        <v>39729.407333333336</v>
      </c>
      <c r="K112">
        <f t="shared" si="11"/>
        <v>0.83198762709959717</v>
      </c>
      <c r="L112">
        <f t="shared" si="13"/>
        <v>0.16801237290040286</v>
      </c>
    </row>
    <row r="113" spans="1:12">
      <c r="A113" s="6" t="s">
        <v>2032</v>
      </c>
      <c r="B113">
        <v>4108.625</v>
      </c>
      <c r="C113">
        <v>899.81600000000003</v>
      </c>
      <c r="D113">
        <v>426.28</v>
      </c>
      <c r="E113">
        <v>94817.042000000001</v>
      </c>
      <c r="F113">
        <f t="shared" si="8"/>
        <v>31605.680666666667</v>
      </c>
      <c r="G113">
        <f t="shared" si="9"/>
        <v>2013</v>
      </c>
      <c r="H113">
        <f t="shared" si="10"/>
        <v>9</v>
      </c>
      <c r="I113">
        <f t="shared" si="14"/>
        <v>5434.7209999999995</v>
      </c>
      <c r="J113">
        <f t="shared" si="12"/>
        <v>37040.401666666665</v>
      </c>
      <c r="K113">
        <f t="shared" si="11"/>
        <v>0.85327586215430262</v>
      </c>
      <c r="L113">
        <f t="shared" si="13"/>
        <v>0.14672413784569741</v>
      </c>
    </row>
    <row r="114" spans="1:12">
      <c r="A114" s="6" t="s">
        <v>2044</v>
      </c>
      <c r="B114">
        <v>4547.1019999999999</v>
      </c>
      <c r="C114">
        <v>705.577</v>
      </c>
      <c r="D114">
        <v>541.73599999999999</v>
      </c>
      <c r="E114">
        <v>95377.111999999994</v>
      </c>
      <c r="F114">
        <f t="shared" si="8"/>
        <v>31792.370666666666</v>
      </c>
      <c r="G114">
        <f t="shared" si="9"/>
        <v>2013</v>
      </c>
      <c r="H114">
        <f t="shared" si="10"/>
        <v>8</v>
      </c>
      <c r="I114">
        <f t="shared" si="14"/>
        <v>5794.415</v>
      </c>
      <c r="J114">
        <f t="shared" si="12"/>
        <v>37586.785666666663</v>
      </c>
      <c r="K114">
        <f t="shared" si="11"/>
        <v>0.84583903898069435</v>
      </c>
      <c r="L114">
        <f t="shared" si="13"/>
        <v>0.15416096101930576</v>
      </c>
    </row>
    <row r="115" spans="1:12">
      <c r="A115" s="6" t="s">
        <v>2056</v>
      </c>
      <c r="B115">
        <v>6406.0119999999997</v>
      </c>
      <c r="C115">
        <v>829.66200000000003</v>
      </c>
      <c r="D115">
        <v>586.91800000000001</v>
      </c>
      <c r="E115">
        <v>98138.305999999997</v>
      </c>
      <c r="F115">
        <f t="shared" si="8"/>
        <v>32712.768666666667</v>
      </c>
      <c r="G115">
        <f t="shared" si="9"/>
        <v>2013</v>
      </c>
      <c r="H115">
        <f t="shared" si="10"/>
        <v>7</v>
      </c>
      <c r="I115">
        <f t="shared" si="14"/>
        <v>7822.5919999999996</v>
      </c>
      <c r="J115">
        <f t="shared" si="12"/>
        <v>40535.360666666667</v>
      </c>
      <c r="K115">
        <f t="shared" si="11"/>
        <v>0.80701807332301023</v>
      </c>
      <c r="L115">
        <f t="shared" si="13"/>
        <v>0.19298192667698971</v>
      </c>
    </row>
    <row r="116" spans="1:12">
      <c r="A116" s="6" t="s">
        <v>2068</v>
      </c>
      <c r="B116">
        <v>7377.3339999999998</v>
      </c>
      <c r="C116">
        <v>1112.4179999999999</v>
      </c>
      <c r="D116">
        <v>537.26300000000003</v>
      </c>
      <c r="E116">
        <v>91415.824999999997</v>
      </c>
      <c r="F116">
        <f t="shared" si="8"/>
        <v>30471.941666666666</v>
      </c>
      <c r="G116">
        <f t="shared" si="9"/>
        <v>2013</v>
      </c>
      <c r="H116">
        <f t="shared" si="10"/>
        <v>6</v>
      </c>
      <c r="I116">
        <f t="shared" si="14"/>
        <v>9027.0150000000012</v>
      </c>
      <c r="J116">
        <f t="shared" si="12"/>
        <v>39498.956666666665</v>
      </c>
      <c r="K116">
        <f t="shared" si="11"/>
        <v>0.7714619381929666</v>
      </c>
      <c r="L116">
        <f t="shared" si="13"/>
        <v>0.22853806180703343</v>
      </c>
    </row>
    <row r="117" spans="1:12">
      <c r="A117" s="6" t="s">
        <v>2080</v>
      </c>
      <c r="B117">
        <v>8578.86</v>
      </c>
      <c r="C117">
        <v>1112.6320000000001</v>
      </c>
      <c r="D117">
        <v>489.255</v>
      </c>
      <c r="E117">
        <v>99269.63</v>
      </c>
      <c r="F117">
        <f t="shared" si="8"/>
        <v>33089.876666666671</v>
      </c>
      <c r="G117">
        <f t="shared" si="9"/>
        <v>2013</v>
      </c>
      <c r="H117">
        <f t="shared" si="10"/>
        <v>5</v>
      </c>
      <c r="I117">
        <f t="shared" si="14"/>
        <v>10180.746999999999</v>
      </c>
      <c r="J117">
        <f t="shared" si="12"/>
        <v>43270.623666666666</v>
      </c>
      <c r="K117">
        <f t="shared" si="11"/>
        <v>0.76471919890901208</v>
      </c>
      <c r="L117">
        <f t="shared" si="13"/>
        <v>0.23528080109098803</v>
      </c>
    </row>
    <row r="118" spans="1:12">
      <c r="A118" s="6" t="s">
        <v>2094</v>
      </c>
      <c r="B118">
        <v>7247.3760000000002</v>
      </c>
      <c r="C118">
        <v>1430.078</v>
      </c>
      <c r="D118">
        <v>419.76100000000002</v>
      </c>
      <c r="E118">
        <v>100186.098</v>
      </c>
      <c r="F118">
        <f t="shared" si="8"/>
        <v>33395.366000000002</v>
      </c>
      <c r="G118">
        <f t="shared" si="9"/>
        <v>2013</v>
      </c>
      <c r="H118">
        <f t="shared" si="10"/>
        <v>4</v>
      </c>
      <c r="I118">
        <f t="shared" si="14"/>
        <v>9097.2150000000001</v>
      </c>
      <c r="J118">
        <f t="shared" si="12"/>
        <v>42492.581000000006</v>
      </c>
      <c r="K118">
        <f t="shared" si="11"/>
        <v>0.78591050988406652</v>
      </c>
      <c r="L118">
        <f t="shared" si="13"/>
        <v>0.2140894901159334</v>
      </c>
    </row>
    <row r="119" spans="1:12">
      <c r="A119" s="6" t="s">
        <v>2108</v>
      </c>
      <c r="B119">
        <v>6473.4430000000002</v>
      </c>
      <c r="C119">
        <v>1294.3399999999999</v>
      </c>
      <c r="D119">
        <v>337.68200000000002</v>
      </c>
      <c r="E119">
        <v>116706.88499999999</v>
      </c>
      <c r="F119">
        <f t="shared" si="8"/>
        <v>38902.294999999998</v>
      </c>
      <c r="G119">
        <f t="shared" si="9"/>
        <v>2013</v>
      </c>
      <c r="H119">
        <f t="shared" si="10"/>
        <v>3</v>
      </c>
      <c r="I119">
        <f t="shared" si="14"/>
        <v>8105.4650000000001</v>
      </c>
      <c r="J119">
        <f t="shared" si="12"/>
        <v>47007.759999999995</v>
      </c>
      <c r="K119">
        <f t="shared" si="11"/>
        <v>0.82757176687423528</v>
      </c>
      <c r="L119">
        <f t="shared" si="13"/>
        <v>0.1724282331257648</v>
      </c>
    </row>
    <row r="120" spans="1:12">
      <c r="A120" s="6" t="s">
        <v>2122</v>
      </c>
      <c r="B120">
        <v>6870.56</v>
      </c>
      <c r="C120">
        <v>1389.1510000000001</v>
      </c>
      <c r="D120">
        <v>216.31700000000001</v>
      </c>
      <c r="E120">
        <v>116396.587</v>
      </c>
      <c r="F120">
        <f t="shared" si="8"/>
        <v>38798.862333333331</v>
      </c>
      <c r="G120">
        <f t="shared" si="9"/>
        <v>2013</v>
      </c>
      <c r="H120">
        <f t="shared" si="10"/>
        <v>2</v>
      </c>
      <c r="I120">
        <f t="shared" si="14"/>
        <v>8476.0280000000021</v>
      </c>
      <c r="J120">
        <f t="shared" si="12"/>
        <v>47274.890333333329</v>
      </c>
      <c r="K120">
        <f t="shared" si="11"/>
        <v>0.82070761158331895</v>
      </c>
      <c r="L120">
        <f t="shared" si="13"/>
        <v>0.1792923884166811</v>
      </c>
    </row>
    <row r="121" spans="1:12">
      <c r="A121" s="6" t="s">
        <v>2136</v>
      </c>
      <c r="B121">
        <v>6890.277</v>
      </c>
      <c r="C121">
        <v>1263.8130000000001</v>
      </c>
      <c r="D121">
        <v>139.12899999999999</v>
      </c>
      <c r="E121">
        <v>134319.11199999999</v>
      </c>
      <c r="F121">
        <f t="shared" si="8"/>
        <v>44773.037333333334</v>
      </c>
      <c r="G121">
        <f t="shared" si="9"/>
        <v>2013</v>
      </c>
      <c r="H121">
        <f t="shared" si="10"/>
        <v>1</v>
      </c>
      <c r="I121">
        <f t="shared" si="14"/>
        <v>8293.219000000001</v>
      </c>
      <c r="J121">
        <f t="shared" si="12"/>
        <v>53066.256333333338</v>
      </c>
      <c r="K121">
        <f t="shared" si="11"/>
        <v>0.84371953906251618</v>
      </c>
      <c r="L121">
        <f t="shared" si="13"/>
        <v>0.15628046093748377</v>
      </c>
    </row>
    <row r="122" spans="1:12">
      <c r="A122" s="6" t="s">
        <v>2150</v>
      </c>
      <c r="B122">
        <v>6482.4570000000003</v>
      </c>
      <c r="C122">
        <v>2193.2739999999999</v>
      </c>
      <c r="D122">
        <v>121.908</v>
      </c>
      <c r="E122">
        <v>126634.73</v>
      </c>
      <c r="F122">
        <f t="shared" si="8"/>
        <v>42211.576666666668</v>
      </c>
      <c r="G122">
        <f t="shared" si="9"/>
        <v>2012</v>
      </c>
      <c r="H122">
        <f t="shared" si="10"/>
        <v>12</v>
      </c>
      <c r="I122">
        <f t="shared" si="14"/>
        <v>8797.6389999999992</v>
      </c>
      <c r="J122">
        <f t="shared" si="12"/>
        <v>51009.215666666671</v>
      </c>
      <c r="K122">
        <f t="shared" si="11"/>
        <v>0.82752844000796788</v>
      </c>
      <c r="L122">
        <f t="shared" si="13"/>
        <v>0.17247155999203201</v>
      </c>
    </row>
    <row r="123" spans="1:12">
      <c r="A123" s="6" t="s">
        <v>2164</v>
      </c>
      <c r="B123">
        <v>4831.3239999999996</v>
      </c>
      <c r="C123">
        <v>1249.2049999999999</v>
      </c>
      <c r="D123">
        <v>159.749</v>
      </c>
      <c r="E123">
        <v>118091.255</v>
      </c>
      <c r="F123">
        <f t="shared" si="8"/>
        <v>39363.751666666671</v>
      </c>
      <c r="G123">
        <f t="shared" si="9"/>
        <v>2012</v>
      </c>
      <c r="H123">
        <f t="shared" si="10"/>
        <v>11</v>
      </c>
      <c r="I123">
        <f t="shared" si="14"/>
        <v>6240.2779999999993</v>
      </c>
      <c r="J123">
        <f t="shared" si="12"/>
        <v>45604.029666666669</v>
      </c>
      <c r="K123">
        <f t="shared" si="11"/>
        <v>0.86316389043661201</v>
      </c>
      <c r="L123">
        <f t="shared" si="13"/>
        <v>0.13683610956338804</v>
      </c>
    </row>
    <row r="124" spans="1:12">
      <c r="A124" s="6" t="s">
        <v>2178</v>
      </c>
      <c r="B124">
        <v>4484.3180000000002</v>
      </c>
      <c r="C124">
        <v>1308.577</v>
      </c>
      <c r="D124">
        <v>268.863</v>
      </c>
      <c r="E124">
        <v>104797.89599999999</v>
      </c>
      <c r="F124">
        <f t="shared" si="8"/>
        <v>34932.631999999998</v>
      </c>
      <c r="G124">
        <f t="shared" si="9"/>
        <v>2012</v>
      </c>
      <c r="H124">
        <f t="shared" si="10"/>
        <v>10</v>
      </c>
      <c r="I124">
        <f t="shared" si="14"/>
        <v>6061.7580000000007</v>
      </c>
      <c r="J124">
        <f t="shared" si="12"/>
        <v>40994.39</v>
      </c>
      <c r="K124">
        <f t="shared" si="11"/>
        <v>0.85213201123373217</v>
      </c>
      <c r="L124">
        <f t="shared" si="13"/>
        <v>0.1478679887662678</v>
      </c>
    </row>
    <row r="125" spans="1:12">
      <c r="A125" s="6" t="s">
        <v>2192</v>
      </c>
      <c r="B125">
        <v>3663.7939999999999</v>
      </c>
      <c r="C125">
        <v>883.66899999999998</v>
      </c>
      <c r="D125">
        <v>373.91800000000001</v>
      </c>
      <c r="E125">
        <v>96273.91</v>
      </c>
      <c r="F125">
        <f t="shared" si="8"/>
        <v>32091.303333333333</v>
      </c>
      <c r="G125">
        <f t="shared" si="9"/>
        <v>2012</v>
      </c>
      <c r="H125">
        <f t="shared" si="10"/>
        <v>9</v>
      </c>
      <c r="I125">
        <f t="shared" si="14"/>
        <v>4921.3809999999994</v>
      </c>
      <c r="J125">
        <f t="shared" si="12"/>
        <v>37012.684333333331</v>
      </c>
      <c r="K125">
        <f t="shared" si="11"/>
        <v>0.86703528564212129</v>
      </c>
      <c r="L125">
        <f t="shared" si="13"/>
        <v>0.13296471435787874</v>
      </c>
    </row>
    <row r="126" spans="1:12">
      <c r="A126" s="6" t="s">
        <v>2204</v>
      </c>
      <c r="B126">
        <v>3616.866</v>
      </c>
      <c r="C126">
        <v>861.71900000000005</v>
      </c>
      <c r="D126">
        <v>468.33800000000002</v>
      </c>
      <c r="E126">
        <v>90827.354999999996</v>
      </c>
      <c r="F126">
        <f t="shared" si="8"/>
        <v>30275.785</v>
      </c>
      <c r="G126">
        <f t="shared" si="9"/>
        <v>2012</v>
      </c>
      <c r="H126">
        <f t="shared" si="10"/>
        <v>8</v>
      </c>
      <c r="I126">
        <f t="shared" si="14"/>
        <v>4946.9229999999998</v>
      </c>
      <c r="J126">
        <f t="shared" si="12"/>
        <v>35222.707999999999</v>
      </c>
      <c r="K126">
        <f t="shared" si="11"/>
        <v>0.85955301903533377</v>
      </c>
      <c r="L126">
        <f t="shared" si="13"/>
        <v>0.14044698096466632</v>
      </c>
    </row>
    <row r="127" spans="1:12">
      <c r="A127" s="6" t="s">
        <v>2216</v>
      </c>
      <c r="B127">
        <v>5001.7089999999998</v>
      </c>
      <c r="C127">
        <v>875.26199999999994</v>
      </c>
      <c r="D127">
        <v>499.42599999999999</v>
      </c>
      <c r="E127">
        <v>92115.646999999997</v>
      </c>
      <c r="F127">
        <f t="shared" si="8"/>
        <v>30705.215666666667</v>
      </c>
      <c r="G127">
        <f t="shared" si="9"/>
        <v>2012</v>
      </c>
      <c r="H127">
        <f t="shared" si="10"/>
        <v>7</v>
      </c>
      <c r="I127">
        <f t="shared" si="14"/>
        <v>6376.3969999999999</v>
      </c>
      <c r="J127">
        <f t="shared" si="12"/>
        <v>37081.612666666668</v>
      </c>
      <c r="K127">
        <f t="shared" si="11"/>
        <v>0.82804423698293306</v>
      </c>
      <c r="L127">
        <f t="shared" si="13"/>
        <v>0.17195576301706691</v>
      </c>
    </row>
    <row r="128" spans="1:12">
      <c r="A128" s="6" t="s">
        <v>2228</v>
      </c>
      <c r="B128">
        <v>6966.5649999999996</v>
      </c>
      <c r="C128">
        <v>951.32799999999997</v>
      </c>
      <c r="D128">
        <v>453.637</v>
      </c>
      <c r="E128">
        <v>84994.337</v>
      </c>
      <c r="F128">
        <f t="shared" si="8"/>
        <v>28331.445666666667</v>
      </c>
      <c r="G128">
        <f t="shared" si="9"/>
        <v>2012</v>
      </c>
      <c r="H128">
        <f t="shared" si="10"/>
        <v>6</v>
      </c>
      <c r="I128">
        <f t="shared" si="14"/>
        <v>8371.5300000000007</v>
      </c>
      <c r="J128">
        <f t="shared" si="12"/>
        <v>36702.975666666665</v>
      </c>
      <c r="K128">
        <f t="shared" si="11"/>
        <v>0.77191140914487344</v>
      </c>
      <c r="L128">
        <f t="shared" si="13"/>
        <v>0.22808859085512662</v>
      </c>
    </row>
    <row r="129" spans="1:12">
      <c r="A129" s="6" t="s">
        <v>2240</v>
      </c>
      <c r="B129">
        <v>7847.8389999999999</v>
      </c>
      <c r="C129">
        <v>933.06299999999999</v>
      </c>
      <c r="D129">
        <v>422.47500000000002</v>
      </c>
      <c r="E129">
        <v>92837.989000000001</v>
      </c>
      <c r="F129">
        <f t="shared" si="8"/>
        <v>30945.996333333333</v>
      </c>
      <c r="G129">
        <f t="shared" si="9"/>
        <v>2012</v>
      </c>
      <c r="H129">
        <f t="shared" si="10"/>
        <v>5</v>
      </c>
      <c r="I129">
        <f t="shared" si="14"/>
        <v>9203.3770000000004</v>
      </c>
      <c r="J129">
        <f t="shared" si="12"/>
        <v>40149.373333333337</v>
      </c>
      <c r="K129">
        <f t="shared" si="11"/>
        <v>0.77077159029132203</v>
      </c>
      <c r="L129">
        <f t="shared" si="13"/>
        <v>0.22922840970867789</v>
      </c>
    </row>
    <row r="130" spans="1:12">
      <c r="A130" s="6" t="s">
        <v>2254</v>
      </c>
      <c r="B130">
        <v>5470.6970000000001</v>
      </c>
      <c r="C130">
        <v>1502.9110000000001</v>
      </c>
      <c r="D130">
        <v>330.06200000000001</v>
      </c>
      <c r="E130">
        <v>105259.43399999999</v>
      </c>
      <c r="F130">
        <f t="shared" ref="F130:F193" si="15">E130/3</f>
        <v>35086.477999999996</v>
      </c>
      <c r="G130">
        <f t="shared" ref="G130:G193" si="16">LEFT(A130,4)*1</f>
        <v>2012</v>
      </c>
      <c r="H130">
        <f t="shared" ref="H130:H193" si="17">RIGHT(A130,2)*1</f>
        <v>4</v>
      </c>
      <c r="I130">
        <f t="shared" si="14"/>
        <v>7303.67</v>
      </c>
      <c r="J130">
        <f t="shared" si="12"/>
        <v>42390.147999999994</v>
      </c>
      <c r="K130">
        <f t="shared" ref="K130:K193" si="18" xml:space="preserve"> F130 / J130</f>
        <v>0.82770359754346701</v>
      </c>
      <c r="L130">
        <f t="shared" si="13"/>
        <v>0.17229640245653308</v>
      </c>
    </row>
    <row r="131" spans="1:12">
      <c r="A131" s="6" t="s">
        <v>2268</v>
      </c>
      <c r="B131">
        <v>4001.2820000000002</v>
      </c>
      <c r="C131">
        <v>938.77099999999996</v>
      </c>
      <c r="D131">
        <v>299.61500000000001</v>
      </c>
      <c r="E131">
        <v>119245.978</v>
      </c>
      <c r="F131">
        <f t="shared" si="15"/>
        <v>39748.659333333337</v>
      </c>
      <c r="G131">
        <f t="shared" si="16"/>
        <v>2012</v>
      </c>
      <c r="H131">
        <f t="shared" si="17"/>
        <v>3</v>
      </c>
      <c r="I131">
        <f t="shared" si="14"/>
        <v>5239.6679999999997</v>
      </c>
      <c r="J131">
        <f t="shared" ref="J131:J194" si="19">SUM($B131,$C131,$D131,$F131)</f>
        <v>44988.327333333335</v>
      </c>
      <c r="K131">
        <f t="shared" si="18"/>
        <v>0.88353272258429227</v>
      </c>
      <c r="L131">
        <f t="shared" ref="L131:L194" si="20" xml:space="preserve"> I131 / J131</f>
        <v>0.11646727741570771</v>
      </c>
    </row>
    <row r="132" spans="1:12">
      <c r="A132" s="6" t="s">
        <v>2282</v>
      </c>
      <c r="B132">
        <v>5250.7929999999997</v>
      </c>
      <c r="C132">
        <v>1083.7639999999999</v>
      </c>
      <c r="D132">
        <v>180.39699999999999</v>
      </c>
      <c r="E132">
        <v>122565.787</v>
      </c>
      <c r="F132">
        <f t="shared" si="15"/>
        <v>40855.262333333332</v>
      </c>
      <c r="G132">
        <f t="shared" si="16"/>
        <v>2012</v>
      </c>
      <c r="H132">
        <f t="shared" si="17"/>
        <v>2</v>
      </c>
      <c r="I132">
        <f t="shared" si="14"/>
        <v>6514.9539999999997</v>
      </c>
      <c r="J132">
        <f t="shared" si="19"/>
        <v>47370.21633333333</v>
      </c>
      <c r="K132">
        <f t="shared" si="18"/>
        <v>0.8624672947626888</v>
      </c>
      <c r="L132">
        <f t="shared" si="20"/>
        <v>0.13753270523731126</v>
      </c>
    </row>
    <row r="133" spans="1:12">
      <c r="A133" s="6" t="s">
        <v>2296</v>
      </c>
      <c r="B133">
        <v>6833.2470000000003</v>
      </c>
      <c r="C133">
        <v>1520.9839999999999</v>
      </c>
      <c r="D133">
        <v>108.69</v>
      </c>
      <c r="E133">
        <v>135687.63</v>
      </c>
      <c r="F133">
        <f t="shared" si="15"/>
        <v>45229.21</v>
      </c>
      <c r="G133">
        <f t="shared" si="16"/>
        <v>2012</v>
      </c>
      <c r="H133">
        <f t="shared" si="17"/>
        <v>1</v>
      </c>
      <c r="I133">
        <f t="shared" si="14"/>
        <v>8462.9210000000003</v>
      </c>
      <c r="J133">
        <f t="shared" si="19"/>
        <v>53692.131000000001</v>
      </c>
      <c r="K133">
        <f t="shared" si="18"/>
        <v>0.84238060880839316</v>
      </c>
      <c r="L133">
        <f t="shared" si="20"/>
        <v>0.15761939119160684</v>
      </c>
    </row>
    <row r="134" spans="1:12">
      <c r="A134" s="6" t="s">
        <v>2310</v>
      </c>
      <c r="B134">
        <v>5747.0370000000003</v>
      </c>
      <c r="C134">
        <v>1944.35</v>
      </c>
      <c r="D134">
        <v>82.69</v>
      </c>
      <c r="E134">
        <v>126664.766</v>
      </c>
      <c r="F134">
        <f t="shared" si="15"/>
        <v>42221.58866666667</v>
      </c>
      <c r="G134">
        <f t="shared" si="16"/>
        <v>2011</v>
      </c>
      <c r="H134">
        <f t="shared" si="17"/>
        <v>12</v>
      </c>
      <c r="I134">
        <f t="shared" si="14"/>
        <v>7774.0770000000002</v>
      </c>
      <c r="J134">
        <f t="shared" si="19"/>
        <v>49995.665666666668</v>
      </c>
      <c r="K134">
        <f t="shared" si="18"/>
        <v>0.84450498065508972</v>
      </c>
      <c r="L134">
        <f t="shared" si="20"/>
        <v>0.15549501934491028</v>
      </c>
    </row>
    <row r="135" spans="1:12">
      <c r="A135" s="6" t="s">
        <v>2324</v>
      </c>
      <c r="B135">
        <v>3958.5320000000002</v>
      </c>
      <c r="C135">
        <v>909.16399999999999</v>
      </c>
      <c r="D135">
        <v>105.379</v>
      </c>
      <c r="E135">
        <v>107339.353</v>
      </c>
      <c r="F135">
        <f t="shared" si="15"/>
        <v>35779.784333333337</v>
      </c>
      <c r="G135">
        <f t="shared" si="16"/>
        <v>2011</v>
      </c>
      <c r="H135">
        <f t="shared" si="17"/>
        <v>11</v>
      </c>
      <c r="I135">
        <f t="shared" si="14"/>
        <v>4973.0749999999998</v>
      </c>
      <c r="J135">
        <f t="shared" si="19"/>
        <v>40752.859333333334</v>
      </c>
      <c r="K135">
        <f t="shared" si="18"/>
        <v>0.87796991226251631</v>
      </c>
      <c r="L135">
        <f t="shared" si="20"/>
        <v>0.12203008773748374</v>
      </c>
    </row>
    <row r="136" spans="1:12">
      <c r="A136" s="6" t="s">
        <v>2338</v>
      </c>
      <c r="B136">
        <v>3280.9810000000002</v>
      </c>
      <c r="C136">
        <v>1035.1859999999999</v>
      </c>
      <c r="D136">
        <v>182.74</v>
      </c>
      <c r="E136">
        <v>104447.591</v>
      </c>
      <c r="F136">
        <f t="shared" si="15"/>
        <v>34815.863666666664</v>
      </c>
      <c r="G136">
        <f t="shared" si="16"/>
        <v>2011</v>
      </c>
      <c r="H136">
        <f t="shared" si="17"/>
        <v>10</v>
      </c>
      <c r="I136">
        <f t="shared" si="14"/>
        <v>4498.9070000000002</v>
      </c>
      <c r="J136">
        <f t="shared" si="19"/>
        <v>39314.770666666664</v>
      </c>
      <c r="K136">
        <f t="shared" si="18"/>
        <v>0.88556700385856679</v>
      </c>
      <c r="L136">
        <f t="shared" si="20"/>
        <v>0.11443299614143326</v>
      </c>
    </row>
    <row r="137" spans="1:12">
      <c r="A137" s="6" t="s">
        <v>2351</v>
      </c>
      <c r="B137">
        <v>3238.1390000000001</v>
      </c>
      <c r="C137">
        <v>821.14800000000002</v>
      </c>
      <c r="D137">
        <v>229.17099999999999</v>
      </c>
      <c r="E137">
        <v>100278.478</v>
      </c>
      <c r="F137">
        <f t="shared" si="15"/>
        <v>33426.159333333337</v>
      </c>
      <c r="G137">
        <f t="shared" si="16"/>
        <v>2011</v>
      </c>
      <c r="H137">
        <f t="shared" si="17"/>
        <v>9</v>
      </c>
      <c r="I137">
        <f t="shared" si="14"/>
        <v>4288.4580000000005</v>
      </c>
      <c r="J137">
        <f t="shared" si="19"/>
        <v>37714.617333333335</v>
      </c>
      <c r="K137">
        <f t="shared" si="18"/>
        <v>0.88629188619104116</v>
      </c>
      <c r="L137">
        <f t="shared" si="20"/>
        <v>0.11370811380895889</v>
      </c>
    </row>
    <row r="138" spans="1:12">
      <c r="A138" s="6" t="s">
        <v>2363</v>
      </c>
      <c r="B138">
        <v>3911.1570000000002</v>
      </c>
      <c r="C138">
        <v>664.12</v>
      </c>
      <c r="D138">
        <v>256.13400000000001</v>
      </c>
      <c r="E138">
        <v>100293.784</v>
      </c>
      <c r="F138">
        <f t="shared" si="15"/>
        <v>33431.261333333336</v>
      </c>
      <c r="G138">
        <f t="shared" si="16"/>
        <v>2011</v>
      </c>
      <c r="H138">
        <f t="shared" si="17"/>
        <v>8</v>
      </c>
      <c r="I138">
        <f t="shared" si="14"/>
        <v>4831.4110000000001</v>
      </c>
      <c r="J138">
        <f t="shared" si="19"/>
        <v>38262.672333333336</v>
      </c>
      <c r="K138">
        <f t="shared" si="18"/>
        <v>0.87373043477177592</v>
      </c>
      <c r="L138">
        <f t="shared" si="20"/>
        <v>0.12626956522822413</v>
      </c>
    </row>
    <row r="139" spans="1:12">
      <c r="A139" s="6" t="s">
        <v>2375</v>
      </c>
      <c r="B139">
        <v>4260.8220000000001</v>
      </c>
      <c r="C139">
        <v>809.14599999999996</v>
      </c>
      <c r="D139">
        <v>256.15699999999998</v>
      </c>
      <c r="E139">
        <v>106785.193</v>
      </c>
      <c r="F139">
        <f t="shared" si="15"/>
        <v>35595.064333333336</v>
      </c>
      <c r="G139">
        <f t="shared" si="16"/>
        <v>2011</v>
      </c>
      <c r="H139">
        <f t="shared" si="17"/>
        <v>7</v>
      </c>
      <c r="I139">
        <f t="shared" si="14"/>
        <v>5326.125</v>
      </c>
      <c r="J139">
        <f t="shared" si="19"/>
        <v>40921.189333333336</v>
      </c>
      <c r="K139">
        <f t="shared" si="18"/>
        <v>0.86984432547610546</v>
      </c>
      <c r="L139">
        <f t="shared" si="20"/>
        <v>0.13015567452389457</v>
      </c>
    </row>
    <row r="140" spans="1:12">
      <c r="A140" s="6" t="s">
        <v>2387</v>
      </c>
      <c r="B140">
        <v>4381.6819999999998</v>
      </c>
      <c r="C140">
        <v>853.154</v>
      </c>
      <c r="D140">
        <v>220.39699999999999</v>
      </c>
      <c r="E140">
        <v>103918.02899999999</v>
      </c>
      <c r="F140">
        <f t="shared" si="15"/>
        <v>34639.343000000001</v>
      </c>
      <c r="G140">
        <f t="shared" si="16"/>
        <v>2011</v>
      </c>
      <c r="H140">
        <f t="shared" si="17"/>
        <v>6</v>
      </c>
      <c r="I140">
        <f t="shared" si="14"/>
        <v>5455.2329999999993</v>
      </c>
      <c r="J140">
        <f t="shared" si="19"/>
        <v>40094.576000000001</v>
      </c>
      <c r="K140">
        <f t="shared" si="18"/>
        <v>0.86394087319940727</v>
      </c>
      <c r="L140">
        <f t="shared" si="20"/>
        <v>0.13605912680059265</v>
      </c>
    </row>
    <row r="141" spans="1:12">
      <c r="A141" s="6" t="s">
        <v>2399</v>
      </c>
      <c r="B141">
        <v>3481.64</v>
      </c>
      <c r="C141">
        <v>727.13099999999997</v>
      </c>
      <c r="D141">
        <v>205.304</v>
      </c>
      <c r="E141">
        <v>105566.541</v>
      </c>
      <c r="F141">
        <f t="shared" si="15"/>
        <v>35188.847000000002</v>
      </c>
      <c r="G141">
        <f t="shared" si="16"/>
        <v>2011</v>
      </c>
      <c r="H141">
        <f t="shared" si="17"/>
        <v>5</v>
      </c>
      <c r="I141">
        <f t="shared" si="14"/>
        <v>4414.0749999999998</v>
      </c>
      <c r="J141">
        <f t="shared" si="19"/>
        <v>39602.921999999999</v>
      </c>
      <c r="K141">
        <f t="shared" si="18"/>
        <v>0.88854168386868027</v>
      </c>
      <c r="L141">
        <f t="shared" si="20"/>
        <v>0.1114583161313198</v>
      </c>
    </row>
    <row r="142" spans="1:12">
      <c r="A142" s="6" t="s">
        <v>2413</v>
      </c>
      <c r="B142">
        <v>4130.2529999999997</v>
      </c>
      <c r="C142">
        <v>668.12</v>
      </c>
      <c r="D142">
        <v>168.58099999999999</v>
      </c>
      <c r="E142">
        <v>104735.57</v>
      </c>
      <c r="F142">
        <f t="shared" si="15"/>
        <v>34911.856666666667</v>
      </c>
      <c r="G142">
        <f t="shared" si="16"/>
        <v>2011</v>
      </c>
      <c r="H142">
        <f t="shared" si="17"/>
        <v>4</v>
      </c>
      <c r="I142">
        <f t="shared" si="14"/>
        <v>4966.9539999999997</v>
      </c>
      <c r="J142">
        <f t="shared" si="19"/>
        <v>39878.810666666664</v>
      </c>
      <c r="K142">
        <f t="shared" si="18"/>
        <v>0.87544879305661683</v>
      </c>
      <c r="L142">
        <f t="shared" si="20"/>
        <v>0.12455120694338327</v>
      </c>
    </row>
    <row r="143" spans="1:12">
      <c r="A143" s="6" t="s">
        <v>2426</v>
      </c>
      <c r="B143">
        <v>4525.6390000000001</v>
      </c>
      <c r="C143">
        <v>1094.1969999999999</v>
      </c>
      <c r="D143">
        <v>120.04600000000001</v>
      </c>
      <c r="E143">
        <v>119591.671</v>
      </c>
      <c r="F143">
        <f t="shared" si="15"/>
        <v>39863.890333333336</v>
      </c>
      <c r="G143">
        <f t="shared" si="16"/>
        <v>2011</v>
      </c>
      <c r="H143">
        <f t="shared" si="17"/>
        <v>3</v>
      </c>
      <c r="I143">
        <f t="shared" si="14"/>
        <v>5739.8820000000005</v>
      </c>
      <c r="J143">
        <f t="shared" si="19"/>
        <v>45603.772333333334</v>
      </c>
      <c r="K143">
        <f t="shared" si="18"/>
        <v>0.87413580705461669</v>
      </c>
      <c r="L143">
        <f t="shared" si="20"/>
        <v>0.12586419294538331</v>
      </c>
    </row>
    <row r="144" spans="1:12">
      <c r="A144" s="6" t="s">
        <v>2440</v>
      </c>
      <c r="B144">
        <v>4119.8950000000004</v>
      </c>
      <c r="C144">
        <v>871.15700000000004</v>
      </c>
      <c r="D144">
        <v>67.528999999999996</v>
      </c>
      <c r="E144">
        <v>121352.736</v>
      </c>
      <c r="F144">
        <f t="shared" si="15"/>
        <v>40450.912000000004</v>
      </c>
      <c r="G144">
        <f t="shared" si="16"/>
        <v>2011</v>
      </c>
      <c r="H144">
        <f t="shared" si="17"/>
        <v>2</v>
      </c>
      <c r="I144">
        <f t="shared" si="14"/>
        <v>5058.5810000000001</v>
      </c>
      <c r="J144">
        <f t="shared" si="19"/>
        <v>45509.493000000002</v>
      </c>
      <c r="K144">
        <f t="shared" si="18"/>
        <v>0.88884558656805956</v>
      </c>
      <c r="L144">
        <f t="shared" si="20"/>
        <v>0.11115441343194045</v>
      </c>
    </row>
    <row r="145" spans="1:12">
      <c r="A145" s="6" t="s">
        <v>2453</v>
      </c>
      <c r="B145">
        <v>6048.9170000000004</v>
      </c>
      <c r="C145">
        <v>1229.221</v>
      </c>
      <c r="D145">
        <v>42.411000000000001</v>
      </c>
      <c r="E145">
        <v>138909.815</v>
      </c>
      <c r="F145">
        <f t="shared" si="15"/>
        <v>46303.271666666667</v>
      </c>
      <c r="G145">
        <f t="shared" si="16"/>
        <v>2011</v>
      </c>
      <c r="H145">
        <f t="shared" si="17"/>
        <v>1</v>
      </c>
      <c r="I145">
        <f t="shared" si="14"/>
        <v>7320.5490000000009</v>
      </c>
      <c r="J145">
        <f t="shared" si="19"/>
        <v>53623.820666666667</v>
      </c>
      <c r="K145">
        <f t="shared" si="18"/>
        <v>0.86348326342679727</v>
      </c>
      <c r="L145">
        <f t="shared" si="20"/>
        <v>0.13651673657320279</v>
      </c>
    </row>
    <row r="146" spans="1:12">
      <c r="A146" s="6" t="s">
        <v>2467</v>
      </c>
      <c r="B146">
        <v>7063.89</v>
      </c>
      <c r="C146">
        <v>950.17100000000005</v>
      </c>
      <c r="D146" t="s">
        <v>130</v>
      </c>
      <c r="E146">
        <v>132842.122</v>
      </c>
      <c r="F146">
        <f t="shared" si="15"/>
        <v>44280.707333333332</v>
      </c>
      <c r="G146">
        <f t="shared" si="16"/>
        <v>2010</v>
      </c>
      <c r="H146">
        <f t="shared" si="17"/>
        <v>12</v>
      </c>
      <c r="I146">
        <f t="shared" si="14"/>
        <v>8014.0610000000006</v>
      </c>
      <c r="J146">
        <f t="shared" si="19"/>
        <v>52294.768333333333</v>
      </c>
      <c r="K146">
        <f t="shared" si="18"/>
        <v>0.84675214643045393</v>
      </c>
      <c r="L146">
        <f t="shared" si="20"/>
        <v>0.15324785356954607</v>
      </c>
    </row>
    <row r="147" spans="1:12">
      <c r="A147" s="6" t="s">
        <v>2480</v>
      </c>
      <c r="B147">
        <v>5519.942</v>
      </c>
      <c r="C147">
        <v>969.17399999999998</v>
      </c>
      <c r="D147" t="s">
        <v>130</v>
      </c>
      <c r="E147">
        <v>112760.29700000001</v>
      </c>
      <c r="F147">
        <f t="shared" si="15"/>
        <v>37586.765666666666</v>
      </c>
      <c r="G147">
        <f t="shared" si="16"/>
        <v>2010</v>
      </c>
      <c r="H147">
        <f t="shared" si="17"/>
        <v>11</v>
      </c>
      <c r="I147">
        <f t="shared" si="14"/>
        <v>6489.116</v>
      </c>
      <c r="J147">
        <f t="shared" si="19"/>
        <v>44075.881666666668</v>
      </c>
      <c r="K147">
        <f t="shared" si="18"/>
        <v>0.85277399442453961</v>
      </c>
      <c r="L147">
        <f t="shared" si="20"/>
        <v>0.14722600557546039</v>
      </c>
    </row>
    <row r="148" spans="1:12">
      <c r="A148" s="6" t="s">
        <v>2492</v>
      </c>
      <c r="B148">
        <v>4048.88</v>
      </c>
      <c r="C148">
        <v>1034.1859999999999</v>
      </c>
      <c r="D148" t="s">
        <v>130</v>
      </c>
      <c r="E148">
        <v>101708.371</v>
      </c>
      <c r="F148">
        <f t="shared" si="15"/>
        <v>33902.790333333331</v>
      </c>
      <c r="G148">
        <f t="shared" si="16"/>
        <v>2010</v>
      </c>
      <c r="H148">
        <f t="shared" si="17"/>
        <v>10</v>
      </c>
      <c r="I148">
        <f t="shared" si="14"/>
        <v>5083.0659999999998</v>
      </c>
      <c r="J148">
        <f t="shared" si="19"/>
        <v>38985.85633333333</v>
      </c>
      <c r="K148">
        <f t="shared" si="18"/>
        <v>0.86961769015564949</v>
      </c>
      <c r="L148">
        <f t="shared" si="20"/>
        <v>0.13038230984435048</v>
      </c>
    </row>
    <row r="149" spans="1:12">
      <c r="A149" s="6" t="s">
        <v>2504</v>
      </c>
      <c r="B149">
        <v>3608.2190000000001</v>
      </c>
      <c r="C149">
        <v>548.09900000000005</v>
      </c>
      <c r="D149" t="s">
        <v>130</v>
      </c>
      <c r="E149">
        <v>100872.091</v>
      </c>
      <c r="F149">
        <f t="shared" si="15"/>
        <v>33624.030333333336</v>
      </c>
      <c r="G149">
        <f t="shared" si="16"/>
        <v>2010</v>
      </c>
      <c r="H149">
        <f t="shared" si="17"/>
        <v>9</v>
      </c>
      <c r="I149">
        <f t="shared" si="14"/>
        <v>4156.3180000000002</v>
      </c>
      <c r="J149">
        <f t="shared" si="19"/>
        <v>37780.348333333335</v>
      </c>
      <c r="K149">
        <f t="shared" si="18"/>
        <v>0.88998730336393139</v>
      </c>
      <c r="L149">
        <f t="shared" si="20"/>
        <v>0.11001269663606861</v>
      </c>
    </row>
    <row r="150" spans="1:12">
      <c r="A150" s="6" t="s">
        <v>2513</v>
      </c>
      <c r="B150">
        <v>4402.6949999999997</v>
      </c>
      <c r="C150">
        <v>668.12</v>
      </c>
      <c r="D150" t="s">
        <v>130</v>
      </c>
      <c r="E150">
        <v>103451.927</v>
      </c>
      <c r="F150">
        <f t="shared" si="15"/>
        <v>34483.975666666665</v>
      </c>
      <c r="G150">
        <f t="shared" si="16"/>
        <v>2010</v>
      </c>
      <c r="H150">
        <f t="shared" si="17"/>
        <v>8</v>
      </c>
      <c r="I150">
        <f t="shared" si="14"/>
        <v>5070.8149999999996</v>
      </c>
      <c r="J150">
        <f t="shared" si="19"/>
        <v>39554.790666666668</v>
      </c>
      <c r="K150">
        <f t="shared" si="18"/>
        <v>0.8718027598039283</v>
      </c>
      <c r="L150">
        <f t="shared" si="20"/>
        <v>0.12819724019607165</v>
      </c>
    </row>
    <row r="151" spans="1:12">
      <c r="A151" s="6" t="s">
        <v>2522</v>
      </c>
      <c r="B151">
        <v>5512.0140000000001</v>
      </c>
      <c r="C151">
        <v>479.08600000000001</v>
      </c>
      <c r="D151" t="s">
        <v>130</v>
      </c>
      <c r="E151">
        <v>101295.785</v>
      </c>
      <c r="F151">
        <f t="shared" si="15"/>
        <v>33765.261666666665</v>
      </c>
      <c r="G151">
        <f t="shared" si="16"/>
        <v>2010</v>
      </c>
      <c r="H151">
        <f t="shared" si="17"/>
        <v>7</v>
      </c>
      <c r="I151">
        <f t="shared" si="14"/>
        <v>5991.1</v>
      </c>
      <c r="J151">
        <f t="shared" si="19"/>
        <v>39756.361666666664</v>
      </c>
      <c r="K151">
        <f t="shared" si="18"/>
        <v>0.84930462072380286</v>
      </c>
      <c r="L151">
        <f t="shared" si="20"/>
        <v>0.15069537927619719</v>
      </c>
    </row>
    <row r="152" spans="1:12">
      <c r="A152" s="6" t="s">
        <v>2532</v>
      </c>
      <c r="B152">
        <v>7408.098</v>
      </c>
      <c r="C152">
        <v>566.10199999999998</v>
      </c>
      <c r="D152" t="s">
        <v>130</v>
      </c>
      <c r="E152">
        <v>94335.046000000002</v>
      </c>
      <c r="F152">
        <f t="shared" si="15"/>
        <v>31445.015333333333</v>
      </c>
      <c r="G152">
        <f t="shared" si="16"/>
        <v>2010</v>
      </c>
      <c r="H152">
        <f t="shared" si="17"/>
        <v>6</v>
      </c>
      <c r="I152">
        <f t="shared" si="14"/>
        <v>7974.2</v>
      </c>
      <c r="J152">
        <f t="shared" si="19"/>
        <v>39419.215333333334</v>
      </c>
      <c r="K152">
        <f t="shared" si="18"/>
        <v>0.79770779472474873</v>
      </c>
      <c r="L152">
        <f t="shared" si="20"/>
        <v>0.2022922052752513</v>
      </c>
    </row>
    <row r="153" spans="1:12">
      <c r="A153" s="6" t="s">
        <v>2542</v>
      </c>
      <c r="B153">
        <v>6574.8609999999999</v>
      </c>
      <c r="C153">
        <v>725.13099999999997</v>
      </c>
      <c r="D153" t="s">
        <v>130</v>
      </c>
      <c r="E153">
        <v>93362.235000000001</v>
      </c>
      <c r="F153">
        <f t="shared" si="15"/>
        <v>31120.744999999999</v>
      </c>
      <c r="G153">
        <f t="shared" si="16"/>
        <v>2010</v>
      </c>
      <c r="H153">
        <f t="shared" si="17"/>
        <v>5</v>
      </c>
      <c r="I153">
        <f t="shared" si="14"/>
        <v>7299.9920000000002</v>
      </c>
      <c r="J153">
        <f t="shared" si="19"/>
        <v>38420.737000000001</v>
      </c>
      <c r="K153">
        <f t="shared" si="18"/>
        <v>0.80999864734505223</v>
      </c>
      <c r="L153">
        <f t="shared" si="20"/>
        <v>0.19000135265494777</v>
      </c>
    </row>
    <row r="154" spans="1:12">
      <c r="A154" s="6" t="s">
        <v>2554</v>
      </c>
      <c r="B154">
        <v>5834.1909999999998</v>
      </c>
      <c r="C154">
        <v>707.12699999999995</v>
      </c>
      <c r="D154" t="s">
        <v>130</v>
      </c>
      <c r="E154">
        <v>99668.426000000007</v>
      </c>
      <c r="F154">
        <f t="shared" si="15"/>
        <v>33222.808666666671</v>
      </c>
      <c r="G154">
        <f t="shared" si="16"/>
        <v>2010</v>
      </c>
      <c r="H154">
        <f t="shared" si="17"/>
        <v>4</v>
      </c>
      <c r="I154">
        <f t="shared" si="14"/>
        <v>6541.3179999999993</v>
      </c>
      <c r="J154">
        <f t="shared" si="19"/>
        <v>39764.126666666671</v>
      </c>
      <c r="K154">
        <f t="shared" si="18"/>
        <v>0.83549700324530374</v>
      </c>
      <c r="L154">
        <f t="shared" si="20"/>
        <v>0.16450299675469629</v>
      </c>
    </row>
    <row r="155" spans="1:12">
      <c r="A155" s="6" t="s">
        <v>2566</v>
      </c>
      <c r="B155">
        <v>6310.65</v>
      </c>
      <c r="C155">
        <v>1149.2070000000001</v>
      </c>
      <c r="D155" t="s">
        <v>130</v>
      </c>
      <c r="E155">
        <v>114382.671</v>
      </c>
      <c r="F155">
        <f t="shared" si="15"/>
        <v>38127.557000000001</v>
      </c>
      <c r="G155">
        <f t="shared" si="16"/>
        <v>2010</v>
      </c>
      <c r="H155">
        <f t="shared" si="17"/>
        <v>3</v>
      </c>
      <c r="I155">
        <f t="shared" si="14"/>
        <v>7459.857</v>
      </c>
      <c r="J155">
        <f t="shared" si="19"/>
        <v>45587.414000000004</v>
      </c>
      <c r="K155">
        <f t="shared" si="18"/>
        <v>0.83636147906963965</v>
      </c>
      <c r="L155">
        <f t="shared" si="20"/>
        <v>0.16363852093036027</v>
      </c>
    </row>
    <row r="156" spans="1:12">
      <c r="A156" s="6" t="s">
        <v>2578</v>
      </c>
      <c r="B156">
        <v>5903.5450000000001</v>
      </c>
      <c r="C156">
        <v>949.17100000000005</v>
      </c>
      <c r="D156" t="s">
        <v>130</v>
      </c>
      <c r="E156">
        <v>115196.484</v>
      </c>
      <c r="F156">
        <f t="shared" si="15"/>
        <v>38398.828000000001</v>
      </c>
      <c r="G156">
        <f t="shared" si="16"/>
        <v>2010</v>
      </c>
      <c r="H156">
        <f t="shared" si="17"/>
        <v>2</v>
      </c>
      <c r="I156">
        <f t="shared" si="14"/>
        <v>6852.7160000000003</v>
      </c>
      <c r="J156">
        <f t="shared" si="19"/>
        <v>45251.544000000002</v>
      </c>
      <c r="K156">
        <f t="shared" si="18"/>
        <v>0.8485639296639248</v>
      </c>
      <c r="L156">
        <f t="shared" si="20"/>
        <v>0.15143607033607517</v>
      </c>
    </row>
    <row r="157" spans="1:12">
      <c r="A157" s="6" t="s">
        <v>2590</v>
      </c>
      <c r="B157">
        <v>6371.7070000000003</v>
      </c>
      <c r="C157">
        <v>668.12</v>
      </c>
      <c r="D157" t="s">
        <v>130</v>
      </c>
      <c r="E157">
        <v>128292.75599999999</v>
      </c>
      <c r="F157">
        <f t="shared" si="15"/>
        <v>42764.252</v>
      </c>
      <c r="G157">
        <f t="shared" si="16"/>
        <v>2010</v>
      </c>
      <c r="H157">
        <f t="shared" si="17"/>
        <v>1</v>
      </c>
      <c r="I157">
        <f t="shared" ref="I157:I205" si="21">SUM($B157,$C157,$D157)</f>
        <v>7039.8270000000002</v>
      </c>
      <c r="J157">
        <f t="shared" si="19"/>
        <v>49804.078999999998</v>
      </c>
      <c r="K157">
        <f t="shared" si="18"/>
        <v>0.85864958972537175</v>
      </c>
      <c r="L157">
        <f t="shared" si="20"/>
        <v>0.14135041027462833</v>
      </c>
    </row>
    <row r="158" spans="1:12">
      <c r="A158" s="6" t="s">
        <v>2601</v>
      </c>
      <c r="B158">
        <v>5323.0720000000001</v>
      </c>
      <c r="C158">
        <v>940.16899999999998</v>
      </c>
      <c r="D158" t="s">
        <v>130</v>
      </c>
      <c r="E158">
        <v>120193.633</v>
      </c>
      <c r="F158">
        <f t="shared" si="15"/>
        <v>40064.544333333331</v>
      </c>
      <c r="G158">
        <f t="shared" si="16"/>
        <v>2009</v>
      </c>
      <c r="H158">
        <f t="shared" si="17"/>
        <v>12</v>
      </c>
      <c r="I158">
        <f t="shared" si="21"/>
        <v>6263.241</v>
      </c>
      <c r="J158">
        <f t="shared" si="19"/>
        <v>46327.785333333333</v>
      </c>
      <c r="K158">
        <f t="shared" si="18"/>
        <v>0.86480594841874447</v>
      </c>
      <c r="L158">
        <f t="shared" si="20"/>
        <v>0.13519405158125553</v>
      </c>
    </row>
    <row r="159" spans="1:12">
      <c r="A159" s="6" t="s">
        <v>2613</v>
      </c>
      <c r="B159">
        <v>3794.3229999999999</v>
      </c>
      <c r="C159">
        <v>1296.2329999999999</v>
      </c>
      <c r="D159" t="s">
        <v>130</v>
      </c>
      <c r="E159">
        <v>100247.048</v>
      </c>
      <c r="F159">
        <f t="shared" si="15"/>
        <v>33415.682666666668</v>
      </c>
      <c r="G159">
        <f t="shared" si="16"/>
        <v>2009</v>
      </c>
      <c r="H159">
        <f t="shared" si="17"/>
        <v>11</v>
      </c>
      <c r="I159">
        <f t="shared" si="21"/>
        <v>5090.5559999999996</v>
      </c>
      <c r="J159">
        <f t="shared" si="19"/>
        <v>38506.238666666664</v>
      </c>
      <c r="K159">
        <f t="shared" si="18"/>
        <v>0.86779918848821003</v>
      </c>
      <c r="L159">
        <f t="shared" si="20"/>
        <v>0.13220081151179</v>
      </c>
    </row>
    <row r="160" spans="1:12">
      <c r="A160" s="6" t="s">
        <v>2625</v>
      </c>
      <c r="B160">
        <v>3081.9050000000002</v>
      </c>
      <c r="C160">
        <v>632.11400000000003</v>
      </c>
      <c r="D160" t="s">
        <v>130</v>
      </c>
      <c r="E160">
        <v>98785.998000000007</v>
      </c>
      <c r="F160">
        <f t="shared" si="15"/>
        <v>32928.666000000005</v>
      </c>
      <c r="G160">
        <f t="shared" si="16"/>
        <v>2009</v>
      </c>
      <c r="H160">
        <f t="shared" si="17"/>
        <v>10</v>
      </c>
      <c r="I160">
        <f t="shared" si="21"/>
        <v>3714.0190000000002</v>
      </c>
      <c r="J160">
        <f t="shared" si="19"/>
        <v>36642.685000000005</v>
      </c>
      <c r="K160">
        <f t="shared" si="18"/>
        <v>0.89864228017133574</v>
      </c>
      <c r="L160">
        <f t="shared" si="20"/>
        <v>0.10135771982866429</v>
      </c>
    </row>
    <row r="161" spans="1:12">
      <c r="A161" s="6" t="s">
        <v>2637</v>
      </c>
      <c r="B161">
        <v>2994.8670000000002</v>
      </c>
      <c r="C161">
        <v>542.09799999999996</v>
      </c>
      <c r="D161" t="s">
        <v>130</v>
      </c>
      <c r="E161">
        <v>91803.258000000002</v>
      </c>
      <c r="F161">
        <f t="shared" si="15"/>
        <v>30601.085999999999</v>
      </c>
      <c r="G161">
        <f t="shared" si="16"/>
        <v>2009</v>
      </c>
      <c r="H161">
        <f t="shared" si="17"/>
        <v>9</v>
      </c>
      <c r="I161">
        <f t="shared" si="21"/>
        <v>3536.9650000000001</v>
      </c>
      <c r="J161">
        <f t="shared" si="19"/>
        <v>34138.050999999999</v>
      </c>
      <c r="K161">
        <f t="shared" si="18"/>
        <v>0.89639229843554924</v>
      </c>
      <c r="L161">
        <f t="shared" si="20"/>
        <v>0.10360770156445077</v>
      </c>
    </row>
    <row r="162" spans="1:12">
      <c r="A162" s="6" t="s">
        <v>2647</v>
      </c>
      <c r="B162">
        <v>3912.0050000000001</v>
      </c>
      <c r="C162">
        <v>355.06400000000002</v>
      </c>
      <c r="D162" t="s">
        <v>130</v>
      </c>
      <c r="E162">
        <v>90316.490999999995</v>
      </c>
      <c r="F162">
        <f t="shared" si="15"/>
        <v>30105.496999999999</v>
      </c>
      <c r="G162">
        <f t="shared" si="16"/>
        <v>2009</v>
      </c>
      <c r="H162">
        <f t="shared" si="17"/>
        <v>8</v>
      </c>
      <c r="I162">
        <f t="shared" si="21"/>
        <v>4267.0690000000004</v>
      </c>
      <c r="J162">
        <f t="shared" si="19"/>
        <v>34372.565999999999</v>
      </c>
      <c r="K162">
        <f t="shared" si="18"/>
        <v>0.87585829350069477</v>
      </c>
      <c r="L162">
        <f t="shared" si="20"/>
        <v>0.12414170649930531</v>
      </c>
    </row>
    <row r="163" spans="1:12">
      <c r="A163" s="6" t="s">
        <v>2657</v>
      </c>
      <c r="B163">
        <v>4966.2039999999997</v>
      </c>
      <c r="C163">
        <v>538.09699999999998</v>
      </c>
      <c r="D163" t="s">
        <v>130</v>
      </c>
      <c r="E163">
        <v>92456.012000000002</v>
      </c>
      <c r="F163">
        <f t="shared" si="15"/>
        <v>30818.670666666669</v>
      </c>
      <c r="G163">
        <f t="shared" si="16"/>
        <v>2009</v>
      </c>
      <c r="H163">
        <f t="shared" si="17"/>
        <v>7</v>
      </c>
      <c r="I163">
        <f t="shared" si="21"/>
        <v>5504.3009999999995</v>
      </c>
      <c r="J163">
        <f t="shared" si="19"/>
        <v>36322.971666666665</v>
      </c>
      <c r="K163">
        <f t="shared" si="18"/>
        <v>0.84846226100351652</v>
      </c>
      <c r="L163">
        <f t="shared" si="20"/>
        <v>0.15153773899648354</v>
      </c>
    </row>
    <row r="164" spans="1:12">
      <c r="A164" s="6" t="s">
        <v>2667</v>
      </c>
      <c r="B164">
        <v>6444.1639999999998</v>
      </c>
      <c r="C164">
        <v>405.07299999999998</v>
      </c>
      <c r="D164" t="s">
        <v>130</v>
      </c>
      <c r="E164">
        <v>86803.48</v>
      </c>
      <c r="F164">
        <f t="shared" si="15"/>
        <v>28934.493333333332</v>
      </c>
      <c r="G164">
        <f t="shared" si="16"/>
        <v>2009</v>
      </c>
      <c r="H164">
        <f t="shared" si="17"/>
        <v>6</v>
      </c>
      <c r="I164">
        <f t="shared" si="21"/>
        <v>6849.2370000000001</v>
      </c>
      <c r="J164">
        <f t="shared" si="19"/>
        <v>35783.730333333333</v>
      </c>
      <c r="K164">
        <f t="shared" si="18"/>
        <v>0.80859354415546258</v>
      </c>
      <c r="L164">
        <f t="shared" si="20"/>
        <v>0.19140645584453739</v>
      </c>
    </row>
    <row r="165" spans="1:12">
      <c r="A165" s="6" t="s">
        <v>2677</v>
      </c>
      <c r="B165">
        <v>7209.6679999999997</v>
      </c>
      <c r="C165">
        <v>539.09699999999998</v>
      </c>
      <c r="D165" t="s">
        <v>130</v>
      </c>
      <c r="E165">
        <v>95638.402000000002</v>
      </c>
      <c r="F165">
        <f t="shared" si="15"/>
        <v>31879.467333333334</v>
      </c>
      <c r="G165">
        <f t="shared" si="16"/>
        <v>2009</v>
      </c>
      <c r="H165">
        <f t="shared" si="17"/>
        <v>5</v>
      </c>
      <c r="I165">
        <f t="shared" si="21"/>
        <v>7748.7649999999994</v>
      </c>
      <c r="J165">
        <f t="shared" si="19"/>
        <v>39628.232333333333</v>
      </c>
      <c r="K165">
        <f t="shared" si="18"/>
        <v>0.80446352149091149</v>
      </c>
      <c r="L165">
        <f t="shared" si="20"/>
        <v>0.19553647850908851</v>
      </c>
    </row>
    <row r="166" spans="1:12">
      <c r="A166" s="6" t="s">
        <v>2689</v>
      </c>
      <c r="B166">
        <v>6743.0590000000002</v>
      </c>
      <c r="C166">
        <v>464.084</v>
      </c>
      <c r="D166" t="s">
        <v>130</v>
      </c>
      <c r="E166">
        <v>98544.985000000001</v>
      </c>
      <c r="F166">
        <f t="shared" si="15"/>
        <v>32848.328333333331</v>
      </c>
      <c r="G166">
        <f t="shared" si="16"/>
        <v>2009</v>
      </c>
      <c r="H166">
        <f t="shared" si="17"/>
        <v>4</v>
      </c>
      <c r="I166">
        <f t="shared" si="21"/>
        <v>7207.143</v>
      </c>
      <c r="J166">
        <f t="shared" si="19"/>
        <v>40055.471333333335</v>
      </c>
      <c r="K166">
        <f t="shared" si="18"/>
        <v>0.82007094761103538</v>
      </c>
      <c r="L166">
        <f t="shared" si="20"/>
        <v>0.17992905238896451</v>
      </c>
    </row>
    <row r="167" spans="1:12">
      <c r="A167" s="6" t="s">
        <v>2701</v>
      </c>
      <c r="B167">
        <v>6315.0720000000001</v>
      </c>
      <c r="C167">
        <v>741.13300000000004</v>
      </c>
      <c r="D167" t="s">
        <v>130</v>
      </c>
      <c r="E167">
        <v>114347.825</v>
      </c>
      <c r="F167">
        <f t="shared" si="15"/>
        <v>38115.941666666666</v>
      </c>
      <c r="G167">
        <f t="shared" si="16"/>
        <v>2009</v>
      </c>
      <c r="H167">
        <f t="shared" si="17"/>
        <v>3</v>
      </c>
      <c r="I167">
        <f t="shared" si="21"/>
        <v>7056.2049999999999</v>
      </c>
      <c r="J167">
        <f t="shared" si="19"/>
        <v>45172.146666666667</v>
      </c>
      <c r="K167">
        <f t="shared" si="18"/>
        <v>0.84379301138666274</v>
      </c>
      <c r="L167">
        <f t="shared" si="20"/>
        <v>0.15620698861333723</v>
      </c>
    </row>
    <row r="168" spans="1:12">
      <c r="A168" s="6" t="s">
        <v>2713</v>
      </c>
      <c r="B168">
        <v>5808.3990000000003</v>
      </c>
      <c r="C168">
        <v>494.089</v>
      </c>
      <c r="D168" t="s">
        <v>130</v>
      </c>
      <c r="E168">
        <v>117351.395</v>
      </c>
      <c r="F168">
        <f t="shared" si="15"/>
        <v>39117.131666666668</v>
      </c>
      <c r="G168">
        <f t="shared" si="16"/>
        <v>2009</v>
      </c>
      <c r="H168">
        <f t="shared" si="17"/>
        <v>2</v>
      </c>
      <c r="I168">
        <f t="shared" si="21"/>
        <v>6302.4880000000003</v>
      </c>
      <c r="J168">
        <f t="shared" si="19"/>
        <v>45419.619666666666</v>
      </c>
      <c r="K168">
        <f t="shared" si="18"/>
        <v>0.86123864430715658</v>
      </c>
      <c r="L168">
        <f t="shared" si="20"/>
        <v>0.13876135569284342</v>
      </c>
    </row>
    <row r="169" spans="1:12">
      <c r="A169" s="6" t="s">
        <v>2724</v>
      </c>
      <c r="B169">
        <v>6149.1930000000002</v>
      </c>
      <c r="C169">
        <v>649.11699999999996</v>
      </c>
      <c r="D169" t="s">
        <v>130</v>
      </c>
      <c r="E169">
        <v>136557.878</v>
      </c>
      <c r="F169">
        <f t="shared" si="15"/>
        <v>45519.292666666668</v>
      </c>
      <c r="G169">
        <f t="shared" si="16"/>
        <v>2009</v>
      </c>
      <c r="H169">
        <f t="shared" si="17"/>
        <v>1</v>
      </c>
      <c r="I169">
        <f t="shared" si="21"/>
        <v>6798.31</v>
      </c>
      <c r="J169">
        <f t="shared" si="19"/>
        <v>52317.602666666666</v>
      </c>
      <c r="K169">
        <f t="shared" si="18"/>
        <v>0.87005692819462022</v>
      </c>
      <c r="L169">
        <f t="shared" si="20"/>
        <v>0.12994307180537987</v>
      </c>
    </row>
    <row r="170" spans="1:12">
      <c r="A170" s="6" t="s">
        <v>2736</v>
      </c>
      <c r="B170">
        <v>5663.6390000000001</v>
      </c>
      <c r="C170">
        <v>660.11900000000003</v>
      </c>
      <c r="D170" t="s">
        <v>130</v>
      </c>
      <c r="E170">
        <v>131144.783</v>
      </c>
      <c r="F170">
        <f t="shared" si="15"/>
        <v>43714.927666666663</v>
      </c>
      <c r="G170">
        <f t="shared" si="16"/>
        <v>2008</v>
      </c>
      <c r="H170">
        <f t="shared" si="17"/>
        <v>12</v>
      </c>
      <c r="I170">
        <f t="shared" si="21"/>
        <v>6323.7579999999998</v>
      </c>
      <c r="J170">
        <f t="shared" si="19"/>
        <v>50038.685666666664</v>
      </c>
      <c r="K170">
        <f t="shared" si="18"/>
        <v>0.87362261986404288</v>
      </c>
      <c r="L170">
        <f t="shared" si="20"/>
        <v>0.12637738013595709</v>
      </c>
    </row>
    <row r="171" spans="1:12">
      <c r="A171" s="6" t="s">
        <v>2748</v>
      </c>
      <c r="B171">
        <v>5125.82</v>
      </c>
      <c r="C171">
        <v>637.11500000000001</v>
      </c>
      <c r="D171" t="s">
        <v>130</v>
      </c>
      <c r="E171">
        <v>114784.26700000001</v>
      </c>
      <c r="F171">
        <f t="shared" si="15"/>
        <v>38261.422333333336</v>
      </c>
      <c r="G171">
        <f t="shared" si="16"/>
        <v>2008</v>
      </c>
      <c r="H171">
        <f t="shared" si="17"/>
        <v>11</v>
      </c>
      <c r="I171">
        <f t="shared" si="21"/>
        <v>5762.9349999999995</v>
      </c>
      <c r="J171">
        <f t="shared" si="19"/>
        <v>44024.357333333333</v>
      </c>
      <c r="K171">
        <f t="shared" si="18"/>
        <v>0.86909666945582975</v>
      </c>
      <c r="L171">
        <f t="shared" si="20"/>
        <v>0.13090333054417028</v>
      </c>
    </row>
    <row r="172" spans="1:12">
      <c r="A172" s="6" t="s">
        <v>2758</v>
      </c>
      <c r="B172">
        <v>3806.3789999999999</v>
      </c>
      <c r="C172">
        <v>475.08600000000001</v>
      </c>
      <c r="D172" t="s">
        <v>130</v>
      </c>
      <c r="E172">
        <v>108061.84699999999</v>
      </c>
      <c r="F172">
        <f t="shared" si="15"/>
        <v>36020.615666666665</v>
      </c>
      <c r="G172">
        <f t="shared" si="16"/>
        <v>2008</v>
      </c>
      <c r="H172">
        <f t="shared" si="17"/>
        <v>10</v>
      </c>
      <c r="I172">
        <f t="shared" si="21"/>
        <v>4281.4650000000001</v>
      </c>
      <c r="J172">
        <f t="shared" si="19"/>
        <v>40302.080666666661</v>
      </c>
      <c r="K172">
        <f t="shared" si="18"/>
        <v>0.89376565851744871</v>
      </c>
      <c r="L172">
        <f t="shared" si="20"/>
        <v>0.10623434148255143</v>
      </c>
    </row>
    <row r="173" spans="1:12">
      <c r="A173" s="6" t="s">
        <v>2770</v>
      </c>
      <c r="B173">
        <v>4879.2929999999997</v>
      </c>
      <c r="C173">
        <v>464.084</v>
      </c>
      <c r="D173" t="s">
        <v>130</v>
      </c>
      <c r="E173">
        <v>99626.997000000003</v>
      </c>
      <c r="F173">
        <f t="shared" si="15"/>
        <v>33208.999000000003</v>
      </c>
      <c r="G173">
        <f t="shared" si="16"/>
        <v>2008</v>
      </c>
      <c r="H173">
        <f t="shared" si="17"/>
        <v>9</v>
      </c>
      <c r="I173">
        <f t="shared" si="21"/>
        <v>5343.3769999999995</v>
      </c>
      <c r="J173">
        <f t="shared" si="19"/>
        <v>38552.376000000004</v>
      </c>
      <c r="K173">
        <f t="shared" si="18"/>
        <v>0.86139954123709517</v>
      </c>
      <c r="L173">
        <f t="shared" si="20"/>
        <v>0.13860045876290475</v>
      </c>
    </row>
    <row r="174" spans="1:12">
      <c r="A174" s="6" t="s">
        <v>2779</v>
      </c>
      <c r="B174">
        <v>4329.0839999999998</v>
      </c>
      <c r="C174">
        <v>407.07299999999998</v>
      </c>
      <c r="D174" t="s">
        <v>130</v>
      </c>
      <c r="E174">
        <v>102460.84</v>
      </c>
      <c r="F174">
        <f t="shared" si="15"/>
        <v>34153.613333333335</v>
      </c>
      <c r="G174">
        <f t="shared" si="16"/>
        <v>2008</v>
      </c>
      <c r="H174">
        <f t="shared" si="17"/>
        <v>8</v>
      </c>
      <c r="I174">
        <f t="shared" si="21"/>
        <v>4736.1570000000002</v>
      </c>
      <c r="J174">
        <f t="shared" si="19"/>
        <v>38889.770333333334</v>
      </c>
      <c r="K174">
        <f t="shared" si="18"/>
        <v>0.87821586603867063</v>
      </c>
      <c r="L174">
        <f t="shared" si="20"/>
        <v>0.12178413396132939</v>
      </c>
    </row>
    <row r="175" spans="1:12">
      <c r="A175" s="6" t="s">
        <v>2789</v>
      </c>
      <c r="B175">
        <v>6108.0659999999998</v>
      </c>
      <c r="C175">
        <v>347.06200000000001</v>
      </c>
      <c r="D175" t="s">
        <v>130</v>
      </c>
      <c r="E175">
        <v>101837.054</v>
      </c>
      <c r="F175">
        <f t="shared" si="15"/>
        <v>33945.684666666668</v>
      </c>
      <c r="G175">
        <f t="shared" si="16"/>
        <v>2008</v>
      </c>
      <c r="H175">
        <f t="shared" si="17"/>
        <v>7</v>
      </c>
      <c r="I175">
        <f t="shared" si="21"/>
        <v>6455.1279999999997</v>
      </c>
      <c r="J175">
        <f t="shared" si="19"/>
        <v>40400.812666666665</v>
      </c>
      <c r="K175">
        <f t="shared" si="18"/>
        <v>0.84022281796014708</v>
      </c>
      <c r="L175">
        <f t="shared" si="20"/>
        <v>0.15977718203985303</v>
      </c>
    </row>
    <row r="176" spans="1:12">
      <c r="A176" s="6" t="s">
        <v>2799</v>
      </c>
      <c r="B176">
        <v>8493.0329999999994</v>
      </c>
      <c r="C176">
        <v>283.05099999999999</v>
      </c>
      <c r="D176" t="s">
        <v>130</v>
      </c>
      <c r="E176">
        <v>91410.369000000006</v>
      </c>
      <c r="F176">
        <f t="shared" si="15"/>
        <v>30470.123000000003</v>
      </c>
      <c r="G176">
        <f t="shared" si="16"/>
        <v>2008</v>
      </c>
      <c r="H176">
        <f t="shared" si="17"/>
        <v>6</v>
      </c>
      <c r="I176">
        <f t="shared" si="21"/>
        <v>8776.0839999999989</v>
      </c>
      <c r="J176">
        <f t="shared" si="19"/>
        <v>39246.207000000002</v>
      </c>
      <c r="K176">
        <f t="shared" si="18"/>
        <v>0.77638389360785875</v>
      </c>
      <c r="L176">
        <f t="shared" si="20"/>
        <v>0.22361610639214125</v>
      </c>
    </row>
    <row r="177" spans="1:12">
      <c r="A177" s="6" t="s">
        <v>2809</v>
      </c>
      <c r="B177">
        <v>7354.5550000000003</v>
      </c>
      <c r="C177">
        <v>282.05099999999999</v>
      </c>
      <c r="D177" t="s">
        <v>130</v>
      </c>
      <c r="E177">
        <v>102006.213</v>
      </c>
      <c r="F177">
        <f t="shared" si="15"/>
        <v>34002.071000000004</v>
      </c>
      <c r="G177">
        <f t="shared" si="16"/>
        <v>2008</v>
      </c>
      <c r="H177">
        <f t="shared" si="17"/>
        <v>5</v>
      </c>
      <c r="I177">
        <f t="shared" si="21"/>
        <v>7636.6060000000007</v>
      </c>
      <c r="J177">
        <f t="shared" si="19"/>
        <v>41638.677000000003</v>
      </c>
      <c r="K177">
        <f t="shared" si="18"/>
        <v>0.81659825551133625</v>
      </c>
      <c r="L177">
        <f t="shared" si="20"/>
        <v>0.18340174448866375</v>
      </c>
    </row>
    <row r="178" spans="1:12">
      <c r="A178" s="6" t="s">
        <v>2821</v>
      </c>
      <c r="B178">
        <v>7152.1859999999997</v>
      </c>
      <c r="C178">
        <v>416.07499999999999</v>
      </c>
      <c r="D178" t="s">
        <v>130</v>
      </c>
      <c r="E178">
        <v>109092.33500000001</v>
      </c>
      <c r="F178">
        <f t="shared" si="15"/>
        <v>36364.111666666671</v>
      </c>
      <c r="G178">
        <f t="shared" si="16"/>
        <v>2008</v>
      </c>
      <c r="H178">
        <f t="shared" si="17"/>
        <v>4</v>
      </c>
      <c r="I178">
        <f t="shared" si="21"/>
        <v>7568.2609999999995</v>
      </c>
      <c r="J178">
        <f t="shared" si="19"/>
        <v>43932.37266666667</v>
      </c>
      <c r="K178">
        <f t="shared" si="18"/>
        <v>0.82772929071180457</v>
      </c>
      <c r="L178">
        <f t="shared" si="20"/>
        <v>0.17227070928819549</v>
      </c>
    </row>
    <row r="179" spans="1:12">
      <c r="A179" s="6" t="s">
        <v>2833</v>
      </c>
      <c r="B179">
        <v>5672.8850000000002</v>
      </c>
      <c r="C179">
        <v>697.125</v>
      </c>
      <c r="D179" t="s">
        <v>130</v>
      </c>
      <c r="E179">
        <v>118281.86500000001</v>
      </c>
      <c r="F179">
        <f t="shared" si="15"/>
        <v>39427.288333333338</v>
      </c>
      <c r="G179">
        <f t="shared" si="16"/>
        <v>2008</v>
      </c>
      <c r="H179">
        <f t="shared" si="17"/>
        <v>3</v>
      </c>
      <c r="I179">
        <f t="shared" si="21"/>
        <v>6370.01</v>
      </c>
      <c r="J179">
        <f t="shared" si="19"/>
        <v>45797.29833333334</v>
      </c>
      <c r="K179">
        <f t="shared" si="18"/>
        <v>0.86090860745461006</v>
      </c>
      <c r="L179">
        <f t="shared" si="20"/>
        <v>0.13909139254538994</v>
      </c>
    </row>
    <row r="180" spans="1:12">
      <c r="A180" s="6" t="s">
        <v>2845</v>
      </c>
      <c r="B180">
        <v>4503.8220000000001</v>
      </c>
      <c r="C180">
        <v>428.077</v>
      </c>
      <c r="D180" t="s">
        <v>130</v>
      </c>
      <c r="E180">
        <v>123370.659</v>
      </c>
      <c r="F180">
        <f t="shared" si="15"/>
        <v>41123.553</v>
      </c>
      <c r="G180">
        <f t="shared" si="16"/>
        <v>2008</v>
      </c>
      <c r="H180">
        <f t="shared" si="17"/>
        <v>2</v>
      </c>
      <c r="I180">
        <f t="shared" si="21"/>
        <v>4931.8990000000003</v>
      </c>
      <c r="J180">
        <f t="shared" si="19"/>
        <v>46055.451999999997</v>
      </c>
      <c r="K180">
        <f t="shared" si="18"/>
        <v>0.89291389432026425</v>
      </c>
      <c r="L180">
        <f t="shared" si="20"/>
        <v>0.10708610567973582</v>
      </c>
    </row>
    <row r="181" spans="1:12">
      <c r="A181" s="6" t="s">
        <v>2856</v>
      </c>
      <c r="B181">
        <v>6132.5609999999997</v>
      </c>
      <c r="C181">
        <v>614.11099999999999</v>
      </c>
      <c r="D181" t="s">
        <v>130</v>
      </c>
      <c r="E181">
        <v>129923.352</v>
      </c>
      <c r="F181">
        <f t="shared" si="15"/>
        <v>43307.784</v>
      </c>
      <c r="G181">
        <f t="shared" si="16"/>
        <v>2008</v>
      </c>
      <c r="H181">
        <f t="shared" si="17"/>
        <v>1</v>
      </c>
      <c r="I181">
        <f t="shared" si="21"/>
        <v>6746.6719999999996</v>
      </c>
      <c r="J181">
        <f t="shared" si="19"/>
        <v>50054.455999999998</v>
      </c>
      <c r="K181">
        <f t="shared" si="18"/>
        <v>0.86521335882663475</v>
      </c>
      <c r="L181">
        <f t="shared" si="20"/>
        <v>0.13478664117336525</v>
      </c>
    </row>
    <row r="182" spans="1:12">
      <c r="A182" s="6" t="s">
        <v>2868</v>
      </c>
      <c r="B182">
        <v>4679.2860000000001</v>
      </c>
      <c r="C182">
        <v>584.10500000000002</v>
      </c>
      <c r="D182" t="s">
        <v>130</v>
      </c>
      <c r="E182">
        <v>126925.84299999999</v>
      </c>
      <c r="F182">
        <f t="shared" si="15"/>
        <v>42308.614333333331</v>
      </c>
      <c r="G182">
        <f t="shared" si="16"/>
        <v>2007</v>
      </c>
      <c r="H182">
        <f t="shared" si="17"/>
        <v>12</v>
      </c>
      <c r="I182">
        <f t="shared" si="21"/>
        <v>5263.3909999999996</v>
      </c>
      <c r="J182">
        <f t="shared" si="19"/>
        <v>47572.005333333334</v>
      </c>
      <c r="K182">
        <f t="shared" si="18"/>
        <v>0.88935948856644087</v>
      </c>
      <c r="L182">
        <f t="shared" si="20"/>
        <v>0.11064051143355906</v>
      </c>
    </row>
    <row r="183" spans="1:12">
      <c r="A183" s="6" t="s">
        <v>2880</v>
      </c>
      <c r="B183">
        <v>3377.328</v>
      </c>
      <c r="C183">
        <v>434.07799999999997</v>
      </c>
      <c r="D183" t="s">
        <v>130</v>
      </c>
      <c r="E183">
        <v>114099.296</v>
      </c>
      <c r="F183">
        <f t="shared" si="15"/>
        <v>38033.098666666665</v>
      </c>
      <c r="G183">
        <f t="shared" si="16"/>
        <v>2007</v>
      </c>
      <c r="H183">
        <f t="shared" si="17"/>
        <v>11</v>
      </c>
      <c r="I183">
        <f t="shared" si="21"/>
        <v>3811.4059999999999</v>
      </c>
      <c r="J183">
        <f t="shared" si="19"/>
        <v>41844.504666666668</v>
      </c>
      <c r="K183">
        <f t="shared" si="18"/>
        <v>0.90891501690934895</v>
      </c>
      <c r="L183">
        <f t="shared" si="20"/>
        <v>9.1084983090650995E-2</v>
      </c>
    </row>
    <row r="184" spans="1:12">
      <c r="A184" s="6" t="s">
        <v>2892</v>
      </c>
      <c r="B184">
        <v>3951.9259999999999</v>
      </c>
      <c r="C184">
        <v>283.05099999999999</v>
      </c>
      <c r="D184" t="s">
        <v>130</v>
      </c>
      <c r="E184">
        <v>117287.747</v>
      </c>
      <c r="F184">
        <f t="shared" si="15"/>
        <v>39095.915666666668</v>
      </c>
      <c r="G184">
        <f t="shared" si="16"/>
        <v>2007</v>
      </c>
      <c r="H184">
        <f t="shared" si="17"/>
        <v>10</v>
      </c>
      <c r="I184">
        <f t="shared" si="21"/>
        <v>4234.9769999999999</v>
      </c>
      <c r="J184">
        <f t="shared" si="19"/>
        <v>43330.892666666667</v>
      </c>
      <c r="K184">
        <f t="shared" si="18"/>
        <v>0.90226425676067701</v>
      </c>
      <c r="L184">
        <f t="shared" si="20"/>
        <v>9.7735743239323061E-2</v>
      </c>
    </row>
    <row r="185" spans="1:12">
      <c r="A185" s="6" t="s">
        <v>2903</v>
      </c>
      <c r="B185">
        <v>4020.884</v>
      </c>
      <c r="C185">
        <v>277.05</v>
      </c>
      <c r="D185" t="s">
        <v>130</v>
      </c>
      <c r="E185">
        <v>106219.091</v>
      </c>
      <c r="F185">
        <f t="shared" si="15"/>
        <v>35406.363666666664</v>
      </c>
      <c r="G185">
        <f t="shared" si="16"/>
        <v>2007</v>
      </c>
      <c r="H185">
        <f t="shared" si="17"/>
        <v>9</v>
      </c>
      <c r="I185">
        <f t="shared" si="21"/>
        <v>4297.9340000000002</v>
      </c>
      <c r="J185">
        <f t="shared" si="19"/>
        <v>39704.297666666665</v>
      </c>
      <c r="K185">
        <f t="shared" si="18"/>
        <v>0.89175141602848984</v>
      </c>
      <c r="L185">
        <f t="shared" si="20"/>
        <v>0.10824858397151013</v>
      </c>
    </row>
    <row r="186" spans="1:12">
      <c r="A186" s="6" t="s">
        <v>2913</v>
      </c>
      <c r="B186">
        <v>5118.4859999999999</v>
      </c>
      <c r="C186">
        <v>285.05099999999999</v>
      </c>
      <c r="D186" t="s">
        <v>130</v>
      </c>
      <c r="E186">
        <v>104203.57799999999</v>
      </c>
      <c r="F186">
        <f t="shared" si="15"/>
        <v>34734.525999999998</v>
      </c>
      <c r="G186">
        <f t="shared" si="16"/>
        <v>2007</v>
      </c>
      <c r="H186">
        <f t="shared" si="17"/>
        <v>8</v>
      </c>
      <c r="I186">
        <f t="shared" si="21"/>
        <v>5403.5370000000003</v>
      </c>
      <c r="J186">
        <f t="shared" si="19"/>
        <v>40138.062999999995</v>
      </c>
      <c r="K186">
        <f t="shared" si="18"/>
        <v>0.86537623900784655</v>
      </c>
      <c r="L186">
        <f t="shared" si="20"/>
        <v>0.13462376099215353</v>
      </c>
    </row>
    <row r="187" spans="1:12">
      <c r="A187" s="6" t="s">
        <v>2923</v>
      </c>
      <c r="B187">
        <v>6222.0050000000001</v>
      </c>
      <c r="C187">
        <v>338.06099999999998</v>
      </c>
      <c r="D187" t="s">
        <v>130</v>
      </c>
      <c r="E187">
        <v>101666.758</v>
      </c>
      <c r="F187">
        <f t="shared" si="15"/>
        <v>33888.919333333331</v>
      </c>
      <c r="G187">
        <f t="shared" si="16"/>
        <v>2007</v>
      </c>
      <c r="H187">
        <f t="shared" si="17"/>
        <v>7</v>
      </c>
      <c r="I187">
        <f t="shared" si="21"/>
        <v>6560.0659999999998</v>
      </c>
      <c r="J187">
        <f t="shared" si="19"/>
        <v>40448.98533333333</v>
      </c>
      <c r="K187">
        <f t="shared" si="18"/>
        <v>0.83781877478657152</v>
      </c>
      <c r="L187">
        <f t="shared" si="20"/>
        <v>0.16218122521342851</v>
      </c>
    </row>
    <row r="188" spans="1:12">
      <c r="A188" s="6" t="s">
        <v>2933</v>
      </c>
      <c r="B188">
        <v>7360.8010000000004</v>
      </c>
      <c r="C188">
        <v>241.04300000000001</v>
      </c>
      <c r="D188" t="s">
        <v>130</v>
      </c>
      <c r="E188">
        <v>98523.769</v>
      </c>
      <c r="F188">
        <f t="shared" si="15"/>
        <v>32841.256333333331</v>
      </c>
      <c r="G188">
        <f t="shared" si="16"/>
        <v>2007</v>
      </c>
      <c r="H188">
        <f t="shared" si="17"/>
        <v>6</v>
      </c>
      <c r="I188">
        <f t="shared" si="21"/>
        <v>7601.8440000000001</v>
      </c>
      <c r="J188">
        <f t="shared" si="19"/>
        <v>40443.100333333328</v>
      </c>
      <c r="K188">
        <f t="shared" si="18"/>
        <v>0.8120360719790185</v>
      </c>
      <c r="L188">
        <f t="shared" si="20"/>
        <v>0.18796392802098152</v>
      </c>
    </row>
    <row r="189" spans="1:12">
      <c r="A189" s="6" t="s">
        <v>2943</v>
      </c>
      <c r="B189">
        <v>6202.8680000000004</v>
      </c>
      <c r="C189">
        <v>361.065</v>
      </c>
      <c r="D189" t="s">
        <v>130</v>
      </c>
      <c r="E189">
        <v>101563.709</v>
      </c>
      <c r="F189">
        <f t="shared" si="15"/>
        <v>33854.56966666667</v>
      </c>
      <c r="G189">
        <f t="shared" si="16"/>
        <v>2007</v>
      </c>
      <c r="H189">
        <f t="shared" si="17"/>
        <v>5</v>
      </c>
      <c r="I189">
        <f t="shared" si="21"/>
        <v>6563.933</v>
      </c>
      <c r="J189">
        <f t="shared" si="19"/>
        <v>40418.502666666667</v>
      </c>
      <c r="K189">
        <f t="shared" si="18"/>
        <v>0.83760078758649059</v>
      </c>
      <c r="L189">
        <f t="shared" si="20"/>
        <v>0.16239921241350949</v>
      </c>
    </row>
    <row r="190" spans="1:12">
      <c r="A190" s="6" t="s">
        <v>2955</v>
      </c>
      <c r="B190">
        <v>5461.009</v>
      </c>
      <c r="C190">
        <v>186.03299999999999</v>
      </c>
      <c r="D190" t="s">
        <v>130</v>
      </c>
      <c r="E190">
        <v>101333.36500000001</v>
      </c>
      <c r="F190">
        <f t="shared" si="15"/>
        <v>33777.788333333338</v>
      </c>
      <c r="G190">
        <f t="shared" si="16"/>
        <v>2007</v>
      </c>
      <c r="H190">
        <f t="shared" si="17"/>
        <v>4</v>
      </c>
      <c r="I190">
        <f t="shared" si="21"/>
        <v>5647.0420000000004</v>
      </c>
      <c r="J190">
        <f t="shared" si="19"/>
        <v>39424.830333333339</v>
      </c>
      <c r="K190">
        <f t="shared" si="18"/>
        <v>0.85676432968119898</v>
      </c>
      <c r="L190">
        <f t="shared" si="20"/>
        <v>0.14323567031880102</v>
      </c>
    </row>
    <row r="191" spans="1:12">
      <c r="A191" s="6" t="s">
        <v>2967</v>
      </c>
      <c r="B191">
        <v>6929.66</v>
      </c>
      <c r="C191">
        <v>363.065</v>
      </c>
      <c r="D191" t="s">
        <v>130</v>
      </c>
      <c r="E191">
        <v>116790.68799999999</v>
      </c>
      <c r="F191">
        <f t="shared" si="15"/>
        <v>38930.229333333329</v>
      </c>
      <c r="G191">
        <f t="shared" si="16"/>
        <v>2007</v>
      </c>
      <c r="H191">
        <f t="shared" si="17"/>
        <v>3</v>
      </c>
      <c r="I191">
        <f t="shared" si="21"/>
        <v>7292.7249999999995</v>
      </c>
      <c r="J191">
        <f t="shared" si="19"/>
        <v>46222.954333333328</v>
      </c>
      <c r="K191">
        <f t="shared" si="18"/>
        <v>0.84222719847353189</v>
      </c>
      <c r="L191">
        <f t="shared" si="20"/>
        <v>0.15777280152646814</v>
      </c>
    </row>
    <row r="192" spans="1:12">
      <c r="A192" s="6" t="s">
        <v>2979</v>
      </c>
      <c r="B192">
        <v>5648.3010000000004</v>
      </c>
      <c r="C192">
        <v>361.065</v>
      </c>
      <c r="D192" t="s">
        <v>130</v>
      </c>
      <c r="E192">
        <v>114708.496</v>
      </c>
      <c r="F192">
        <f t="shared" si="15"/>
        <v>38236.165333333331</v>
      </c>
      <c r="G192">
        <f t="shared" si="16"/>
        <v>2007</v>
      </c>
      <c r="H192">
        <f t="shared" si="17"/>
        <v>2</v>
      </c>
      <c r="I192">
        <f t="shared" si="21"/>
        <v>6009.366</v>
      </c>
      <c r="J192">
        <f t="shared" si="19"/>
        <v>44245.531333333332</v>
      </c>
      <c r="K192">
        <f t="shared" si="18"/>
        <v>0.86418140275619848</v>
      </c>
      <c r="L192">
        <f t="shared" si="20"/>
        <v>0.13581859724380152</v>
      </c>
    </row>
    <row r="193" spans="1:12">
      <c r="A193" s="6" t="s">
        <v>2989</v>
      </c>
      <c r="B193">
        <v>5470.1859999999997</v>
      </c>
      <c r="C193">
        <v>427.077</v>
      </c>
      <c r="D193" t="s">
        <v>130</v>
      </c>
      <c r="E193">
        <v>129735.439</v>
      </c>
      <c r="F193">
        <f t="shared" si="15"/>
        <v>43245.14633333333</v>
      </c>
      <c r="G193">
        <f t="shared" si="16"/>
        <v>2007</v>
      </c>
      <c r="H193">
        <f t="shared" si="17"/>
        <v>1</v>
      </c>
      <c r="I193">
        <f t="shared" si="21"/>
        <v>5897.2629999999999</v>
      </c>
      <c r="J193">
        <f t="shared" si="19"/>
        <v>49142.409333333329</v>
      </c>
      <c r="K193">
        <f t="shared" si="18"/>
        <v>0.87999646171194379</v>
      </c>
      <c r="L193">
        <f t="shared" si="20"/>
        <v>0.12000353828805627</v>
      </c>
    </row>
    <row r="194" spans="1:12">
      <c r="A194" s="6" t="s">
        <v>3000</v>
      </c>
      <c r="B194">
        <v>5251.799</v>
      </c>
      <c r="C194">
        <v>324.05799999999999</v>
      </c>
      <c r="D194" t="s">
        <v>130</v>
      </c>
      <c r="E194">
        <v>128223.046</v>
      </c>
      <c r="F194">
        <f t="shared" ref="F194:F205" si="22">E194/3</f>
        <v>42741.015333333336</v>
      </c>
      <c r="G194">
        <f t="shared" ref="G194:G205" si="23">LEFT(A194,4)*1</f>
        <v>2006</v>
      </c>
      <c r="H194">
        <f t="shared" ref="H194:H205" si="24">RIGHT(A194,2)*1</f>
        <v>12</v>
      </c>
      <c r="I194">
        <f t="shared" si="21"/>
        <v>5575.857</v>
      </c>
      <c r="J194">
        <f t="shared" si="19"/>
        <v>48316.872333333333</v>
      </c>
      <c r="K194">
        <f t="shared" ref="K194:K205" si="25" xml:space="preserve"> F194 / J194</f>
        <v>0.88459813868884751</v>
      </c>
      <c r="L194">
        <f t="shared" si="20"/>
        <v>0.11540186131115261</v>
      </c>
    </row>
    <row r="195" spans="1:12">
      <c r="A195" s="6" t="s">
        <v>3012</v>
      </c>
      <c r="B195">
        <v>4243.0550000000003</v>
      </c>
      <c r="C195">
        <v>299.05399999999997</v>
      </c>
      <c r="D195" t="s">
        <v>130</v>
      </c>
      <c r="E195">
        <v>118378.853</v>
      </c>
      <c r="F195">
        <f t="shared" si="22"/>
        <v>39459.617666666665</v>
      </c>
      <c r="G195">
        <f t="shared" si="23"/>
        <v>2006</v>
      </c>
      <c r="H195">
        <f t="shared" si="24"/>
        <v>11</v>
      </c>
      <c r="I195">
        <f t="shared" si="21"/>
        <v>4542.1090000000004</v>
      </c>
      <c r="J195">
        <f t="shared" ref="J195:J205" si="26">SUM($B195,$C195,$D195,$F195)</f>
        <v>44001.726666666669</v>
      </c>
      <c r="K195">
        <f t="shared" si="25"/>
        <v>0.89677430082667964</v>
      </c>
      <c r="L195">
        <f t="shared" ref="L195:L205" si="27" xml:space="preserve"> I195 / J195</f>
        <v>0.10322569917332032</v>
      </c>
    </row>
    <row r="196" spans="1:12">
      <c r="A196" s="6" t="s">
        <v>3024</v>
      </c>
      <c r="B196">
        <v>5097.1090000000004</v>
      </c>
      <c r="C196">
        <v>237.04300000000001</v>
      </c>
      <c r="D196" t="s">
        <v>130</v>
      </c>
      <c r="E196">
        <v>113681.039</v>
      </c>
      <c r="F196">
        <f t="shared" si="22"/>
        <v>37893.679666666671</v>
      </c>
      <c r="G196">
        <f t="shared" si="23"/>
        <v>2006</v>
      </c>
      <c r="H196">
        <f t="shared" si="24"/>
        <v>10</v>
      </c>
      <c r="I196">
        <f t="shared" si="21"/>
        <v>5334.152</v>
      </c>
      <c r="J196">
        <f t="shared" si="26"/>
        <v>43227.831666666672</v>
      </c>
      <c r="K196">
        <f t="shared" si="25"/>
        <v>0.87660375747892971</v>
      </c>
      <c r="L196">
        <f t="shared" si="27"/>
        <v>0.12339624252107023</v>
      </c>
    </row>
    <row r="197" spans="1:12">
      <c r="A197" s="6" t="s">
        <v>3035</v>
      </c>
      <c r="B197">
        <v>4391.0140000000001</v>
      </c>
      <c r="C197">
        <v>152.02699999999999</v>
      </c>
      <c r="D197" t="s">
        <v>130</v>
      </c>
      <c r="E197">
        <v>107807.25599999999</v>
      </c>
      <c r="F197">
        <f t="shared" si="22"/>
        <v>35935.752</v>
      </c>
      <c r="G197">
        <f t="shared" si="23"/>
        <v>2006</v>
      </c>
      <c r="H197">
        <f t="shared" si="24"/>
        <v>9</v>
      </c>
      <c r="I197">
        <f t="shared" si="21"/>
        <v>4543.0410000000002</v>
      </c>
      <c r="J197">
        <f t="shared" si="26"/>
        <v>40478.792999999998</v>
      </c>
      <c r="K197">
        <f t="shared" si="25"/>
        <v>0.88776737982281251</v>
      </c>
      <c r="L197">
        <f t="shared" si="27"/>
        <v>0.1122326201771876</v>
      </c>
    </row>
    <row r="198" spans="1:12">
      <c r="A198" s="6" t="s">
        <v>3045</v>
      </c>
      <c r="B198">
        <v>4042.5709999999999</v>
      </c>
      <c r="C198">
        <v>191.03399999999999</v>
      </c>
      <c r="D198" t="s">
        <v>130</v>
      </c>
      <c r="E198">
        <v>104570.31</v>
      </c>
      <c r="F198">
        <f t="shared" si="22"/>
        <v>34856.769999999997</v>
      </c>
      <c r="G198">
        <f t="shared" si="23"/>
        <v>2006</v>
      </c>
      <c r="H198">
        <f t="shared" si="24"/>
        <v>8</v>
      </c>
      <c r="I198">
        <f t="shared" si="21"/>
        <v>4233.6049999999996</v>
      </c>
      <c r="J198">
        <f t="shared" si="26"/>
        <v>39090.375</v>
      </c>
      <c r="K198">
        <f t="shared" si="25"/>
        <v>0.89169699702292438</v>
      </c>
      <c r="L198">
        <f t="shared" si="27"/>
        <v>0.10830300297707554</v>
      </c>
    </row>
    <row r="199" spans="1:12">
      <c r="A199" s="6" t="s">
        <v>3055</v>
      </c>
      <c r="B199">
        <v>4465.018</v>
      </c>
      <c r="C199">
        <v>94.016999999999996</v>
      </c>
      <c r="D199" t="s">
        <v>130</v>
      </c>
      <c r="E199">
        <v>105161.325</v>
      </c>
      <c r="F199">
        <f t="shared" si="22"/>
        <v>35053.775000000001</v>
      </c>
      <c r="G199">
        <f t="shared" si="23"/>
        <v>2006</v>
      </c>
      <c r="H199">
        <f t="shared" si="24"/>
        <v>7</v>
      </c>
      <c r="I199">
        <f t="shared" si="21"/>
        <v>4559.0349999999999</v>
      </c>
      <c r="J199">
        <f t="shared" si="26"/>
        <v>39612.81</v>
      </c>
      <c r="K199">
        <f t="shared" si="25"/>
        <v>0.88491008337959376</v>
      </c>
      <c r="L199">
        <f t="shared" si="27"/>
        <v>0.11508991662040638</v>
      </c>
    </row>
    <row r="200" spans="1:12">
      <c r="A200" s="6" t="s">
        <v>3065</v>
      </c>
      <c r="B200">
        <v>5200.8220000000001</v>
      </c>
      <c r="C200">
        <v>99.018000000000001</v>
      </c>
      <c r="D200" t="s">
        <v>130</v>
      </c>
      <c r="E200">
        <v>104758.223</v>
      </c>
      <c r="F200">
        <f t="shared" si="22"/>
        <v>34919.407666666666</v>
      </c>
      <c r="G200">
        <f t="shared" si="23"/>
        <v>2006</v>
      </c>
      <c r="H200">
        <f t="shared" si="24"/>
        <v>6</v>
      </c>
      <c r="I200">
        <f t="shared" si="21"/>
        <v>5299.84</v>
      </c>
      <c r="J200">
        <f t="shared" si="26"/>
        <v>40219.247666666663</v>
      </c>
      <c r="K200">
        <f t="shared" si="25"/>
        <v>0.86822627703221678</v>
      </c>
      <c r="L200">
        <f t="shared" si="27"/>
        <v>0.13177372296778336</v>
      </c>
    </row>
    <row r="201" spans="1:12">
      <c r="A201" s="6" t="s">
        <v>3075</v>
      </c>
      <c r="B201">
        <v>6901.652</v>
      </c>
      <c r="C201">
        <v>166.03</v>
      </c>
      <c r="D201" t="s">
        <v>130</v>
      </c>
      <c r="E201">
        <v>108225.51300000001</v>
      </c>
      <c r="F201">
        <f t="shared" si="22"/>
        <v>36075.171000000002</v>
      </c>
      <c r="G201">
        <f t="shared" si="23"/>
        <v>2006</v>
      </c>
      <c r="H201">
        <f t="shared" si="24"/>
        <v>5</v>
      </c>
      <c r="I201">
        <f t="shared" si="21"/>
        <v>7067.6819999999998</v>
      </c>
      <c r="J201">
        <f t="shared" si="26"/>
        <v>43142.853000000003</v>
      </c>
      <c r="K201">
        <f t="shared" si="25"/>
        <v>0.83617954056028698</v>
      </c>
      <c r="L201">
        <f t="shared" si="27"/>
        <v>0.16382045943971299</v>
      </c>
    </row>
    <row r="202" spans="1:12">
      <c r="A202" s="6" t="s">
        <v>3086</v>
      </c>
      <c r="B202">
        <v>7165.018</v>
      </c>
      <c r="C202">
        <v>145.02600000000001</v>
      </c>
      <c r="D202" t="s">
        <v>130</v>
      </c>
      <c r="E202">
        <v>114187.19</v>
      </c>
      <c r="F202">
        <f t="shared" si="22"/>
        <v>38062.396666666667</v>
      </c>
      <c r="G202">
        <f t="shared" si="23"/>
        <v>2006</v>
      </c>
      <c r="H202">
        <f t="shared" si="24"/>
        <v>4</v>
      </c>
      <c r="I202">
        <f t="shared" si="21"/>
        <v>7310.0439999999999</v>
      </c>
      <c r="J202">
        <f t="shared" si="26"/>
        <v>45372.440666666669</v>
      </c>
      <c r="K202">
        <f t="shared" si="25"/>
        <v>0.83888801456143836</v>
      </c>
      <c r="L202">
        <f t="shared" si="27"/>
        <v>0.16111198543856159</v>
      </c>
    </row>
    <row r="203" spans="1:12">
      <c r="A203" s="6" t="s">
        <v>3097</v>
      </c>
      <c r="B203">
        <v>6711.8509999999997</v>
      </c>
      <c r="C203">
        <v>196.035</v>
      </c>
      <c r="D203" t="s">
        <v>130</v>
      </c>
      <c r="E203">
        <v>112414.144</v>
      </c>
      <c r="F203">
        <f t="shared" si="22"/>
        <v>37471.381333333331</v>
      </c>
      <c r="G203">
        <f t="shared" si="23"/>
        <v>2006</v>
      </c>
      <c r="H203">
        <f t="shared" si="24"/>
        <v>3</v>
      </c>
      <c r="I203">
        <f t="shared" si="21"/>
        <v>6907.8859999999995</v>
      </c>
      <c r="J203">
        <f t="shared" si="26"/>
        <v>44379.26733333333</v>
      </c>
      <c r="K203">
        <f t="shared" si="25"/>
        <v>0.84434429824821655</v>
      </c>
      <c r="L203">
        <f t="shared" si="27"/>
        <v>0.15565570175178348</v>
      </c>
    </row>
    <row r="204" spans="1:12">
      <c r="A204" s="6" t="s">
        <v>3108</v>
      </c>
      <c r="B204">
        <v>4666.9440000000004</v>
      </c>
      <c r="C204">
        <v>137.02500000000001</v>
      </c>
      <c r="D204" t="s">
        <v>130</v>
      </c>
      <c r="E204">
        <v>111416.995</v>
      </c>
      <c r="F204">
        <f t="shared" si="22"/>
        <v>37138.998333333329</v>
      </c>
      <c r="G204">
        <f t="shared" si="23"/>
        <v>2006</v>
      </c>
      <c r="H204">
        <f t="shared" si="24"/>
        <v>2</v>
      </c>
      <c r="I204">
        <f t="shared" si="21"/>
        <v>4803.9690000000001</v>
      </c>
      <c r="J204">
        <f t="shared" si="26"/>
        <v>41942.967333333327</v>
      </c>
      <c r="K204">
        <f t="shared" si="25"/>
        <v>0.88546425526307149</v>
      </c>
      <c r="L204">
        <f t="shared" si="27"/>
        <v>0.11453574473692858</v>
      </c>
    </row>
    <row r="205" spans="1:12">
      <c r="A205" s="6" t="s">
        <v>3120</v>
      </c>
      <c r="B205">
        <v>4303.7290000000003</v>
      </c>
      <c r="C205">
        <v>129.023</v>
      </c>
      <c r="D205" t="s">
        <v>130</v>
      </c>
      <c r="E205">
        <v>135581.94500000001</v>
      </c>
      <c r="F205">
        <f t="shared" si="22"/>
        <v>45193.981666666667</v>
      </c>
      <c r="G205">
        <f t="shared" si="23"/>
        <v>2006</v>
      </c>
      <c r="H205">
        <f t="shared" si="24"/>
        <v>1</v>
      </c>
      <c r="I205">
        <f t="shared" si="21"/>
        <v>4432.7520000000004</v>
      </c>
      <c r="J205">
        <f t="shared" si="26"/>
        <v>49626.733666666667</v>
      </c>
      <c r="K205">
        <f t="shared" si="25"/>
        <v>0.91067814316021778</v>
      </c>
      <c r="L205">
        <f t="shared" si="27"/>
        <v>8.9321856839782221E-2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4219-6015-4425-93C2-CB615363F41F}">
  <dimension ref="A1:E12"/>
  <sheetViews>
    <sheetView workbookViewId="0">
      <selection activeCell="H13" sqref="H13"/>
    </sheetView>
  </sheetViews>
  <sheetFormatPr baseColWidth="10" defaultRowHeight="14.4"/>
  <cols>
    <col min="2" max="2" width="17.77734375" customWidth="1"/>
    <col min="3" max="3" width="14.77734375" customWidth="1"/>
    <col min="4" max="4" width="13.88671875" customWidth="1"/>
    <col min="5" max="5" width="14.6640625" customWidth="1"/>
  </cols>
  <sheetData>
    <row r="1" spans="1:5">
      <c r="A1" s="1" t="s">
        <v>5736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2" t="s">
        <v>5711</v>
      </c>
      <c r="B2" s="3">
        <f>AVERAGE(Production!B:B)</f>
        <v>5285.4582990196095</v>
      </c>
      <c r="C2" s="3">
        <f>AVERAGE(Production!C:C)</f>
        <v>1597.521563725488</v>
      </c>
      <c r="D2" s="3">
        <f>AVERAGE(Production!D:D)</f>
        <v>753.20819444444464</v>
      </c>
      <c r="E2" s="3">
        <f>AVERAGE(Production!F:F)</f>
        <v>34537.203452614362</v>
      </c>
    </row>
    <row r="3" spans="1:5">
      <c r="A3" s="2" t="s">
        <v>5712</v>
      </c>
      <c r="B3" s="3">
        <f>MEDIAN(Production!B:B)</f>
        <v>5263.8814999999995</v>
      </c>
      <c r="C3" s="3">
        <f>MEDIAN(Production!C:C)</f>
        <v>1302.405</v>
      </c>
      <c r="D3" s="3">
        <f>MEDIAN(Production!D:D)</f>
        <v>628.81549999999993</v>
      </c>
      <c r="E3" s="3">
        <f>MEDIAN(Production!F:F)</f>
        <v>33855.58</v>
      </c>
    </row>
    <row r="4" spans="1:5">
      <c r="A4" s="2" t="s">
        <v>5713</v>
      </c>
      <c r="B4" s="3">
        <f>_xlfn.STDEV.P(Production!B:B)</f>
        <v>1366.0346719600791</v>
      </c>
      <c r="C4" s="3">
        <f>_xlfn.STDEV.P(Production!C:C)</f>
        <v>1191.8878569193582</v>
      </c>
      <c r="D4" s="3">
        <f>_xlfn.STDEV.P(Production!D:D)</f>
        <v>530.62222703218958</v>
      </c>
      <c r="E4" s="3">
        <f>_xlfn.STDEV.P(Production!F:F)</f>
        <v>5339.339853667625</v>
      </c>
    </row>
    <row r="5" spans="1:5">
      <c r="A5" s="2" t="s">
        <v>5714</v>
      </c>
      <c r="B5" s="3">
        <f>_xlfn.VAR.P(Production!B:B)</f>
        <v>1866050.7249970809</v>
      </c>
      <c r="C5" s="3">
        <f>_xlfn.VAR.P(Production!C:C)</f>
        <v>1420596.6634718203</v>
      </c>
      <c r="D5" s="3">
        <f>_xlfn.VAR.P(Production!D:D)</f>
        <v>281559.94782060053</v>
      </c>
      <c r="E5" s="3">
        <f>_xlfn.VAR.P(Production!F:F)</f>
        <v>28508550.072963413</v>
      </c>
    </row>
    <row r="6" spans="1:5">
      <c r="A6" s="2" t="s">
        <v>5715</v>
      </c>
      <c r="B6" s="3">
        <f>MIN(Production!B:B)</f>
        <v>2541.154</v>
      </c>
      <c r="C6" s="3">
        <f>MIN(Production!C:C)</f>
        <v>94.016999999999996</v>
      </c>
      <c r="D6" s="3">
        <f>MIN(Production!D:D)</f>
        <v>42.411000000000001</v>
      </c>
      <c r="E6" s="3">
        <f>MIN(Production!F:F)</f>
        <v>19518.018</v>
      </c>
    </row>
    <row r="7" spans="1:5">
      <c r="A7" s="2" t="s">
        <v>5716</v>
      </c>
      <c r="B7" s="3">
        <f>MAX(Production!B:B)</f>
        <v>8578.86</v>
      </c>
      <c r="C7" s="3">
        <f>MAX(Production!C:C)</f>
        <v>5907.95</v>
      </c>
      <c r="D7" s="3">
        <f>MAX(Production!D:D)</f>
        <v>2592.2370000000001</v>
      </c>
      <c r="E7" s="3">
        <f>MAX(Production!F:F)</f>
        <v>46303.271666666667</v>
      </c>
    </row>
    <row r="8" spans="1:5">
      <c r="A8" s="2" t="s">
        <v>5717</v>
      </c>
      <c r="B8" s="3">
        <f>MAX(Production!B:B)-MIN(Production!B:B)</f>
        <v>6037.7060000000001</v>
      </c>
      <c r="C8" s="3">
        <f>MAX(Production!C:C)-MIN(Production!C:C)</f>
        <v>5813.933</v>
      </c>
      <c r="D8" s="3">
        <f>MAX(Production!D:D)-MIN(Production!D:D)</f>
        <v>2549.826</v>
      </c>
      <c r="E8" s="3">
        <f>MAX(Production!F:F)-MIN(Production!F:F)</f>
        <v>26785.253666666667</v>
      </c>
    </row>
    <row r="9" spans="1:5">
      <c r="A9" s="2" t="s">
        <v>5718</v>
      </c>
      <c r="B9" s="3">
        <f>_xlfn.QUARTILE.INC(Production!B:B,1)</f>
        <v>4117.0775000000003</v>
      </c>
      <c r="C9" s="3">
        <f>_xlfn.QUARTILE.INC(Production!C:C,1)</f>
        <v>675.87800000000004</v>
      </c>
      <c r="D9" s="3">
        <f>_xlfn.QUARTILE.INC(Production!D:D,1)</f>
        <v>330.95375000000001</v>
      </c>
      <c r="E9" s="3">
        <f>_xlfn.QUARTILE.INC(Production!F:F,1)</f>
        <v>31205.443749999999</v>
      </c>
    </row>
    <row r="10" spans="1:5">
      <c r="A10" s="2" t="s">
        <v>5719</v>
      </c>
      <c r="B10" s="3">
        <f>_xlfn.QUARTILE.INC(Production!B:B,3)</f>
        <v>6410.3027499999998</v>
      </c>
      <c r="C10" s="3">
        <f>_xlfn.QUARTILE.INC(Production!C:C,3)</f>
        <v>2189.69425</v>
      </c>
      <c r="D10" s="3">
        <f>_xlfn.QUARTILE.INC(Production!D:D,3)</f>
        <v>1052.086</v>
      </c>
      <c r="E10" s="3">
        <f>_xlfn.QUARTILE.INC(Production!F:F,3)</f>
        <v>38242.479583333334</v>
      </c>
    </row>
    <row r="11" spans="1:5" ht="28.8">
      <c r="A11" s="2" t="s">
        <v>5720</v>
      </c>
      <c r="B11" s="3">
        <f>B10-B9</f>
        <v>2293.2252499999995</v>
      </c>
      <c r="C11" s="3">
        <f>C10-C9</f>
        <v>1513.8162499999999</v>
      </c>
      <c r="D11" s="3">
        <f>D10-D9</f>
        <v>721.13225</v>
      </c>
      <c r="E11" s="3">
        <f>E10-E9</f>
        <v>7037.0358333333352</v>
      </c>
    </row>
    <row r="12" spans="1:5" ht="28.8">
      <c r="A12" s="2" t="s">
        <v>5721</v>
      </c>
      <c r="B12" s="3">
        <f>B4/B2</f>
        <v>0.2584515087771031</v>
      </c>
      <c r="C12" s="3">
        <f>C4/C2</f>
        <v>0.746085614105781</v>
      </c>
      <c r="D12" s="3">
        <f>D4/D2</f>
        <v>0.7044828122502953</v>
      </c>
      <c r="E12" s="3">
        <f>E4/E2</f>
        <v>0.15459676290795493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1157-DD52-48C5-8547-7CA660527306}">
  <dimension ref="A3:S65"/>
  <sheetViews>
    <sheetView topLeftCell="A13" zoomScale="85" zoomScaleNormal="85" workbookViewId="0">
      <selection activeCell="B51" sqref="B51"/>
    </sheetView>
  </sheetViews>
  <sheetFormatPr baseColWidth="10" defaultRowHeight="14.4"/>
  <cols>
    <col min="1" max="1" width="20.109375" bestFit="1" customWidth="1"/>
    <col min="2" max="2" width="22.88671875" bestFit="1" customWidth="1"/>
    <col min="3" max="3" width="9.21875" bestFit="1" customWidth="1"/>
    <col min="4" max="8" width="12.44140625" bestFit="1" customWidth="1"/>
    <col min="9" max="9" width="10.33203125" bestFit="1" customWidth="1"/>
    <col min="10" max="11" width="12.44140625" bestFit="1" customWidth="1"/>
    <col min="12" max="12" width="11.33203125" bestFit="1" customWidth="1"/>
    <col min="13" max="13" width="10.33203125" bestFit="1" customWidth="1"/>
    <col min="14" max="14" width="12.44140625" bestFit="1" customWidth="1"/>
    <col min="15" max="16" width="12" bestFit="1" customWidth="1"/>
    <col min="17" max="17" width="11" bestFit="1" customWidth="1"/>
    <col min="18" max="18" width="10" bestFit="1" customWidth="1"/>
    <col min="19" max="19" width="12.21875" bestFit="1" customWidth="1"/>
    <col min="20" max="20" width="17.77734375" bestFit="1" customWidth="1"/>
    <col min="21" max="21" width="19.33203125" bestFit="1" customWidth="1"/>
    <col min="22" max="22" width="17.77734375" bestFit="1" customWidth="1"/>
    <col min="23" max="23" width="19.33203125" bestFit="1" customWidth="1"/>
    <col min="24" max="24" width="17.77734375" bestFit="1" customWidth="1"/>
    <col min="25" max="25" width="19.33203125" bestFit="1" customWidth="1"/>
    <col min="26" max="26" width="17.77734375" bestFit="1" customWidth="1"/>
    <col min="27" max="27" width="19.33203125" bestFit="1" customWidth="1"/>
    <col min="28" max="28" width="17.77734375" bestFit="1" customWidth="1"/>
    <col min="29" max="29" width="19.33203125" bestFit="1" customWidth="1"/>
    <col min="30" max="30" width="17.77734375" bestFit="1" customWidth="1"/>
    <col min="31" max="31" width="19.33203125" bestFit="1" customWidth="1"/>
    <col min="32" max="32" width="17.77734375" bestFit="1" customWidth="1"/>
    <col min="33" max="33" width="19.33203125" bestFit="1" customWidth="1"/>
    <col min="34" max="34" width="17.77734375" bestFit="1" customWidth="1"/>
    <col min="35" max="35" width="19.33203125" bestFit="1" customWidth="1"/>
    <col min="36" max="36" width="22.6640625" bestFit="1" customWidth="1"/>
    <col min="37" max="37" width="24.109375" bestFit="1" customWidth="1"/>
  </cols>
  <sheetData>
    <row r="3" spans="1:19">
      <c r="A3" s="4" t="s">
        <v>5725</v>
      </c>
      <c r="B3" s="4" t="s">
        <v>5724</v>
      </c>
    </row>
    <row r="4" spans="1:19">
      <c r="A4" s="4" t="s">
        <v>5722</v>
      </c>
      <c r="B4">
        <v>2006</v>
      </c>
      <c r="C4">
        <v>2007</v>
      </c>
      <c r="D4">
        <v>2008</v>
      </c>
      <c r="E4">
        <v>2009</v>
      </c>
      <c r="F4">
        <v>2010</v>
      </c>
      <c r="G4">
        <v>2011</v>
      </c>
      <c r="H4">
        <v>2012</v>
      </c>
      <c r="I4">
        <v>2013</v>
      </c>
      <c r="J4">
        <v>2014</v>
      </c>
      <c r="K4">
        <v>2015</v>
      </c>
      <c r="L4">
        <v>2016</v>
      </c>
      <c r="M4">
        <v>2017</v>
      </c>
      <c r="N4">
        <v>2018</v>
      </c>
      <c r="O4">
        <v>2019</v>
      </c>
      <c r="P4">
        <v>2020</v>
      </c>
      <c r="Q4">
        <v>2021</v>
      </c>
      <c r="R4">
        <v>2022</v>
      </c>
      <c r="S4" t="s">
        <v>5723</v>
      </c>
    </row>
    <row r="5" spans="1:19">
      <c r="A5" s="5">
        <v>1</v>
      </c>
      <c r="B5">
        <v>4303.7290000000003</v>
      </c>
      <c r="C5">
        <v>5470.1859999999997</v>
      </c>
      <c r="D5">
        <v>6132.5609999999997</v>
      </c>
      <c r="E5">
        <v>6149.1930000000002</v>
      </c>
      <c r="F5">
        <v>6371.7070000000003</v>
      </c>
      <c r="G5">
        <v>6048.9170000000004</v>
      </c>
      <c r="H5">
        <v>6833.2470000000003</v>
      </c>
      <c r="I5">
        <v>6890.277</v>
      </c>
      <c r="J5">
        <v>7053.0829999999996</v>
      </c>
      <c r="K5">
        <v>6236.8440000000001</v>
      </c>
      <c r="L5">
        <v>5731.9610000000002</v>
      </c>
      <c r="M5">
        <v>5286.67</v>
      </c>
      <c r="N5">
        <v>7523.848</v>
      </c>
      <c r="O5">
        <v>5146.7420000000002</v>
      </c>
      <c r="P5">
        <v>6472.11</v>
      </c>
      <c r="Q5">
        <v>7493.7039999999997</v>
      </c>
      <c r="R5">
        <v>6075.32</v>
      </c>
      <c r="S5">
        <v>6189.4175882352938</v>
      </c>
    </row>
    <row r="6" spans="1:19">
      <c r="A6" s="5">
        <v>2</v>
      </c>
      <c r="B6">
        <v>4666.9440000000004</v>
      </c>
      <c r="C6">
        <v>5648.3010000000004</v>
      </c>
      <c r="D6">
        <v>4503.8220000000001</v>
      </c>
      <c r="E6">
        <v>5808.3990000000003</v>
      </c>
      <c r="F6">
        <v>5903.5450000000001</v>
      </c>
      <c r="G6">
        <v>4119.8950000000004</v>
      </c>
      <c r="H6">
        <v>5250.7929999999997</v>
      </c>
      <c r="I6">
        <v>6870.56</v>
      </c>
      <c r="J6">
        <v>7112.3649999999998</v>
      </c>
      <c r="K6">
        <v>6423.1750000000002</v>
      </c>
      <c r="L6">
        <v>7016.7479999999996</v>
      </c>
      <c r="M6">
        <v>4583.5389999999998</v>
      </c>
      <c r="N6">
        <v>7367.1890000000003</v>
      </c>
      <c r="O6">
        <v>5202.4660000000003</v>
      </c>
      <c r="P6">
        <v>6432.0010000000002</v>
      </c>
      <c r="Q6">
        <v>7057.5519999999997</v>
      </c>
      <c r="R6">
        <v>4511.357</v>
      </c>
      <c r="S6">
        <v>5792.8618235294116</v>
      </c>
    </row>
    <row r="7" spans="1:19">
      <c r="A7" s="5">
        <v>3</v>
      </c>
      <c r="B7">
        <v>6711.8509999999997</v>
      </c>
      <c r="C7">
        <v>6929.66</v>
      </c>
      <c r="D7">
        <v>5672.8850000000002</v>
      </c>
      <c r="E7">
        <v>6315.0720000000001</v>
      </c>
      <c r="F7">
        <v>6310.65</v>
      </c>
      <c r="G7">
        <v>4525.6390000000001</v>
      </c>
      <c r="H7">
        <v>4001.2820000000002</v>
      </c>
      <c r="I7">
        <v>6473.4430000000002</v>
      </c>
      <c r="J7">
        <v>7065.4380000000001</v>
      </c>
      <c r="K7">
        <v>6525.1080000000002</v>
      </c>
      <c r="L7">
        <v>6684.6540000000005</v>
      </c>
      <c r="M7">
        <v>6308.38</v>
      </c>
      <c r="N7">
        <v>7323.9870000000001</v>
      </c>
      <c r="O7">
        <v>5309.3620000000001</v>
      </c>
      <c r="P7">
        <v>7508.6210000000001</v>
      </c>
      <c r="Q7">
        <v>6089.1260000000002</v>
      </c>
      <c r="R7">
        <v>4712.4319999999998</v>
      </c>
      <c r="S7">
        <v>6145.1523529411761</v>
      </c>
    </row>
    <row r="8" spans="1:19">
      <c r="A8" s="5">
        <v>4</v>
      </c>
      <c r="B8">
        <v>7165.018</v>
      </c>
      <c r="C8">
        <v>5461.009</v>
      </c>
      <c r="D8">
        <v>7152.1859999999997</v>
      </c>
      <c r="E8">
        <v>6743.0590000000002</v>
      </c>
      <c r="F8">
        <v>5834.1909999999998</v>
      </c>
      <c r="G8">
        <v>4130.2529999999997</v>
      </c>
      <c r="H8">
        <v>5470.6970000000001</v>
      </c>
      <c r="I8">
        <v>7247.3760000000002</v>
      </c>
      <c r="J8">
        <v>5905.107</v>
      </c>
      <c r="K8">
        <v>5809.6239999999998</v>
      </c>
      <c r="L8">
        <v>6538.2520000000004</v>
      </c>
      <c r="M8">
        <v>4239.9049999999997</v>
      </c>
      <c r="N8">
        <v>7162.3819999999996</v>
      </c>
      <c r="O8">
        <v>4622.4970000000003</v>
      </c>
      <c r="P8">
        <v>5225.5060000000003</v>
      </c>
      <c r="Q8">
        <v>4170.2759999999998</v>
      </c>
      <c r="R8">
        <v>5231.0889999999999</v>
      </c>
      <c r="S8">
        <v>5771.08394117647</v>
      </c>
    </row>
    <row r="9" spans="1:19">
      <c r="A9" s="5">
        <v>5</v>
      </c>
      <c r="B9">
        <v>6901.652</v>
      </c>
      <c r="C9">
        <v>6202.8680000000004</v>
      </c>
      <c r="D9">
        <v>7354.5550000000003</v>
      </c>
      <c r="E9">
        <v>7209.6679999999997</v>
      </c>
      <c r="F9">
        <v>6574.8609999999999</v>
      </c>
      <c r="G9">
        <v>3481.64</v>
      </c>
      <c r="H9">
        <v>7847.8389999999999</v>
      </c>
      <c r="I9">
        <v>8578.86</v>
      </c>
      <c r="J9">
        <v>6221.3680000000004</v>
      </c>
      <c r="K9">
        <v>6515.7860000000001</v>
      </c>
      <c r="L9">
        <v>6570.1490000000003</v>
      </c>
      <c r="M9">
        <v>5757.9650000000001</v>
      </c>
      <c r="N9">
        <v>7938.8519999999999</v>
      </c>
      <c r="O9">
        <v>5696.6049999999996</v>
      </c>
      <c r="P9">
        <v>6858.0069999999996</v>
      </c>
      <c r="Q9">
        <v>6436.8209999999999</v>
      </c>
      <c r="R9">
        <v>5157.2550000000001</v>
      </c>
      <c r="S9">
        <v>6547.3382941176469</v>
      </c>
    </row>
    <row r="10" spans="1:19">
      <c r="A10" s="5">
        <v>6</v>
      </c>
      <c r="B10">
        <v>5200.8220000000001</v>
      </c>
      <c r="C10">
        <v>7360.8010000000004</v>
      </c>
      <c r="D10">
        <v>8493.0329999999994</v>
      </c>
      <c r="E10">
        <v>6444.1639999999998</v>
      </c>
      <c r="F10">
        <v>7408.098</v>
      </c>
      <c r="G10">
        <v>4381.6819999999998</v>
      </c>
      <c r="H10">
        <v>6966.5649999999996</v>
      </c>
      <c r="I10">
        <v>7377.3339999999998</v>
      </c>
      <c r="J10">
        <v>5111.2259999999997</v>
      </c>
      <c r="K10">
        <v>5693.893</v>
      </c>
      <c r="L10">
        <v>7231.335</v>
      </c>
      <c r="M10">
        <v>5157.8940000000002</v>
      </c>
      <c r="N10">
        <v>7803.665</v>
      </c>
      <c r="O10">
        <v>5919.2640000000001</v>
      </c>
      <c r="P10">
        <v>6527.5039999999999</v>
      </c>
      <c r="Q10">
        <v>6375.2939999999999</v>
      </c>
      <c r="R10">
        <v>4157.1779999999999</v>
      </c>
      <c r="S10">
        <v>6329.9854117647055</v>
      </c>
    </row>
    <row r="11" spans="1:19">
      <c r="A11" s="5">
        <v>7</v>
      </c>
      <c r="B11">
        <v>4465.018</v>
      </c>
      <c r="C11">
        <v>6222.0050000000001</v>
      </c>
      <c r="D11">
        <v>6108.0659999999998</v>
      </c>
      <c r="E11">
        <v>4966.2039999999997</v>
      </c>
      <c r="F11">
        <v>5512.0140000000001</v>
      </c>
      <c r="G11">
        <v>4260.8220000000001</v>
      </c>
      <c r="H11">
        <v>5001.7089999999998</v>
      </c>
      <c r="I11">
        <v>6406.0119999999997</v>
      </c>
      <c r="J11">
        <v>6232.79</v>
      </c>
      <c r="K11">
        <v>4092.741</v>
      </c>
      <c r="L11">
        <v>5356.7070000000003</v>
      </c>
      <c r="M11">
        <v>3939.3409999999999</v>
      </c>
      <c r="N11">
        <v>5465.7420000000002</v>
      </c>
      <c r="O11">
        <v>4553.2640000000001</v>
      </c>
      <c r="P11">
        <v>4741.8670000000002</v>
      </c>
      <c r="Q11">
        <v>5773.3670000000002</v>
      </c>
      <c r="R11">
        <v>3588.9290000000001</v>
      </c>
      <c r="S11">
        <v>5099.2116470588235</v>
      </c>
    </row>
    <row r="12" spans="1:19">
      <c r="A12" s="5">
        <v>8</v>
      </c>
      <c r="B12">
        <v>4042.5709999999999</v>
      </c>
      <c r="C12">
        <v>5118.4859999999999</v>
      </c>
      <c r="D12">
        <v>4329.0839999999998</v>
      </c>
      <c r="E12">
        <v>3912.0050000000001</v>
      </c>
      <c r="F12">
        <v>4402.6949999999997</v>
      </c>
      <c r="G12">
        <v>3911.1570000000002</v>
      </c>
      <c r="H12">
        <v>3616.866</v>
      </c>
      <c r="I12">
        <v>4547.1019999999999</v>
      </c>
      <c r="J12">
        <v>5334.1189999999997</v>
      </c>
      <c r="K12">
        <v>3458.6060000000002</v>
      </c>
      <c r="L12">
        <v>3918.2109999999998</v>
      </c>
      <c r="M12">
        <v>3531.8139999999999</v>
      </c>
      <c r="N12">
        <v>4064.8449999999998</v>
      </c>
      <c r="O12">
        <v>3881.36</v>
      </c>
      <c r="P12">
        <v>3795.92</v>
      </c>
      <c r="Q12">
        <v>4522.3289999999997</v>
      </c>
      <c r="R12">
        <v>2778.7089999999998</v>
      </c>
      <c r="S12">
        <v>4068.5811176470588</v>
      </c>
    </row>
    <row r="13" spans="1:19">
      <c r="A13" s="5">
        <v>9</v>
      </c>
      <c r="B13">
        <v>4391.0140000000001</v>
      </c>
      <c r="C13">
        <v>4020.884</v>
      </c>
      <c r="D13">
        <v>4879.2929999999997</v>
      </c>
      <c r="E13">
        <v>2994.8670000000002</v>
      </c>
      <c r="F13">
        <v>3608.2190000000001</v>
      </c>
      <c r="G13">
        <v>3238.1390000000001</v>
      </c>
      <c r="H13">
        <v>3663.7939999999999</v>
      </c>
      <c r="I13">
        <v>4108.625</v>
      </c>
      <c r="J13">
        <v>3786.2370000000001</v>
      </c>
      <c r="K13">
        <v>3442.721</v>
      </c>
      <c r="L13">
        <v>3403.33</v>
      </c>
      <c r="M13">
        <v>3098.5259999999998</v>
      </c>
      <c r="N13">
        <v>3175.1019999999999</v>
      </c>
      <c r="O13">
        <v>2693.82</v>
      </c>
      <c r="P13">
        <v>3466.232</v>
      </c>
      <c r="Q13">
        <v>3538.607</v>
      </c>
      <c r="R13">
        <v>2541.154</v>
      </c>
      <c r="S13">
        <v>3532.3861176470591</v>
      </c>
    </row>
    <row r="14" spans="1:19">
      <c r="A14" s="5">
        <v>10</v>
      </c>
      <c r="B14">
        <v>5097.1090000000004</v>
      </c>
      <c r="C14">
        <v>3951.9259999999999</v>
      </c>
      <c r="D14">
        <v>3806.3789999999999</v>
      </c>
      <c r="E14">
        <v>3081.9050000000002</v>
      </c>
      <c r="F14">
        <v>4048.88</v>
      </c>
      <c r="G14">
        <v>3280.9810000000002</v>
      </c>
      <c r="H14">
        <v>4484.3180000000002</v>
      </c>
      <c r="I14">
        <v>4825.201</v>
      </c>
      <c r="J14">
        <v>3783.4229999999998</v>
      </c>
      <c r="K14">
        <v>3893.2840000000001</v>
      </c>
      <c r="L14">
        <v>3081.4839999999999</v>
      </c>
      <c r="M14">
        <v>2732.8150000000001</v>
      </c>
      <c r="N14">
        <v>3074.4259999999999</v>
      </c>
      <c r="O14">
        <v>3922.9119999999998</v>
      </c>
      <c r="P14">
        <v>5275.9639999999999</v>
      </c>
      <c r="Q14">
        <v>3162.1219999999998</v>
      </c>
      <c r="R14">
        <v>3152.902</v>
      </c>
      <c r="S14">
        <v>3803.2959411764709</v>
      </c>
    </row>
    <row r="15" spans="1:19">
      <c r="A15" s="5">
        <v>11</v>
      </c>
      <c r="B15">
        <v>4243.0550000000003</v>
      </c>
      <c r="C15">
        <v>3377.328</v>
      </c>
      <c r="D15">
        <v>5125.82</v>
      </c>
      <c r="E15">
        <v>3794.3229999999999</v>
      </c>
      <c r="F15">
        <v>5519.942</v>
      </c>
      <c r="G15">
        <v>3958.5320000000002</v>
      </c>
      <c r="H15">
        <v>4831.3239999999996</v>
      </c>
      <c r="I15">
        <v>6321.4960000000001</v>
      </c>
      <c r="J15">
        <v>4897.2709999999997</v>
      </c>
      <c r="K15">
        <v>3557.6280000000002</v>
      </c>
      <c r="L15">
        <v>4228.7659999999996</v>
      </c>
      <c r="M15">
        <v>3930.395</v>
      </c>
      <c r="N15">
        <v>4123.8059999999996</v>
      </c>
      <c r="O15">
        <v>6644.6210000000001</v>
      </c>
      <c r="P15">
        <v>4622.3190000000004</v>
      </c>
      <c r="Q15">
        <v>4141.7160000000003</v>
      </c>
      <c r="R15">
        <v>3949.0450000000001</v>
      </c>
      <c r="S15">
        <v>4545.1404117647053</v>
      </c>
    </row>
    <row r="16" spans="1:19">
      <c r="A16" s="5">
        <v>12</v>
      </c>
      <c r="B16">
        <v>5251.799</v>
      </c>
      <c r="C16">
        <v>4679.2860000000001</v>
      </c>
      <c r="D16">
        <v>5663.6390000000001</v>
      </c>
      <c r="E16">
        <v>5323.0720000000001</v>
      </c>
      <c r="F16">
        <v>7063.89</v>
      </c>
      <c r="G16">
        <v>5747.0370000000003</v>
      </c>
      <c r="H16">
        <v>6482.4570000000003</v>
      </c>
      <c r="I16">
        <v>5711.1809999999996</v>
      </c>
      <c r="J16">
        <v>5745.2969999999996</v>
      </c>
      <c r="K16">
        <v>3688.393</v>
      </c>
      <c r="L16">
        <v>4597.3379999999997</v>
      </c>
      <c r="M16">
        <v>5344.4610000000002</v>
      </c>
      <c r="N16">
        <v>5311.143</v>
      </c>
      <c r="O16">
        <v>8052.2190000000001</v>
      </c>
      <c r="P16">
        <v>5860.8119999999999</v>
      </c>
      <c r="Q16">
        <v>5461.2179999999998</v>
      </c>
      <c r="R16">
        <v>5234.5219999999999</v>
      </c>
      <c r="S16">
        <v>5601.0449411764703</v>
      </c>
    </row>
    <row r="17" spans="1:19">
      <c r="A17" s="5" t="s">
        <v>5723</v>
      </c>
      <c r="B17">
        <v>5203.3818333333338</v>
      </c>
      <c r="C17">
        <v>5370.2283333333335</v>
      </c>
      <c r="D17">
        <v>5768.4435833333337</v>
      </c>
      <c r="E17">
        <v>5228.4942499999988</v>
      </c>
      <c r="F17">
        <v>5713.2243333333345</v>
      </c>
      <c r="G17">
        <v>4257.0578333333333</v>
      </c>
      <c r="H17">
        <v>5370.9075833333345</v>
      </c>
      <c r="I17">
        <v>6279.7889166666673</v>
      </c>
      <c r="J17">
        <v>5687.3103333333338</v>
      </c>
      <c r="K17">
        <v>4944.8169166666667</v>
      </c>
      <c r="L17">
        <v>5363.244583333334</v>
      </c>
      <c r="M17">
        <v>4492.6420833333332</v>
      </c>
      <c r="N17">
        <v>5861.2489166666664</v>
      </c>
      <c r="O17">
        <v>5137.0943333333325</v>
      </c>
      <c r="P17">
        <v>5565.5719166666668</v>
      </c>
      <c r="Q17">
        <v>5351.8443333333325</v>
      </c>
      <c r="R17">
        <v>4257.491</v>
      </c>
      <c r="S17">
        <v>5285.4582990196077</v>
      </c>
    </row>
    <row r="19" spans="1:19">
      <c r="A19" s="4" t="s">
        <v>5726</v>
      </c>
      <c r="B19" s="4" t="s">
        <v>5724</v>
      </c>
    </row>
    <row r="20" spans="1:19">
      <c r="A20" s="4" t="s">
        <v>5722</v>
      </c>
      <c r="B20">
        <v>2006</v>
      </c>
      <c r="C20">
        <v>2007</v>
      </c>
      <c r="D20">
        <v>2008</v>
      </c>
      <c r="E20">
        <v>2009</v>
      </c>
      <c r="F20">
        <v>2010</v>
      </c>
      <c r="G20">
        <v>2011</v>
      </c>
      <c r="H20">
        <v>2012</v>
      </c>
      <c r="I20">
        <v>2013</v>
      </c>
      <c r="J20">
        <v>2014</v>
      </c>
      <c r="K20">
        <v>2015</v>
      </c>
      <c r="L20">
        <v>2016</v>
      </c>
      <c r="M20">
        <v>2017</v>
      </c>
      <c r="N20">
        <v>2018</v>
      </c>
      <c r="O20">
        <v>2019</v>
      </c>
      <c r="P20">
        <v>2020</v>
      </c>
      <c r="Q20">
        <v>2021</v>
      </c>
      <c r="R20">
        <v>2022</v>
      </c>
      <c r="S20" t="s">
        <v>5723</v>
      </c>
    </row>
    <row r="21" spans="1:19">
      <c r="A21" s="5">
        <v>1</v>
      </c>
      <c r="B21">
        <v>129.023</v>
      </c>
      <c r="C21">
        <v>427.077</v>
      </c>
      <c r="D21">
        <v>614.11099999999999</v>
      </c>
      <c r="E21">
        <v>649.11699999999996</v>
      </c>
      <c r="F21">
        <v>668.12</v>
      </c>
      <c r="G21">
        <v>1229.221</v>
      </c>
      <c r="H21">
        <v>1520.9839999999999</v>
      </c>
      <c r="I21">
        <v>1263.8130000000001</v>
      </c>
      <c r="J21">
        <v>2100.3339999999998</v>
      </c>
      <c r="K21">
        <v>2176.4430000000002</v>
      </c>
      <c r="L21">
        <v>2716.194</v>
      </c>
      <c r="M21">
        <v>1909.1420000000001</v>
      </c>
      <c r="N21">
        <v>3976.68</v>
      </c>
      <c r="O21">
        <v>2968.8679999999999</v>
      </c>
      <c r="P21">
        <v>4174.9229999999998</v>
      </c>
      <c r="Q21">
        <v>3960.9740000000002</v>
      </c>
      <c r="R21">
        <v>3144.953</v>
      </c>
      <c r="S21">
        <v>1978.2339411764706</v>
      </c>
    </row>
    <row r="22" spans="1:19">
      <c r="A22" s="5">
        <v>2</v>
      </c>
      <c r="B22">
        <v>137.02500000000001</v>
      </c>
      <c r="C22">
        <v>361.065</v>
      </c>
      <c r="D22">
        <v>428.077</v>
      </c>
      <c r="E22">
        <v>494.089</v>
      </c>
      <c r="F22">
        <v>949.17100000000005</v>
      </c>
      <c r="G22">
        <v>871.15700000000004</v>
      </c>
      <c r="H22">
        <v>1083.7639999999999</v>
      </c>
      <c r="I22">
        <v>1389.1510000000001</v>
      </c>
      <c r="J22">
        <v>2357.192</v>
      </c>
      <c r="K22">
        <v>1808.5309999999999</v>
      </c>
      <c r="L22">
        <v>2748.6129999999998</v>
      </c>
      <c r="M22">
        <v>2422.1579999999999</v>
      </c>
      <c r="N22">
        <v>2732.924</v>
      </c>
      <c r="O22">
        <v>2627.5070000000001</v>
      </c>
      <c r="P22">
        <v>5907.95</v>
      </c>
      <c r="Q22">
        <v>4253.7150000000001</v>
      </c>
      <c r="R22">
        <v>5265.7830000000004</v>
      </c>
      <c r="S22">
        <v>2108.1101176470588</v>
      </c>
    </row>
    <row r="23" spans="1:19">
      <c r="A23" s="5">
        <v>3</v>
      </c>
      <c r="B23">
        <v>196.035</v>
      </c>
      <c r="C23">
        <v>363.065</v>
      </c>
      <c r="D23">
        <v>697.125</v>
      </c>
      <c r="E23">
        <v>741.13300000000004</v>
      </c>
      <c r="F23">
        <v>1149.2070000000001</v>
      </c>
      <c r="G23">
        <v>1094.1969999999999</v>
      </c>
      <c r="H23">
        <v>938.77099999999996</v>
      </c>
      <c r="I23">
        <v>1294.3399999999999</v>
      </c>
      <c r="J23">
        <v>1239.57</v>
      </c>
      <c r="K23">
        <v>1908.979</v>
      </c>
      <c r="L23">
        <v>2334.085</v>
      </c>
      <c r="M23">
        <v>2514.855</v>
      </c>
      <c r="N23">
        <v>3093.6089999999999</v>
      </c>
      <c r="O23">
        <v>4506.8090000000002</v>
      </c>
      <c r="P23">
        <v>4498.8249999999998</v>
      </c>
      <c r="Q23">
        <v>3714.4169999999999</v>
      </c>
      <c r="R23">
        <v>3461.02</v>
      </c>
      <c r="S23">
        <v>1985.0612941176471</v>
      </c>
    </row>
    <row r="24" spans="1:19">
      <c r="A24" s="5">
        <v>4</v>
      </c>
      <c r="B24">
        <v>145.02600000000001</v>
      </c>
      <c r="C24">
        <v>186.03299999999999</v>
      </c>
      <c r="D24">
        <v>416.07499999999999</v>
      </c>
      <c r="E24">
        <v>464.084</v>
      </c>
      <c r="F24">
        <v>707.12699999999995</v>
      </c>
      <c r="G24">
        <v>668.12</v>
      </c>
      <c r="H24">
        <v>1502.9110000000001</v>
      </c>
      <c r="I24">
        <v>1430.078</v>
      </c>
      <c r="J24">
        <v>1006.282</v>
      </c>
      <c r="K24">
        <v>1378.05</v>
      </c>
      <c r="L24">
        <v>1603.6369999999999</v>
      </c>
      <c r="M24">
        <v>1378.93</v>
      </c>
      <c r="N24">
        <v>2160.3820000000001</v>
      </c>
      <c r="O24">
        <v>2358.3310000000001</v>
      </c>
      <c r="P24">
        <v>2282.0309999999999</v>
      </c>
      <c r="Q24">
        <v>2949.2350000000001</v>
      </c>
      <c r="R24">
        <v>3560.29</v>
      </c>
      <c r="S24">
        <v>1423.3307058823532</v>
      </c>
    </row>
    <row r="25" spans="1:19">
      <c r="A25" s="5">
        <v>5</v>
      </c>
      <c r="B25">
        <v>166.03</v>
      </c>
      <c r="C25">
        <v>361.065</v>
      </c>
      <c r="D25">
        <v>282.05099999999999</v>
      </c>
      <c r="E25">
        <v>539.09699999999998</v>
      </c>
      <c r="F25">
        <v>725.13099999999997</v>
      </c>
      <c r="G25">
        <v>727.13099999999997</v>
      </c>
      <c r="H25">
        <v>933.06299999999999</v>
      </c>
      <c r="I25">
        <v>1112.6320000000001</v>
      </c>
      <c r="J25">
        <v>1461.836</v>
      </c>
      <c r="K25">
        <v>1519.049</v>
      </c>
      <c r="L25">
        <v>1480.6489999999999</v>
      </c>
      <c r="M25">
        <v>1400.7619999999999</v>
      </c>
      <c r="N25">
        <v>1605.95</v>
      </c>
      <c r="O25">
        <v>2266.7759999999998</v>
      </c>
      <c r="P25">
        <v>2662.7860000000001</v>
      </c>
      <c r="Q25">
        <v>3964.355</v>
      </c>
      <c r="R25">
        <v>2076.2759999999998</v>
      </c>
      <c r="S25">
        <v>1369.6846470588237</v>
      </c>
    </row>
    <row r="26" spans="1:19">
      <c r="A26" s="5">
        <v>6</v>
      </c>
      <c r="B26">
        <v>99.018000000000001</v>
      </c>
      <c r="C26">
        <v>241.04300000000001</v>
      </c>
      <c r="D26">
        <v>283.05099999999999</v>
      </c>
      <c r="E26">
        <v>405.07299999999998</v>
      </c>
      <c r="F26">
        <v>566.10199999999998</v>
      </c>
      <c r="G26">
        <v>853.154</v>
      </c>
      <c r="H26">
        <v>951.32799999999997</v>
      </c>
      <c r="I26">
        <v>1112.4179999999999</v>
      </c>
      <c r="J26">
        <v>902.47500000000002</v>
      </c>
      <c r="K26">
        <v>1199.77</v>
      </c>
      <c r="L26">
        <v>1025.0239999999999</v>
      </c>
      <c r="M26">
        <v>1396.048</v>
      </c>
      <c r="N26">
        <v>1373.5129999999999</v>
      </c>
      <c r="O26">
        <v>1907.3320000000001</v>
      </c>
      <c r="P26">
        <v>2051.3090000000002</v>
      </c>
      <c r="Q26">
        <v>1359.5050000000001</v>
      </c>
      <c r="R26">
        <v>1849.9390000000001</v>
      </c>
      <c r="S26">
        <v>1033.8883529411764</v>
      </c>
    </row>
    <row r="27" spans="1:19">
      <c r="A27" s="5">
        <v>7</v>
      </c>
      <c r="B27">
        <v>94.016999999999996</v>
      </c>
      <c r="C27">
        <v>338.06099999999998</v>
      </c>
      <c r="D27">
        <v>347.06200000000001</v>
      </c>
      <c r="E27">
        <v>538.09699999999998</v>
      </c>
      <c r="F27">
        <v>479.08600000000001</v>
      </c>
      <c r="G27">
        <v>809.14599999999996</v>
      </c>
      <c r="H27">
        <v>875.26199999999994</v>
      </c>
      <c r="I27">
        <v>829.66200000000003</v>
      </c>
      <c r="J27">
        <v>910.97799999999995</v>
      </c>
      <c r="K27">
        <v>1338.682</v>
      </c>
      <c r="L27">
        <v>974.32899999999995</v>
      </c>
      <c r="M27">
        <v>1619.1030000000001</v>
      </c>
      <c r="N27">
        <v>1085.7349999999999</v>
      </c>
      <c r="O27">
        <v>1758.16</v>
      </c>
      <c r="P27">
        <v>2105.002</v>
      </c>
      <c r="Q27">
        <v>2315.1030000000001</v>
      </c>
      <c r="R27">
        <v>1885.33</v>
      </c>
      <c r="S27">
        <v>1076.6361764705885</v>
      </c>
    </row>
    <row r="28" spans="1:19">
      <c r="A28" s="5">
        <v>8</v>
      </c>
      <c r="B28">
        <v>191.03399999999999</v>
      </c>
      <c r="C28">
        <v>285.05099999999999</v>
      </c>
      <c r="D28">
        <v>407.07299999999998</v>
      </c>
      <c r="E28">
        <v>355.06400000000002</v>
      </c>
      <c r="F28">
        <v>668.12</v>
      </c>
      <c r="G28">
        <v>664.12</v>
      </c>
      <c r="H28">
        <v>861.71900000000005</v>
      </c>
      <c r="I28">
        <v>705.577</v>
      </c>
      <c r="J28">
        <v>933.67</v>
      </c>
      <c r="K28">
        <v>1076.5160000000001</v>
      </c>
      <c r="L28">
        <v>1134.4459999999999</v>
      </c>
      <c r="M28">
        <v>1170.4100000000001</v>
      </c>
      <c r="N28">
        <v>1402.538</v>
      </c>
      <c r="O28">
        <v>1662.521</v>
      </c>
      <c r="P28">
        <v>2047.002</v>
      </c>
      <c r="Q28">
        <v>2225.5639999999999</v>
      </c>
      <c r="R28">
        <v>2077.6019999999999</v>
      </c>
      <c r="S28">
        <v>1051.060411764706</v>
      </c>
    </row>
    <row r="29" spans="1:19">
      <c r="A29" s="5">
        <v>9</v>
      </c>
      <c r="B29">
        <v>152.02699999999999</v>
      </c>
      <c r="C29">
        <v>277.05</v>
      </c>
      <c r="D29">
        <v>464.084</v>
      </c>
      <c r="E29">
        <v>542.09799999999996</v>
      </c>
      <c r="F29">
        <v>548.09900000000005</v>
      </c>
      <c r="G29">
        <v>821.14800000000002</v>
      </c>
      <c r="H29">
        <v>883.66899999999998</v>
      </c>
      <c r="I29">
        <v>899.81600000000003</v>
      </c>
      <c r="J29">
        <v>678.46400000000006</v>
      </c>
      <c r="K29">
        <v>1585.6030000000001</v>
      </c>
      <c r="L29">
        <v>953.06299999999999</v>
      </c>
      <c r="M29">
        <v>1557.9680000000001</v>
      </c>
      <c r="N29">
        <v>1585.212</v>
      </c>
      <c r="O29">
        <v>2696.32</v>
      </c>
      <c r="P29">
        <v>2145.0859999999998</v>
      </c>
      <c r="Q29">
        <v>1657.3920000000001</v>
      </c>
      <c r="R29">
        <v>2293.837</v>
      </c>
      <c r="S29">
        <v>1161.2315294117645</v>
      </c>
    </row>
    <row r="30" spans="1:19">
      <c r="A30" s="5">
        <v>10</v>
      </c>
      <c r="B30">
        <v>237.04300000000001</v>
      </c>
      <c r="C30">
        <v>283.05099999999999</v>
      </c>
      <c r="D30">
        <v>475.08600000000001</v>
      </c>
      <c r="E30">
        <v>632.11400000000003</v>
      </c>
      <c r="F30">
        <v>1034.1859999999999</v>
      </c>
      <c r="G30">
        <v>1035.1859999999999</v>
      </c>
      <c r="H30">
        <v>1308.577</v>
      </c>
      <c r="I30">
        <v>1543.6659999999999</v>
      </c>
      <c r="J30">
        <v>1209.845</v>
      </c>
      <c r="K30">
        <v>1218.133</v>
      </c>
      <c r="L30">
        <v>1340.8520000000001</v>
      </c>
      <c r="M30">
        <v>1972.7170000000001</v>
      </c>
      <c r="N30">
        <v>2449.6019999999999</v>
      </c>
      <c r="O30">
        <v>3429.0990000000002</v>
      </c>
      <c r="P30">
        <v>4320.308</v>
      </c>
      <c r="Q30">
        <v>3489.4850000000001</v>
      </c>
      <c r="R30">
        <v>3432.3760000000002</v>
      </c>
      <c r="S30">
        <v>1730.078</v>
      </c>
    </row>
    <row r="31" spans="1:19">
      <c r="A31" s="5">
        <v>11</v>
      </c>
      <c r="B31">
        <v>299.05399999999997</v>
      </c>
      <c r="C31">
        <v>434.07799999999997</v>
      </c>
      <c r="D31">
        <v>637.11500000000001</v>
      </c>
      <c r="E31">
        <v>1296.2329999999999</v>
      </c>
      <c r="F31">
        <v>969.17399999999998</v>
      </c>
      <c r="G31">
        <v>909.16399999999999</v>
      </c>
      <c r="H31">
        <v>1249.2049999999999</v>
      </c>
      <c r="I31">
        <v>1714.499</v>
      </c>
      <c r="J31">
        <v>1411.79</v>
      </c>
      <c r="K31">
        <v>2433.6120000000001</v>
      </c>
      <c r="L31">
        <v>2188.5010000000002</v>
      </c>
      <c r="M31">
        <v>2172.6849999999999</v>
      </c>
      <c r="N31">
        <v>2796.145</v>
      </c>
      <c r="O31">
        <v>3416.78</v>
      </c>
      <c r="P31">
        <v>3154.7910000000002</v>
      </c>
      <c r="Q31">
        <v>2710.3870000000002</v>
      </c>
      <c r="R31">
        <v>4626.7579999999998</v>
      </c>
      <c r="S31">
        <v>1907.0571176470587</v>
      </c>
    </row>
    <row r="32" spans="1:19">
      <c r="A32" s="5">
        <v>12</v>
      </c>
      <c r="B32">
        <v>324.05799999999999</v>
      </c>
      <c r="C32">
        <v>584.10500000000002</v>
      </c>
      <c r="D32">
        <v>660.11900000000003</v>
      </c>
      <c r="E32">
        <v>940.16899999999998</v>
      </c>
      <c r="F32">
        <v>950.17100000000005</v>
      </c>
      <c r="G32">
        <v>1944.35</v>
      </c>
      <c r="H32">
        <v>2193.2739999999999</v>
      </c>
      <c r="I32">
        <v>1916.751</v>
      </c>
      <c r="J32">
        <v>1958.883</v>
      </c>
      <c r="K32">
        <v>2527.0549999999998</v>
      </c>
      <c r="L32">
        <v>1388.663</v>
      </c>
      <c r="M32">
        <v>3084.3389999999999</v>
      </c>
      <c r="N32">
        <v>3613.4520000000002</v>
      </c>
      <c r="O32">
        <v>4715.0079999999998</v>
      </c>
      <c r="P32">
        <v>4383.9110000000001</v>
      </c>
      <c r="Q32">
        <v>4331.1279999999997</v>
      </c>
      <c r="R32">
        <v>4364.634</v>
      </c>
      <c r="S32">
        <v>2345.8864705882347</v>
      </c>
    </row>
    <row r="33" spans="1:19">
      <c r="A33" s="5" t="s">
        <v>5723</v>
      </c>
      <c r="B33">
        <v>180.78250000000003</v>
      </c>
      <c r="C33">
        <v>345.06200000000007</v>
      </c>
      <c r="D33">
        <v>475.91908333333322</v>
      </c>
      <c r="E33">
        <v>633.03066666666666</v>
      </c>
      <c r="F33">
        <v>784.47450000000015</v>
      </c>
      <c r="G33">
        <v>968.84116666666671</v>
      </c>
      <c r="H33">
        <v>1191.8772499999998</v>
      </c>
      <c r="I33">
        <v>1267.7002499999999</v>
      </c>
      <c r="J33">
        <v>1347.6099166666665</v>
      </c>
      <c r="K33">
        <v>1680.8685833333332</v>
      </c>
      <c r="L33">
        <v>1657.338</v>
      </c>
      <c r="M33">
        <v>1883.2597500000004</v>
      </c>
      <c r="N33">
        <v>2322.9785000000002</v>
      </c>
      <c r="O33">
        <v>2859.4592499999999</v>
      </c>
      <c r="P33">
        <v>3311.1603333333333</v>
      </c>
      <c r="Q33">
        <v>3077.6049999999996</v>
      </c>
      <c r="R33">
        <v>3169.8998333333329</v>
      </c>
      <c r="S33">
        <v>1597.5215637254903</v>
      </c>
    </row>
    <row r="35" spans="1:19">
      <c r="A35" s="4" t="s">
        <v>5727</v>
      </c>
      <c r="B35" s="4" t="s">
        <v>5724</v>
      </c>
    </row>
    <row r="36" spans="1:19">
      <c r="A36" s="4" t="s">
        <v>5722</v>
      </c>
      <c r="B36">
        <v>2006</v>
      </c>
      <c r="C36">
        <v>2007</v>
      </c>
      <c r="D36">
        <v>2008</v>
      </c>
      <c r="E36">
        <v>2009</v>
      </c>
      <c r="F36">
        <v>2010</v>
      </c>
      <c r="G36">
        <v>2011</v>
      </c>
      <c r="H36">
        <v>2012</v>
      </c>
      <c r="I36">
        <v>2013</v>
      </c>
      <c r="J36">
        <v>2014</v>
      </c>
      <c r="K36">
        <v>2015</v>
      </c>
      <c r="L36">
        <v>2016</v>
      </c>
      <c r="M36">
        <v>2017</v>
      </c>
      <c r="N36">
        <v>2018</v>
      </c>
      <c r="O36">
        <v>2019</v>
      </c>
      <c r="P36">
        <v>2020</v>
      </c>
      <c r="Q36">
        <v>2021</v>
      </c>
      <c r="R36">
        <v>2022</v>
      </c>
      <c r="S36" t="s">
        <v>5723</v>
      </c>
    </row>
    <row r="37" spans="1:19">
      <c r="A37" s="5">
        <v>1</v>
      </c>
      <c r="B37">
        <v>135581.94500000001</v>
      </c>
      <c r="C37">
        <v>129735.439</v>
      </c>
      <c r="D37">
        <v>129923.352</v>
      </c>
      <c r="E37">
        <v>136557.878</v>
      </c>
      <c r="F37">
        <v>128292.75599999999</v>
      </c>
      <c r="G37">
        <v>138909.815</v>
      </c>
      <c r="H37">
        <v>135687.63</v>
      </c>
      <c r="I37">
        <v>134319.11199999999</v>
      </c>
      <c r="J37">
        <v>135384.93900000001</v>
      </c>
      <c r="K37">
        <v>138614.247</v>
      </c>
      <c r="L37">
        <v>131863.546</v>
      </c>
      <c r="M37">
        <v>128272.379</v>
      </c>
      <c r="N37">
        <v>129237.35799999999</v>
      </c>
      <c r="O37">
        <v>127358.57399999999</v>
      </c>
      <c r="P37">
        <v>118755.94100000001</v>
      </c>
      <c r="Q37">
        <v>118085.182</v>
      </c>
      <c r="R37">
        <v>111862.39999999999</v>
      </c>
      <c r="S37">
        <v>129908.38194117649</v>
      </c>
    </row>
    <row r="38" spans="1:19">
      <c r="A38" s="5">
        <v>2</v>
      </c>
      <c r="B38">
        <v>111416.995</v>
      </c>
      <c r="C38">
        <v>114708.496</v>
      </c>
      <c r="D38">
        <v>123370.659</v>
      </c>
      <c r="E38">
        <v>117351.395</v>
      </c>
      <c r="F38">
        <v>115196.484</v>
      </c>
      <c r="G38">
        <v>121352.736</v>
      </c>
      <c r="H38">
        <v>122565.787</v>
      </c>
      <c r="I38">
        <v>116396.587</v>
      </c>
      <c r="J38">
        <v>115457.11500000001</v>
      </c>
      <c r="K38">
        <v>118645.628</v>
      </c>
      <c r="L38">
        <v>118312.262</v>
      </c>
      <c r="M38">
        <v>107040.272</v>
      </c>
      <c r="N38">
        <v>115269.05</v>
      </c>
      <c r="O38">
        <v>114250.76300000001</v>
      </c>
      <c r="P38">
        <v>105638.334</v>
      </c>
      <c r="Q38">
        <v>96487.993000000002</v>
      </c>
      <c r="R38">
        <v>94127.123999999996</v>
      </c>
      <c r="S38">
        <v>113387.51058823532</v>
      </c>
    </row>
    <row r="39" spans="1:19">
      <c r="A39" s="5">
        <v>3</v>
      </c>
      <c r="B39">
        <v>112414.144</v>
      </c>
      <c r="C39">
        <v>116790.68799999999</v>
      </c>
      <c r="D39">
        <v>118281.86500000001</v>
      </c>
      <c r="E39">
        <v>114347.825</v>
      </c>
      <c r="F39">
        <v>114382.671</v>
      </c>
      <c r="G39">
        <v>119591.671</v>
      </c>
      <c r="H39">
        <v>119245.978</v>
      </c>
      <c r="I39">
        <v>116706.88499999999</v>
      </c>
      <c r="J39">
        <v>113702.254</v>
      </c>
      <c r="K39">
        <v>117108.442</v>
      </c>
      <c r="L39">
        <v>117876.299</v>
      </c>
      <c r="M39">
        <v>108798.41899999999</v>
      </c>
      <c r="N39">
        <v>113291.10799999999</v>
      </c>
      <c r="O39">
        <v>112901.594</v>
      </c>
      <c r="P39">
        <v>97714.37</v>
      </c>
      <c r="Q39">
        <v>100674.872</v>
      </c>
      <c r="R39">
        <v>85750.866999999998</v>
      </c>
      <c r="S39">
        <v>111739.99717647058</v>
      </c>
    </row>
    <row r="40" spans="1:19">
      <c r="A40" s="5">
        <v>4</v>
      </c>
      <c r="B40">
        <v>114187.19</v>
      </c>
      <c r="C40">
        <v>101333.36500000001</v>
      </c>
      <c r="D40">
        <v>109092.33500000001</v>
      </c>
      <c r="E40">
        <v>98544.985000000001</v>
      </c>
      <c r="F40">
        <v>99668.426000000007</v>
      </c>
      <c r="G40">
        <v>104735.57</v>
      </c>
      <c r="H40">
        <v>105259.43399999999</v>
      </c>
      <c r="I40">
        <v>100186.098</v>
      </c>
      <c r="J40">
        <v>99323.913</v>
      </c>
      <c r="K40">
        <v>99393.986000000004</v>
      </c>
      <c r="L40">
        <v>98619.127999999997</v>
      </c>
      <c r="M40">
        <v>101042.997</v>
      </c>
      <c r="N40">
        <v>97451.630999999994</v>
      </c>
      <c r="O40">
        <v>101109.583</v>
      </c>
      <c r="P40">
        <v>85870.558999999994</v>
      </c>
      <c r="Q40">
        <v>86700.854999999996</v>
      </c>
      <c r="R40">
        <v>69785.578999999998</v>
      </c>
      <c r="S40">
        <v>98370.919647058821</v>
      </c>
    </row>
    <row r="41" spans="1:19">
      <c r="A41" s="5">
        <v>5</v>
      </c>
      <c r="B41">
        <v>108225.51300000001</v>
      </c>
      <c r="C41">
        <v>101563.709</v>
      </c>
      <c r="D41">
        <v>102006.213</v>
      </c>
      <c r="E41">
        <v>95638.402000000002</v>
      </c>
      <c r="F41">
        <v>93362.235000000001</v>
      </c>
      <c r="G41">
        <v>105566.541</v>
      </c>
      <c r="H41">
        <v>92837.989000000001</v>
      </c>
      <c r="I41">
        <v>99269.63</v>
      </c>
      <c r="J41">
        <v>99269.357000000004</v>
      </c>
      <c r="K41">
        <v>96932.331000000006</v>
      </c>
      <c r="L41">
        <v>94016.725000000006</v>
      </c>
      <c r="M41">
        <v>95666.748999999996</v>
      </c>
      <c r="N41">
        <v>97495.217999999993</v>
      </c>
      <c r="O41">
        <v>100989.601</v>
      </c>
      <c r="P41">
        <v>79563.073000000004</v>
      </c>
      <c r="Q41">
        <v>87953.998999999996</v>
      </c>
      <c r="R41">
        <v>65809.978000000003</v>
      </c>
      <c r="S41">
        <v>95068.662529411784</v>
      </c>
    </row>
    <row r="42" spans="1:19">
      <c r="A42" s="5">
        <v>6</v>
      </c>
      <c r="B42">
        <v>104758.223</v>
      </c>
      <c r="C42">
        <v>98523.769</v>
      </c>
      <c r="D42">
        <v>91410.369000000006</v>
      </c>
      <c r="E42">
        <v>86803.48</v>
      </c>
      <c r="F42">
        <v>94335.046000000002</v>
      </c>
      <c r="G42">
        <v>103918.02899999999</v>
      </c>
      <c r="H42">
        <v>84994.337</v>
      </c>
      <c r="I42">
        <v>91415.824999999997</v>
      </c>
      <c r="J42">
        <v>98890.501000000004</v>
      </c>
      <c r="K42">
        <v>97938.391000000003</v>
      </c>
      <c r="L42">
        <v>91412.76</v>
      </c>
      <c r="M42">
        <v>86043.752999999997</v>
      </c>
      <c r="N42">
        <v>91391.126000000004</v>
      </c>
      <c r="O42">
        <v>91228.342000000004</v>
      </c>
      <c r="P42">
        <v>68777.752999999997</v>
      </c>
      <c r="Q42">
        <v>88324.864000000001</v>
      </c>
      <c r="R42">
        <v>64482.038</v>
      </c>
      <c r="S42">
        <v>90273.447411764704</v>
      </c>
    </row>
    <row r="43" spans="1:19">
      <c r="A43" s="5">
        <v>7</v>
      </c>
      <c r="B43">
        <v>105161.325</v>
      </c>
      <c r="C43">
        <v>101666.758</v>
      </c>
      <c r="D43">
        <v>101837.054</v>
      </c>
      <c r="E43">
        <v>92456.012000000002</v>
      </c>
      <c r="F43">
        <v>101295.785</v>
      </c>
      <c r="G43">
        <v>106785.193</v>
      </c>
      <c r="H43">
        <v>92115.646999999997</v>
      </c>
      <c r="I43">
        <v>98138.305999999997</v>
      </c>
      <c r="J43">
        <v>106619.163</v>
      </c>
      <c r="K43">
        <v>106076.09600000001</v>
      </c>
      <c r="L43">
        <v>90469.67</v>
      </c>
      <c r="M43">
        <v>90039.040999999997</v>
      </c>
      <c r="N43">
        <v>95721.775999999998</v>
      </c>
      <c r="O43">
        <v>93226.275999999998</v>
      </c>
      <c r="P43">
        <v>72325.808000000005</v>
      </c>
      <c r="Q43">
        <v>91149.167000000001</v>
      </c>
      <c r="R43">
        <v>60385.593000000001</v>
      </c>
      <c r="S43">
        <v>94439.333529411771</v>
      </c>
    </row>
    <row r="44" spans="1:19">
      <c r="A44" s="5">
        <v>8</v>
      </c>
      <c r="B44">
        <v>104570.31</v>
      </c>
      <c r="C44">
        <v>104203.57799999999</v>
      </c>
      <c r="D44">
        <v>102460.84</v>
      </c>
      <c r="E44">
        <v>90316.490999999995</v>
      </c>
      <c r="F44">
        <v>103451.927</v>
      </c>
      <c r="G44">
        <v>100293.784</v>
      </c>
      <c r="H44">
        <v>90827.354999999996</v>
      </c>
      <c r="I44">
        <v>95377.111999999994</v>
      </c>
      <c r="J44">
        <v>99057.198000000004</v>
      </c>
      <c r="K44">
        <v>102283.505</v>
      </c>
      <c r="L44">
        <v>86803.210999999996</v>
      </c>
      <c r="M44">
        <v>91336.843999999997</v>
      </c>
      <c r="N44">
        <v>87546.407999999996</v>
      </c>
      <c r="O44">
        <v>88794.004000000001</v>
      </c>
      <c r="P44">
        <v>73715.968999999997</v>
      </c>
      <c r="Q44">
        <v>93107.481</v>
      </c>
      <c r="R44">
        <v>58554.053999999996</v>
      </c>
      <c r="S44">
        <v>92511.768882352932</v>
      </c>
    </row>
    <row r="45" spans="1:19">
      <c r="A45" s="5">
        <v>9</v>
      </c>
      <c r="B45">
        <v>107807.25599999999</v>
      </c>
      <c r="C45">
        <v>106219.091</v>
      </c>
      <c r="D45">
        <v>99626.997000000003</v>
      </c>
      <c r="E45">
        <v>91803.258000000002</v>
      </c>
      <c r="F45">
        <v>100872.091</v>
      </c>
      <c r="G45">
        <v>100278.478</v>
      </c>
      <c r="H45">
        <v>96273.91</v>
      </c>
      <c r="I45">
        <v>94817.042000000001</v>
      </c>
      <c r="J45">
        <v>101569.77099999999</v>
      </c>
      <c r="K45">
        <v>97679.616999999998</v>
      </c>
      <c r="L45">
        <v>84673.304000000004</v>
      </c>
      <c r="M45">
        <v>93701.03</v>
      </c>
      <c r="N45">
        <v>96104.597999999998</v>
      </c>
      <c r="O45">
        <v>88010.441000000006</v>
      </c>
      <c r="P45">
        <v>69877.497000000003</v>
      </c>
      <c r="Q45">
        <v>92746.183999999994</v>
      </c>
      <c r="R45">
        <v>58600.02</v>
      </c>
      <c r="S45">
        <v>92980.034411764704</v>
      </c>
    </row>
    <row r="46" spans="1:19">
      <c r="A46" s="5">
        <v>10</v>
      </c>
      <c r="B46">
        <v>113681.039</v>
      </c>
      <c r="C46">
        <v>117287.747</v>
      </c>
      <c r="D46">
        <v>108061.84699999999</v>
      </c>
      <c r="E46">
        <v>98785.998000000007</v>
      </c>
      <c r="F46">
        <v>101708.371</v>
      </c>
      <c r="G46">
        <v>104447.591</v>
      </c>
      <c r="H46">
        <v>104797.89599999999</v>
      </c>
      <c r="I46">
        <v>99163.126000000004</v>
      </c>
      <c r="J46">
        <v>104464.23</v>
      </c>
      <c r="K46">
        <v>109641.58500000001</v>
      </c>
      <c r="L46">
        <v>92610.347999999998</v>
      </c>
      <c r="M46">
        <v>89679.724000000002</v>
      </c>
      <c r="N46">
        <v>100772.212</v>
      </c>
      <c r="O46">
        <v>92959.701000000001</v>
      </c>
      <c r="P46">
        <v>90211.445999999996</v>
      </c>
      <c r="Q46">
        <v>97571.430999999997</v>
      </c>
      <c r="R46">
        <v>65057.226000000002</v>
      </c>
      <c r="S46">
        <v>99464.795176470594</v>
      </c>
    </row>
    <row r="47" spans="1:19">
      <c r="A47" s="5">
        <v>11</v>
      </c>
      <c r="B47">
        <v>118378.853</v>
      </c>
      <c r="C47">
        <v>114099.296</v>
      </c>
      <c r="D47">
        <v>114784.26700000001</v>
      </c>
      <c r="E47">
        <v>100247.048</v>
      </c>
      <c r="F47">
        <v>112760.29700000001</v>
      </c>
      <c r="G47">
        <v>107339.353</v>
      </c>
      <c r="H47">
        <v>118091.255</v>
      </c>
      <c r="I47">
        <v>110128.88499999999</v>
      </c>
      <c r="J47">
        <v>115390.43700000001</v>
      </c>
      <c r="K47">
        <v>113490.519</v>
      </c>
      <c r="L47">
        <v>99125.531000000003</v>
      </c>
      <c r="M47">
        <v>96864.569000000003</v>
      </c>
      <c r="N47">
        <v>103937.52099999999</v>
      </c>
      <c r="O47">
        <v>93100.702000000005</v>
      </c>
      <c r="P47">
        <v>100429.253</v>
      </c>
      <c r="Q47">
        <v>96607.448999999993</v>
      </c>
      <c r="R47">
        <v>69562.288</v>
      </c>
      <c r="S47">
        <v>104961.03076470588</v>
      </c>
    </row>
    <row r="48" spans="1:19">
      <c r="A48" s="5">
        <v>12</v>
      </c>
      <c r="B48">
        <v>128223.046</v>
      </c>
      <c r="C48">
        <v>126925.84299999999</v>
      </c>
      <c r="D48">
        <v>131144.783</v>
      </c>
      <c r="E48">
        <v>120193.633</v>
      </c>
      <c r="F48">
        <v>132842.122</v>
      </c>
      <c r="G48">
        <v>126664.766</v>
      </c>
      <c r="H48">
        <v>126634.73</v>
      </c>
      <c r="I48">
        <v>128204.861</v>
      </c>
      <c r="J48">
        <v>131968.568</v>
      </c>
      <c r="K48">
        <v>127974.03200000001</v>
      </c>
      <c r="L48">
        <v>116283.806</v>
      </c>
      <c r="M48">
        <v>118870.359</v>
      </c>
      <c r="N48">
        <v>123406.02</v>
      </c>
      <c r="O48">
        <v>105413.8</v>
      </c>
      <c r="P48">
        <v>109533.554</v>
      </c>
      <c r="Q48">
        <v>100376.851</v>
      </c>
      <c r="R48">
        <v>89307.744000000006</v>
      </c>
      <c r="S48">
        <v>120233.44223529413</v>
      </c>
    </row>
    <row r="49" spans="1:19">
      <c r="A49" s="5" t="s">
        <v>5723</v>
      </c>
      <c r="B49">
        <v>113700.48658333335</v>
      </c>
      <c r="C49">
        <v>111088.14825000001</v>
      </c>
      <c r="D49">
        <v>111000.04841666667</v>
      </c>
      <c r="E49">
        <v>103587.20041666667</v>
      </c>
      <c r="F49">
        <v>108180.68424999999</v>
      </c>
      <c r="G49">
        <v>111656.96058333333</v>
      </c>
      <c r="H49">
        <v>107444.32899999998</v>
      </c>
      <c r="I49">
        <v>107010.28908333332</v>
      </c>
      <c r="J49">
        <v>110091.45383333333</v>
      </c>
      <c r="K49">
        <v>110481.53158333334</v>
      </c>
      <c r="L49">
        <v>101838.88250000001</v>
      </c>
      <c r="M49">
        <v>100613.01133333333</v>
      </c>
      <c r="N49">
        <v>104302.00216666667</v>
      </c>
      <c r="O49">
        <v>100778.61508333332</v>
      </c>
      <c r="P49">
        <v>89367.796416666664</v>
      </c>
      <c r="Q49">
        <v>95815.527333333332</v>
      </c>
      <c r="R49">
        <v>74440.409250000012</v>
      </c>
      <c r="S49">
        <v>103611.61035784312</v>
      </c>
    </row>
    <row r="51" spans="1:19">
      <c r="A51" s="4" t="s">
        <v>5728</v>
      </c>
      <c r="B51" s="4" t="s">
        <v>5724</v>
      </c>
    </row>
    <row r="52" spans="1:19">
      <c r="A52" s="4" t="s">
        <v>5722</v>
      </c>
      <c r="B52">
        <v>2011</v>
      </c>
      <c r="C52">
        <v>2012</v>
      </c>
      <c r="D52">
        <v>2013</v>
      </c>
      <c r="E52">
        <v>2014</v>
      </c>
      <c r="F52">
        <v>2015</v>
      </c>
      <c r="G52">
        <v>2016</v>
      </c>
      <c r="H52">
        <v>2017</v>
      </c>
      <c r="I52">
        <v>2018</v>
      </c>
      <c r="J52">
        <v>2019</v>
      </c>
      <c r="K52">
        <v>2020</v>
      </c>
      <c r="L52">
        <v>2021</v>
      </c>
      <c r="M52">
        <v>2022</v>
      </c>
      <c r="N52" t="s">
        <v>5723</v>
      </c>
    </row>
    <row r="53" spans="1:19">
      <c r="A53" s="5">
        <v>1</v>
      </c>
      <c r="B53">
        <v>42.411000000000001</v>
      </c>
      <c r="C53">
        <v>108.69</v>
      </c>
      <c r="D53">
        <v>139.12899999999999</v>
      </c>
      <c r="E53">
        <v>164.98099999999999</v>
      </c>
      <c r="F53">
        <v>228.00399999999999</v>
      </c>
      <c r="G53">
        <v>248.315</v>
      </c>
      <c r="H53">
        <v>317.89299999999997</v>
      </c>
      <c r="I53">
        <v>331.25099999999998</v>
      </c>
      <c r="J53">
        <v>501.226</v>
      </c>
      <c r="K53">
        <v>524.25699999999995</v>
      </c>
      <c r="L53">
        <v>480.38499999999999</v>
      </c>
      <c r="M53">
        <v>784.95600000000002</v>
      </c>
      <c r="N53">
        <v>322.62483333333336</v>
      </c>
    </row>
    <row r="54" spans="1:19">
      <c r="A54" s="5">
        <v>2</v>
      </c>
      <c r="B54">
        <v>67.528999999999996</v>
      </c>
      <c r="C54">
        <v>180.39699999999999</v>
      </c>
      <c r="D54">
        <v>216.31700000000001</v>
      </c>
      <c r="E54">
        <v>248.23099999999999</v>
      </c>
      <c r="F54">
        <v>332.70299999999997</v>
      </c>
      <c r="G54">
        <v>380.45299999999997</v>
      </c>
      <c r="H54">
        <v>412.99799999999999</v>
      </c>
      <c r="I54">
        <v>534.43799999999999</v>
      </c>
      <c r="J54">
        <v>782.28700000000003</v>
      </c>
      <c r="K54">
        <v>782.66800000000001</v>
      </c>
      <c r="L54">
        <v>673.73099999999999</v>
      </c>
      <c r="M54">
        <v>1029.124</v>
      </c>
      <c r="N54">
        <v>470.07300000000004</v>
      </c>
    </row>
    <row r="55" spans="1:19">
      <c r="A55" s="5">
        <v>3</v>
      </c>
      <c r="B55">
        <v>120.04600000000001</v>
      </c>
      <c r="C55">
        <v>299.61500000000001</v>
      </c>
      <c r="D55">
        <v>337.68200000000002</v>
      </c>
      <c r="E55">
        <v>464.56400000000002</v>
      </c>
      <c r="F55">
        <v>516.31100000000004</v>
      </c>
      <c r="G55">
        <v>622.24900000000002</v>
      </c>
      <c r="H55">
        <v>678.52</v>
      </c>
      <c r="I55">
        <v>774.30899999999997</v>
      </c>
      <c r="J55">
        <v>1068.5129999999999</v>
      </c>
      <c r="K55">
        <v>1101.644</v>
      </c>
      <c r="L55">
        <v>1304.153</v>
      </c>
      <c r="M55">
        <v>1390.713</v>
      </c>
      <c r="N55">
        <v>723.19325000000015</v>
      </c>
    </row>
    <row r="56" spans="1:19">
      <c r="A56" s="5">
        <v>4</v>
      </c>
      <c r="B56">
        <v>168.58099999999999</v>
      </c>
      <c r="C56">
        <v>330.06200000000001</v>
      </c>
      <c r="D56">
        <v>419.76100000000002</v>
      </c>
      <c r="E56">
        <v>543.93100000000004</v>
      </c>
      <c r="F56">
        <v>697.72</v>
      </c>
      <c r="G56">
        <v>760.26900000000001</v>
      </c>
      <c r="H56">
        <v>931.16099999999994</v>
      </c>
      <c r="I56">
        <v>1011.24</v>
      </c>
      <c r="J56">
        <v>1080.3240000000001</v>
      </c>
      <c r="K56">
        <v>1351.3230000000001</v>
      </c>
      <c r="L56">
        <v>1580.027</v>
      </c>
      <c r="M56">
        <v>1795.845</v>
      </c>
      <c r="N56">
        <v>889.18700000000001</v>
      </c>
    </row>
    <row r="57" spans="1:19">
      <c r="A57" s="5">
        <v>5</v>
      </c>
      <c r="B57">
        <v>205.304</v>
      </c>
      <c r="C57">
        <v>422.47500000000002</v>
      </c>
      <c r="D57">
        <v>489.255</v>
      </c>
      <c r="E57">
        <v>635.38199999999995</v>
      </c>
      <c r="F57">
        <v>787.32500000000005</v>
      </c>
      <c r="G57">
        <v>896.36199999999997</v>
      </c>
      <c r="H57">
        <v>1015.797</v>
      </c>
      <c r="I57">
        <v>1144.258</v>
      </c>
      <c r="J57">
        <v>1299.751</v>
      </c>
      <c r="K57">
        <v>1633.665</v>
      </c>
      <c r="L57">
        <v>1621.2909999999999</v>
      </c>
      <c r="M57">
        <v>2263.87</v>
      </c>
      <c r="N57">
        <v>1034.56125</v>
      </c>
    </row>
    <row r="58" spans="1:19">
      <c r="A58" s="5">
        <v>6</v>
      </c>
      <c r="B58">
        <v>220.39699999999999</v>
      </c>
      <c r="C58">
        <v>453.637</v>
      </c>
      <c r="D58">
        <v>537.26300000000003</v>
      </c>
      <c r="E58">
        <v>685.63</v>
      </c>
      <c r="F58">
        <v>850.68200000000002</v>
      </c>
      <c r="G58">
        <v>911.02300000000002</v>
      </c>
      <c r="H58">
        <v>1049.4939999999999</v>
      </c>
      <c r="I58">
        <v>1283.9749999999999</v>
      </c>
      <c r="J58">
        <v>1396.056</v>
      </c>
      <c r="K58">
        <v>1554.798</v>
      </c>
      <c r="L58">
        <v>1676.3050000000001</v>
      </c>
      <c r="M58">
        <v>2230.2069999999999</v>
      </c>
      <c r="N58">
        <v>1070.7889166666669</v>
      </c>
    </row>
    <row r="59" spans="1:19">
      <c r="A59" s="5">
        <v>7</v>
      </c>
      <c r="B59">
        <v>256.15699999999998</v>
      </c>
      <c r="C59">
        <v>499.42599999999999</v>
      </c>
      <c r="D59">
        <v>586.91800000000001</v>
      </c>
      <c r="E59">
        <v>681.44200000000001</v>
      </c>
      <c r="F59">
        <v>872.39099999999996</v>
      </c>
      <c r="G59">
        <v>1006.566</v>
      </c>
      <c r="H59">
        <v>1059.8620000000001</v>
      </c>
      <c r="I59">
        <v>1432.732</v>
      </c>
      <c r="J59">
        <v>1484.086</v>
      </c>
      <c r="K59">
        <v>1742.078</v>
      </c>
      <c r="L59">
        <v>1718.223</v>
      </c>
      <c r="M59">
        <v>2592.2370000000001</v>
      </c>
      <c r="N59">
        <v>1161.0098333333333</v>
      </c>
    </row>
    <row r="60" spans="1:19">
      <c r="A60" s="5">
        <v>8</v>
      </c>
      <c r="B60">
        <v>256.13400000000001</v>
      </c>
      <c r="C60">
        <v>468.33800000000002</v>
      </c>
      <c r="D60">
        <v>541.73599999999999</v>
      </c>
      <c r="E60">
        <v>659.89300000000003</v>
      </c>
      <c r="F60">
        <v>791.31100000000004</v>
      </c>
      <c r="G60">
        <v>962.98800000000006</v>
      </c>
      <c r="H60">
        <v>1000.546</v>
      </c>
      <c r="I60">
        <v>1326.5619999999999</v>
      </c>
      <c r="J60">
        <v>1407.7429999999999</v>
      </c>
      <c r="K60">
        <v>1556.403</v>
      </c>
      <c r="L60">
        <v>1749.93</v>
      </c>
      <c r="M60">
        <v>2302.8539999999998</v>
      </c>
      <c r="N60">
        <v>1085.3698333333334</v>
      </c>
    </row>
    <row r="61" spans="1:19">
      <c r="A61" s="5">
        <v>9</v>
      </c>
      <c r="B61">
        <v>229.17099999999999</v>
      </c>
      <c r="C61">
        <v>373.91800000000001</v>
      </c>
      <c r="D61">
        <v>426.28</v>
      </c>
      <c r="E61">
        <v>565.38800000000003</v>
      </c>
      <c r="F61">
        <v>648.55499999999995</v>
      </c>
      <c r="G61">
        <v>759.49599999999998</v>
      </c>
      <c r="H61">
        <v>792.77200000000005</v>
      </c>
      <c r="I61">
        <v>1177.0060000000001</v>
      </c>
      <c r="J61">
        <v>1200.6199999999999</v>
      </c>
      <c r="K61">
        <v>1273.5</v>
      </c>
      <c r="L61">
        <v>1466.2729999999999</v>
      </c>
      <c r="M61">
        <v>1838.6089999999999</v>
      </c>
      <c r="N61">
        <v>895.96566666666661</v>
      </c>
    </row>
    <row r="62" spans="1:19">
      <c r="A62" s="5">
        <v>10</v>
      </c>
      <c r="B62">
        <v>182.74</v>
      </c>
      <c r="C62">
        <v>268.863</v>
      </c>
      <c r="D62">
        <v>306.16500000000002</v>
      </c>
      <c r="E62">
        <v>428.78399999999999</v>
      </c>
      <c r="F62">
        <v>478.99799999999999</v>
      </c>
      <c r="G62">
        <v>551.00199999999995</v>
      </c>
      <c r="H62">
        <v>652.53399999999999</v>
      </c>
      <c r="I62">
        <v>810.06700000000001</v>
      </c>
      <c r="J62">
        <v>822.01900000000001</v>
      </c>
      <c r="K62">
        <v>809.23400000000004</v>
      </c>
      <c r="L62">
        <v>1248.9770000000001</v>
      </c>
      <c r="M62">
        <v>1319.37</v>
      </c>
      <c r="N62">
        <v>656.56275000000005</v>
      </c>
    </row>
    <row r="63" spans="1:19">
      <c r="A63" s="5">
        <v>11</v>
      </c>
      <c r="B63">
        <v>105.379</v>
      </c>
      <c r="C63">
        <v>159.749</v>
      </c>
      <c r="D63">
        <v>176.309</v>
      </c>
      <c r="E63">
        <v>227.435</v>
      </c>
      <c r="F63">
        <v>323.54300000000001</v>
      </c>
      <c r="G63">
        <v>315.50599999999997</v>
      </c>
      <c r="H63">
        <v>400.92599999999999</v>
      </c>
      <c r="I63">
        <v>499.14400000000001</v>
      </c>
      <c r="J63">
        <v>559.28300000000002</v>
      </c>
      <c r="K63">
        <v>697.01300000000003</v>
      </c>
      <c r="L63">
        <v>704.46</v>
      </c>
      <c r="M63">
        <v>848.82399999999996</v>
      </c>
      <c r="N63">
        <v>418.13091666666656</v>
      </c>
    </row>
    <row r="64" spans="1:19">
      <c r="A64" s="5">
        <v>12</v>
      </c>
      <c r="B64">
        <v>82.69</v>
      </c>
      <c r="C64">
        <v>121.908</v>
      </c>
      <c r="D64">
        <v>160.041</v>
      </c>
      <c r="E64">
        <v>181.53299999999999</v>
      </c>
      <c r="F64">
        <v>211.76</v>
      </c>
      <c r="G64">
        <v>251.57</v>
      </c>
      <c r="H64">
        <v>295.327</v>
      </c>
      <c r="I64">
        <v>370.54899999999998</v>
      </c>
      <c r="J64">
        <v>490.09699999999998</v>
      </c>
      <c r="K64">
        <v>374.11500000000001</v>
      </c>
      <c r="L64">
        <v>588.28599999999994</v>
      </c>
      <c r="M64">
        <v>604.49699999999996</v>
      </c>
      <c r="N64">
        <v>311.03108333333336</v>
      </c>
    </row>
    <row r="65" spans="1:14">
      <c r="A65" s="5" t="s">
        <v>5723</v>
      </c>
      <c r="B65">
        <v>161.37825000000001</v>
      </c>
      <c r="C65">
        <v>307.25650000000002</v>
      </c>
      <c r="D65">
        <v>361.40466666666674</v>
      </c>
      <c r="E65">
        <v>457.26616666666672</v>
      </c>
      <c r="F65">
        <v>561.60858333333329</v>
      </c>
      <c r="G65">
        <v>638.81658333333337</v>
      </c>
      <c r="H65">
        <v>717.31916666666666</v>
      </c>
      <c r="I65">
        <v>891.29424999999992</v>
      </c>
      <c r="J65">
        <v>1007.6670833333333</v>
      </c>
      <c r="K65">
        <v>1116.7248333333334</v>
      </c>
      <c r="L65">
        <v>1234.3367500000002</v>
      </c>
      <c r="M65">
        <v>1583.4255000000001</v>
      </c>
      <c r="N65">
        <v>753.20819444444442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AF80-9611-4979-A8D2-A5507E17095B}">
  <dimension ref="A20:E44"/>
  <sheetViews>
    <sheetView tabSelected="1" topLeftCell="A34" zoomScaleNormal="100" workbookViewId="0">
      <selection activeCell="F15" sqref="F15"/>
    </sheetView>
  </sheetViews>
  <sheetFormatPr baseColWidth="10" defaultRowHeight="14.4"/>
  <cols>
    <col min="1" max="1" width="19.5546875" bestFit="1" customWidth="1"/>
    <col min="2" max="2" width="20.5546875" bestFit="1" customWidth="1"/>
    <col min="3" max="3" width="15.33203125" bestFit="1" customWidth="1"/>
    <col min="4" max="4" width="16.21875" bestFit="1" customWidth="1"/>
    <col min="5" max="5" width="22.88671875" bestFit="1" customWidth="1"/>
    <col min="6" max="6" width="23.77734375" bestFit="1" customWidth="1"/>
    <col min="7" max="7" width="16.88671875" bestFit="1" customWidth="1"/>
  </cols>
  <sheetData>
    <row r="20" spans="1:5">
      <c r="A20" s="4" t="s">
        <v>5722</v>
      </c>
      <c r="B20" t="s">
        <v>5729</v>
      </c>
      <c r="C20" t="s">
        <v>5730</v>
      </c>
      <c r="D20" t="s">
        <v>5731</v>
      </c>
      <c r="E20" t="s">
        <v>5735</v>
      </c>
    </row>
    <row r="21" spans="1:5">
      <c r="A21" s="5">
        <v>2006</v>
      </c>
      <c r="B21">
        <v>62440.582000000009</v>
      </c>
      <c r="C21">
        <v>2169.3900000000003</v>
      </c>
      <c r="D21">
        <v>0</v>
      </c>
      <c r="E21">
        <v>454801.94633333338</v>
      </c>
    </row>
    <row r="22" spans="1:5">
      <c r="A22" s="5">
        <v>2007</v>
      </c>
      <c r="B22">
        <v>64442.74</v>
      </c>
      <c r="C22">
        <v>4140.7439999999997</v>
      </c>
      <c r="D22">
        <v>0</v>
      </c>
      <c r="E22">
        <v>444352.59299999994</v>
      </c>
    </row>
    <row r="23" spans="1:5">
      <c r="A23" s="5">
        <v>2008</v>
      </c>
      <c r="B23">
        <v>69221.323000000004</v>
      </c>
      <c r="C23">
        <v>5711.0289999999995</v>
      </c>
      <c r="D23">
        <v>0</v>
      </c>
      <c r="E23">
        <v>444000.19366666669</v>
      </c>
    </row>
    <row r="24" spans="1:5">
      <c r="A24" s="5">
        <v>2009</v>
      </c>
      <c r="B24">
        <v>62741.931000000004</v>
      </c>
      <c r="C24">
        <v>7596.3679999999995</v>
      </c>
      <c r="D24">
        <v>0</v>
      </c>
      <c r="E24">
        <v>414348.80166666664</v>
      </c>
    </row>
    <row r="25" spans="1:5">
      <c r="A25" s="5">
        <v>2010</v>
      </c>
      <c r="B25">
        <v>68558.691999999995</v>
      </c>
      <c r="C25">
        <v>9413.6940000000013</v>
      </c>
      <c r="D25">
        <v>0</v>
      </c>
      <c r="E25">
        <v>432722.73699999996</v>
      </c>
    </row>
    <row r="26" spans="1:5">
      <c r="A26" s="5">
        <v>2011</v>
      </c>
      <c r="B26">
        <v>51084.694000000003</v>
      </c>
      <c r="C26">
        <v>11626.093999999999</v>
      </c>
      <c r="D26">
        <v>1936.539</v>
      </c>
      <c r="E26">
        <v>446627.84233333339</v>
      </c>
    </row>
    <row r="27" spans="1:5">
      <c r="A27" s="5">
        <v>2012</v>
      </c>
      <c r="B27">
        <v>64450.890999999996</v>
      </c>
      <c r="C27">
        <v>14302.527</v>
      </c>
      <c r="D27">
        <v>3687.078</v>
      </c>
      <c r="E27">
        <v>429777.31599999999</v>
      </c>
    </row>
    <row r="28" spans="1:5">
      <c r="A28" s="5">
        <v>2013</v>
      </c>
      <c r="B28">
        <v>75357.467000000004</v>
      </c>
      <c r="C28">
        <v>15212.403</v>
      </c>
      <c r="D28">
        <v>4336.8559999999998</v>
      </c>
      <c r="E28">
        <v>428041.15633333329</v>
      </c>
    </row>
    <row r="29" spans="1:5">
      <c r="A29" s="5">
        <v>2014</v>
      </c>
      <c r="B29">
        <v>68247.724000000002</v>
      </c>
      <c r="C29">
        <v>16171.319</v>
      </c>
      <c r="D29">
        <v>5487.1939999999995</v>
      </c>
      <c r="E29">
        <v>440365.81533333333</v>
      </c>
    </row>
    <row r="30" spans="1:5">
      <c r="A30" s="5">
        <v>2015</v>
      </c>
      <c r="B30">
        <v>59337.802999999993</v>
      </c>
      <c r="C30">
        <v>20170.422999999999</v>
      </c>
      <c r="D30">
        <v>6739.302999999999</v>
      </c>
      <c r="E30">
        <v>441926.12633333332</v>
      </c>
    </row>
    <row r="31" spans="1:5">
      <c r="A31" s="5">
        <v>2016</v>
      </c>
      <c r="B31">
        <v>64358.935000000005</v>
      </c>
      <c r="C31">
        <v>19888.056</v>
      </c>
      <c r="D31">
        <v>7665.799</v>
      </c>
      <c r="E31">
        <v>407355.52999999997</v>
      </c>
    </row>
    <row r="32" spans="1:5">
      <c r="A32" s="5">
        <v>2017</v>
      </c>
      <c r="B32">
        <v>53911.704999999987</v>
      </c>
      <c r="C32">
        <v>22599.117000000002</v>
      </c>
      <c r="D32">
        <v>8607.83</v>
      </c>
      <c r="E32">
        <v>402452.04533333337</v>
      </c>
    </row>
    <row r="33" spans="1:5">
      <c r="A33" s="5">
        <v>2018</v>
      </c>
      <c r="B33">
        <v>70334.986999999994</v>
      </c>
      <c r="C33">
        <v>27875.742000000002</v>
      </c>
      <c r="D33">
        <v>10695.530999999999</v>
      </c>
      <c r="E33">
        <v>417208.00866666663</v>
      </c>
    </row>
    <row r="34" spans="1:5">
      <c r="A34" s="5">
        <v>2019</v>
      </c>
      <c r="B34">
        <v>61645.132000000005</v>
      </c>
      <c r="C34">
        <v>34313.510999999999</v>
      </c>
      <c r="D34">
        <v>12092.005000000003</v>
      </c>
      <c r="E34">
        <v>403114.46033333335</v>
      </c>
    </row>
    <row r="35" spans="1:5">
      <c r="A35" s="5">
        <v>2020</v>
      </c>
      <c r="B35">
        <v>66786.862999999998</v>
      </c>
      <c r="C35">
        <v>39733.923999999999</v>
      </c>
      <c r="D35">
        <v>13400.698</v>
      </c>
      <c r="E35">
        <v>357471.18566666672</v>
      </c>
    </row>
    <row r="36" spans="1:5">
      <c r="A36" s="5">
        <v>2021</v>
      </c>
      <c r="B36">
        <v>64222.131999999998</v>
      </c>
      <c r="C36">
        <v>36931.260000000009</v>
      </c>
      <c r="D36">
        <v>14812.040999999999</v>
      </c>
      <c r="E36">
        <v>383262.10933333338</v>
      </c>
    </row>
    <row r="37" spans="1:5">
      <c r="A37" s="5">
        <v>2022</v>
      </c>
      <c r="B37">
        <v>51089.892</v>
      </c>
      <c r="C37">
        <v>38038.797999999995</v>
      </c>
      <c r="D37">
        <v>19001.106</v>
      </c>
      <c r="E37">
        <v>297761.63699999999</v>
      </c>
    </row>
    <row r="38" spans="1:5">
      <c r="A38" s="5" t="s">
        <v>5723</v>
      </c>
      <c r="B38">
        <v>1078233.493</v>
      </c>
      <c r="C38">
        <v>325894.39900000003</v>
      </c>
      <c r="D38">
        <v>108461.98</v>
      </c>
      <c r="E38">
        <v>7045589.5043333331</v>
      </c>
    </row>
    <row r="40" spans="1:5">
      <c r="A40" t="s">
        <v>5732</v>
      </c>
      <c r="B40" t="s">
        <v>5733</v>
      </c>
    </row>
    <row r="41" spans="1:5">
      <c r="A41" t="s">
        <v>6</v>
      </c>
      <c r="B41">
        <f>AVERAGE(Production!E:E)/3</f>
        <v>34537.203452614391</v>
      </c>
    </row>
    <row r="42" spans="1:5">
      <c r="A42" t="s">
        <v>3</v>
      </c>
      <c r="B42">
        <f>AVERAGE(Production!B:B)</f>
        <v>5285.4582990196095</v>
      </c>
    </row>
    <row r="43" spans="1:5">
      <c r="A43" t="s">
        <v>4</v>
      </c>
      <c r="B43">
        <f>MEDIAN(Production!C:C)</f>
        <v>1302.405</v>
      </c>
    </row>
    <row r="44" spans="1:5">
      <c r="A44" t="s">
        <v>5</v>
      </c>
      <c r="B44">
        <f>AVERAGE(Production!D:D)</f>
        <v>753.20819444444464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846C60-C3D7-4701-975E-1396ED8C1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_4_2_Synthese_Electricite_2026_</vt:lpstr>
      <vt:lpstr>Production</vt:lpstr>
      <vt:lpstr>Stats_1var</vt:lpstr>
      <vt:lpstr>Saisonnalite</vt:lpstr>
      <vt:lpstr>Graphiques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Moal</dc:creator>
  <cp:lastModifiedBy>Noa Moal</cp:lastModifiedBy>
  <dcterms:created xsi:type="dcterms:W3CDTF">2026-05-06T09:44:55Z</dcterms:created>
  <dcterms:modified xsi:type="dcterms:W3CDTF">2026-05-10T19:00:25Z</dcterms:modified>
</cp:coreProperties>
</file>