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valenza/Library/CloudStorage/GoogleDrive-zeightly@gmail.com/Mon Drive/SAE 204 Stats/Dylan/"/>
    </mc:Choice>
  </mc:AlternateContent>
  <xr:revisionPtr revIDLastSave="0" documentId="13_ncr:1_{9FDE70EF-94CC-1643-A4C1-8D16D48A22BA}" xr6:coauthVersionLast="47" xr6:coauthVersionMax="47" xr10:uidLastSave="{00000000-0000-0000-0000-000000000000}"/>
  <bookViews>
    <workbookView xWindow="19560" yWindow="29460" windowWidth="29400" windowHeight="18460" activeTab="2" xr2:uid="{B60E5306-3FC3-A949-9490-8E6F3A7623D9}"/>
  </bookViews>
  <sheets>
    <sheet name="4 1 Synthese-toutes-energies 20" sheetId="2" r:id="rId1"/>
    <sheet name="Statistiques à une variable" sheetId="1" r:id="rId2"/>
    <sheet name="Mix énergétique moyen par année" sheetId="6" r:id="rId3"/>
    <sheet name="Emissions CO2" sheetId="5" r:id="rId4"/>
    <sheet name="Import Exports par année" sheetId="14" r:id="rId5"/>
    <sheet name="Statistiques à deux variables" sheetId="8" r:id="rId6"/>
  </sheets>
  <definedNames>
    <definedName name="DonnéesExternes_1" localSheetId="0" hidden="1">'4 1 Synthese-toutes-energies 20'!$A$1:$R$207</definedName>
  </definedNames>
  <calcPr calcId="181029"/>
  <pivotCaches>
    <pivotCache cacheId="9" r:id="rId7"/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2" l="1"/>
  <c r="X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3" i="2"/>
  <c r="D5" i="8"/>
  <c r="D4" i="8"/>
  <c r="D3" i="8"/>
  <c r="D2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O3" i="2"/>
  <c r="C2" i="8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B5" i="8"/>
  <c r="B4" i="8"/>
  <c r="B3" i="8"/>
  <c r="B2" i="8"/>
  <c r="E9" i="1"/>
  <c r="E8" i="1"/>
  <c r="E6" i="1"/>
  <c r="E5" i="1"/>
  <c r="E3" i="1"/>
  <c r="B9" i="1"/>
  <c r="B8" i="1"/>
  <c r="B6" i="1"/>
  <c r="B5" i="1"/>
  <c r="B4" i="1"/>
  <c r="B3" i="1"/>
  <c r="B2" i="1"/>
  <c r="E2" i="1"/>
  <c r="D2" i="1"/>
  <c r="D8" i="1"/>
  <c r="D9" i="1"/>
  <c r="C9" i="1"/>
  <c r="C8" i="1"/>
  <c r="D3" i="1"/>
  <c r="D4" i="1"/>
  <c r="D5" i="1"/>
  <c r="D6" i="1"/>
  <c r="C6" i="1"/>
  <c r="C5" i="1"/>
  <c r="C4" i="1"/>
  <c r="C3" i="1"/>
  <c r="C2" i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E24" i="6"/>
  <c r="D24" i="6"/>
  <c r="C24" i="6"/>
  <c r="B24" i="6"/>
  <c r="C10" i="1" l="1"/>
  <c r="C7" i="1"/>
  <c r="E4" i="1"/>
  <c r="E10" i="1" s="1"/>
  <c r="D7" i="1"/>
  <c r="D10" i="1"/>
  <c r="B10" i="1"/>
  <c r="B7" i="1"/>
  <c r="E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B38E3-6091-984F-AF03-3A4E528275CF}" keepAlive="1" name="Requête - 4 1 Synthese-toutes-energies 2026-04" description="Connexion à la requête « 4 1 Synthese-toutes-energies 2026-04 » dans le classeur." type="5" refreshedVersion="8" background="1" saveData="1">
    <dbPr connection="Provider=Microsoft.Mashup.OleDb.1;Data Source=$Workbook$;Location=&quot;4 1 Synthese-toutes-energies 2026-04&quot;;Extended Properties=&quot;&quot;" command="SELECT * FROM [4 1 Synthese-toutes-energies 2026-04]"/>
  </connection>
</connections>
</file>

<file path=xl/sharedStrings.xml><?xml version="1.0" encoding="utf-8"?>
<sst xmlns="http://schemas.openxmlformats.org/spreadsheetml/2006/main" count="391" uniqueCount="289">
  <si>
    <t>Période</t>
  </si>
  <si>
    <t>PERIODE</t>
  </si>
  <si>
    <t>PROD_ENER_SYNT</t>
  </si>
  <si>
    <t>PROD_CMS_SYNT</t>
  </si>
  <si>
    <t>PROD_PETRO_SYNT</t>
  </si>
  <si>
    <t>PROD_GAZ_SYNT</t>
  </si>
  <si>
    <t>PRODB_NUCL_SYNT</t>
  </si>
  <si>
    <t>PRODB_ELE_SYNT</t>
  </si>
  <si>
    <t>QIMP_ENER_SYNT</t>
  </si>
  <si>
    <t>QEXP_ENER_SYNT</t>
  </si>
  <si>
    <t>CP_ENER_SYNT</t>
  </si>
  <si>
    <t>CI_CMS_SYNT</t>
  </si>
  <si>
    <t>CONSO_PETRO_SYNT</t>
  </si>
  <si>
    <t>CONSO_GAZ_SYNT</t>
  </si>
  <si>
    <t>CONSO_ELE_SYNT</t>
  </si>
  <si>
    <t>ECO2</t>
  </si>
  <si>
    <t>TAUXIND_ENER_CUM</t>
  </si>
  <si>
    <t>0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</si>
  <si>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</si>
  <si>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</si>
  <si>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</si>
  <si>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</si>
  <si>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</si>
  <si>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</si>
  <si>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</si>
  <si>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</si>
  <si>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</si>
  <si>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</si>
  <si>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</si>
  <si>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</si>
  <si>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</si>
  <si>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</si>
  <si>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</si>
  <si>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</si>
  <si>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</si>
  <si>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</si>
  <si>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</si>
  <si>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</si>
  <si>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</si>
  <si>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</si>
  <si>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</si>
  <si>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</si>
  <si>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</si>
  <si>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</si>
  <si>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</si>
  <si>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5286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</si>
  <si>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</si>
  <si>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</si>
  <si>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</si>
  <si>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</si>
  <si>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</si>
  <si>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</si>
  <si>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</si>
  <si>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</si>
  <si>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</si>
  <si>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</si>
  <si>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</si>
  <si>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</si>
  <si>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</si>
  <si>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</si>
  <si>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</si>
  <si>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</si>
  <si>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</si>
  <si>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</si>
  <si>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</si>
  <si>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</si>
  <si>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</si>
  <si>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136813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</si>
  <si>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</si>
  <si>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</si>
  <si>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</si>
  <si>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</si>
  <si>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</si>
  <si>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</si>
  <si>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</si>
  <si>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</si>
  <si>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135015</t>
  </si>
  <si>
    <t>2018-04</t>
  </si>
  <si>
    <t>28028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</si>
  <si>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</si>
  <si>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</si>
  <si>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</si>
  <si>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</si>
  <si>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</si>
  <si>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</si>
  <si>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</si>
  <si>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</si>
  <si>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</si>
  <si>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</si>
  <si>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</si>
  <si>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</si>
  <si>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</si>
  <si>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</si>
  <si>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</si>
  <si>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</si>
  <si>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</si>
  <si>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</si>
  <si>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</si>
  <si>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</si>
  <si>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</si>
  <si>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</si>
  <si>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</si>
  <si>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</si>
  <si>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</si>
  <si>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</si>
  <si>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</si>
  <si>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</si>
  <si>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</si>
  <si>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</si>
  <si>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</si>
  <si>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</si>
  <si>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</si>
  <si>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</si>
  <si>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</si>
  <si>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</si>
  <si>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</si>
  <si>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</si>
  <si>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</si>
  <si>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</si>
  <si>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</si>
  <si>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</si>
  <si>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</si>
  <si>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</si>
  <si>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</si>
  <si>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</si>
  <si>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</si>
  <si>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</si>
  <si>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</si>
  <si>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</si>
  <si>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</si>
  <si>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</si>
  <si>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</si>
  <si>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</si>
  <si>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</si>
  <si>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</si>
  <si>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</si>
  <si>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</si>
  <si>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</si>
  <si>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</si>
  <si>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</si>
  <si>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</si>
  <si>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</si>
  <si>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</si>
  <si>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</si>
  <si>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</si>
  <si>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</si>
  <si>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</si>
  <si>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</si>
  <si>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</si>
  <si>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</si>
  <si>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</si>
  <si>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</si>
  <si>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</si>
  <si>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</si>
  <si>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</si>
  <si>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</si>
  <si>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</si>
  <si>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</si>
  <si>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</si>
  <si>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</si>
  <si>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</si>
  <si>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</si>
  <si>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</si>
  <si>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</si>
  <si>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</si>
  <si>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</si>
  <si>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</si>
  <si>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</si>
  <si>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</si>
  <si>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</si>
  <si>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</si>
  <si>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</si>
  <si>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</si>
  <si>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</si>
  <si>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</si>
  <si>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</si>
  <si>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</si>
  <si>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</si>
  <si>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</si>
  <si>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</si>
  <si>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</si>
  <si>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</si>
  <si>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</si>
  <si>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</si>
  <si>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</si>
  <si>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</si>
  <si>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</si>
  <si>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</si>
  <si>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</si>
  <si>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</si>
  <si>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</si>
  <si>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</si>
  <si>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</si>
  <si>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</si>
  <si>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</si>
  <si>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</si>
  <si>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</si>
  <si>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</si>
  <si>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</si>
  <si>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</si>
  <si>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</si>
  <si>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</si>
  <si>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</si>
  <si>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</si>
  <si>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</si>
  <si>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</si>
  <si>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</si>
  <si>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</si>
  <si>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</si>
  <si>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</si>
  <si>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</si>
  <si>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</si>
  <si>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</si>
  <si>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</si>
  <si>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</si>
  <si>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</si>
  <si>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</si>
  <si>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</si>
  <si>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</si>
  <si>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</si>
  <si>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</si>
  <si>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</si>
  <si>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</si>
  <si>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</si>
  <si>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48</t>
  </si>
  <si>
    <t>2006-02</t>
  </si>
  <si>
    <t>2006-01</t>
  </si>
  <si>
    <t>Colonne1</t>
  </si>
  <si>
    <t>Année</t>
  </si>
  <si>
    <t>Mois</t>
  </si>
  <si>
    <t>Part charbon</t>
  </si>
  <si>
    <t>1, Production totale</t>
  </si>
  <si>
    <t>1,1 Production charbon</t>
  </si>
  <si>
    <t>1,2 Production  pétrole</t>
  </si>
  <si>
    <t>1,3 Production gaz</t>
  </si>
  <si>
    <t>1,4 Production nucléaire</t>
  </si>
  <si>
    <t>1,5 Production ENR</t>
  </si>
  <si>
    <t>2,1 Imports total</t>
  </si>
  <si>
    <t>2,2 Exports total</t>
  </si>
  <si>
    <t>4, Conso totale</t>
  </si>
  <si>
    <t>4,1 Conso charbon</t>
  </si>
  <si>
    <t>4,2 Conso pétrole</t>
  </si>
  <si>
    <t>4,3 Conso gaz</t>
  </si>
  <si>
    <t>4,4 Conso nucléaire + ENR</t>
  </si>
  <si>
    <t>5, Emissions CO2</t>
  </si>
  <si>
    <t>10, Taux d'indépendance</t>
  </si>
  <si>
    <t>Part pétrole</t>
  </si>
  <si>
    <t>Part Gaz</t>
  </si>
  <si>
    <t>Part Nucléaire ENR</t>
  </si>
  <si>
    <t>Solde commercial</t>
  </si>
  <si>
    <t>CO2 par GWh</t>
  </si>
  <si>
    <t>Moyenne</t>
  </si>
  <si>
    <t>Médiane</t>
  </si>
  <si>
    <t>Conso_Totale</t>
  </si>
  <si>
    <t>Emissions_CO2</t>
  </si>
  <si>
    <t>Taux_Independance</t>
  </si>
  <si>
    <t>Imports_Total</t>
  </si>
  <si>
    <t>Écart-type</t>
  </si>
  <si>
    <t>Coef. de variation</t>
  </si>
  <si>
    <t>Max</t>
  </si>
  <si>
    <t>Etendue</t>
  </si>
  <si>
    <t>Min</t>
  </si>
  <si>
    <t>Q3</t>
  </si>
  <si>
    <t>Q1</t>
  </si>
  <si>
    <t>Étiquettes de lignes</t>
  </si>
  <si>
    <t>Total général</t>
  </si>
  <si>
    <t>Moyennes</t>
  </si>
  <si>
    <t>Conso charbon</t>
  </si>
  <si>
    <t>Conso pétrole</t>
  </si>
  <si>
    <t>Conso gaz</t>
  </si>
  <si>
    <t>Conso nucléaire + ENR</t>
  </si>
  <si>
    <t>Sommes</t>
  </si>
  <si>
    <t>Coefficient de correlation</t>
  </si>
  <si>
    <t>Coefficient de détermination</t>
  </si>
  <si>
    <t>Pente de la droite</t>
  </si>
  <si>
    <t>Ordonnée à l'origine</t>
  </si>
  <si>
    <t>Conso fossiles</t>
  </si>
  <si>
    <t>Consommation totale - Emission CO2</t>
  </si>
  <si>
    <t>Consommation fossiles - CO2</t>
  </si>
  <si>
    <t>Production nucléaire + ENR - Indépendance</t>
  </si>
  <si>
    <t>Production nucléaire + ENR</t>
  </si>
  <si>
    <t>Moyennes totales</t>
  </si>
  <si>
    <t xml:space="preserve"> Charbon</t>
  </si>
  <si>
    <t>Pétrole</t>
  </si>
  <si>
    <t>Gaz</t>
  </si>
  <si>
    <t>Nucléaire + ENR</t>
  </si>
  <si>
    <t>Imports total (en GWh)</t>
  </si>
  <si>
    <t>Exports total (en GWh)</t>
  </si>
  <si>
    <t>Moyenne des émissions CO2 (en 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</si>
</sst>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[Données_propres.xlsx]Mix énergétique moyen par année!Tableau croisé dynamique3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'Mix énergétique moyen par année'!$B$3</c:f>
              <c:strCache>
                <c:ptCount val="1"/>
                <c:pt idx="0">
                  <c:v>Conso charbon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'Mix énergétique moyen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'Mix énergétique moyen par année'!$B$4:$B$21</c:f>
              <c:numCache>
                <c:formatCode>General</c:formatCode>
                <c:ptCount val="17"/>
                <c:pt idx="0">
                  <c:v>12218.928999999998</c:v>
                </c:pt>
                <c:pt idx="1">
                  <c:v>12812.668666666665</c:v>
                </c:pt>
                <c:pt idx="2">
                  <c:v>11937.465000000002</c:v>
                </c:pt>
                <c:pt idx="3">
                  <c:v>10024.17575</c:v>
                </c:pt>
                <c:pt idx="4">
                  <c:v>10572.517249999999</c:v>
                </c:pt>
                <c:pt idx="5">
                  <c:v>8865.206416666666</c:v>
                </c:pt>
                <c:pt idx="6">
                  <c:v>9887.2260000000006</c:v>
                </c:pt>
                <c:pt idx="7">
                  <c:v>10493.818333333335</c:v>
                </c:pt>
                <c:pt idx="8">
                  <c:v>8098.090416666666</c:v>
                </c:pt>
                <c:pt idx="9">
                  <c:v>8378.4714166666672</c:v>
                </c:pt>
                <c:pt idx="10">
                  <c:v>7998.6869166666656</c:v>
                </c:pt>
                <c:pt idx="11">
                  <c:v>8720.2171666666691</c:v>
                </c:pt>
                <c:pt idx="12">
                  <c:v>8038.9015833333333</c:v>
                </c:pt>
                <c:pt idx="13">
                  <c:v>6387.4827500000001</c:v>
                </c:pt>
                <c:pt idx="14">
                  <c:v>5290.6178181818177</c:v>
                </c:pt>
                <c:pt idx="15">
                  <c:v>6629.4677499999998</c:v>
                </c:pt>
                <c:pt idx="16">
                  <c:v>5622.2667499999998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5-A542-81E1-893B3F4BB843}"/>
            </c:ext>
          </c:extLst>
        </c:ser>
        <c:ser>
          <c:idx val="1"/>
          <c:order val="1"/>
          <c:tx>
            <c:strRef>
              <c:f>'Mix énergétique moyen par année'!$C$3</c:f>
              <c:strCache>
                <c:ptCount val="1"/>
                <c:pt idx="0">
                  <c:v>Conso pétrole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'Mix énergétique moyen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'Mix énergétique moyen par année'!$C$4:$C$21</c:f>
              <c:numCache>
                <c:formatCode>General</c:formatCode>
                <c:ptCount val="17"/>
                <c:pt idx="0">
                  <c:v>83301.722333333339</c:v>
                </c:pt>
                <c:pt idx="1">
                  <c:v>81814.336333333325</c:v>
                </c:pt>
                <c:pt idx="2">
                  <c:v>81208.607166666654</c:v>
                </c:pt>
                <c:pt idx="3">
                  <c:v>77834.986499999999</c:v>
                </c:pt>
                <c:pt idx="4">
                  <c:v>76709.250916666657</c:v>
                </c:pt>
                <c:pt idx="5">
                  <c:v>75255.403999999995</c:v>
                </c:pt>
                <c:pt idx="6">
                  <c:v>74113.919499999989</c:v>
                </c:pt>
                <c:pt idx="7">
                  <c:v>73384.39675</c:v>
                </c:pt>
                <c:pt idx="8">
                  <c:v>71308.001833333328</c:v>
                </c:pt>
                <c:pt idx="9">
                  <c:v>72351.266166666654</c:v>
                </c:pt>
                <c:pt idx="10">
                  <c:v>72210.386166666663</c:v>
                </c:pt>
                <c:pt idx="11">
                  <c:v>72663.979166666686</c:v>
                </c:pt>
                <c:pt idx="12">
                  <c:v>73350.996333333344</c:v>
                </c:pt>
                <c:pt idx="13">
                  <c:v>73161.556916666668</c:v>
                </c:pt>
                <c:pt idx="14">
                  <c:v>61693.213416666666</c:v>
                </c:pt>
                <c:pt idx="15">
                  <c:v>67425.234416666673</c:v>
                </c:pt>
                <c:pt idx="16">
                  <c:v>66336.680416666655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5-A542-81E1-893B3F4BB843}"/>
            </c:ext>
          </c:extLst>
        </c:ser>
        <c:ser>
          <c:idx val="2"/>
          <c:order val="2"/>
          <c:tx>
            <c:strRef>
              <c:f>'Mix énergétique moyen par année'!$D$3</c:f>
              <c:strCache>
                <c:ptCount val="1"/>
                <c:pt idx="0">
                  <c:v>Conso 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'Mix énergétique moyen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'Mix énergétique moyen par année'!$D$4:$D$21</c:f>
              <c:numCache>
                <c:formatCode>General</c:formatCode>
                <c:ptCount val="17"/>
                <c:pt idx="0">
                  <c:v>37889.774416666674</c:v>
                </c:pt>
                <c:pt idx="1">
                  <c:v>36812.326583333335</c:v>
                </c:pt>
                <c:pt idx="2">
                  <c:v>38010.593666666675</c:v>
                </c:pt>
                <c:pt idx="3">
                  <c:v>36251.513500000001</c:v>
                </c:pt>
                <c:pt idx="4">
                  <c:v>40665.557000000008</c:v>
                </c:pt>
                <c:pt idx="5">
                  <c:v>35128.693166666664</c:v>
                </c:pt>
                <c:pt idx="6">
                  <c:v>36647.776666666665</c:v>
                </c:pt>
                <c:pt idx="7">
                  <c:v>37168.664916666668</c:v>
                </c:pt>
                <c:pt idx="8">
                  <c:v>31109.791083333334</c:v>
                </c:pt>
                <c:pt idx="9">
                  <c:v>33538.27416666667</c:v>
                </c:pt>
                <c:pt idx="10">
                  <c:v>36660.038083333333</c:v>
                </c:pt>
                <c:pt idx="11">
                  <c:v>36808.644333333337</c:v>
                </c:pt>
                <c:pt idx="12">
                  <c:v>35096.324416666663</c:v>
                </c:pt>
                <c:pt idx="13">
                  <c:v>35735.377</c:v>
                </c:pt>
                <c:pt idx="14">
                  <c:v>33168.847083333334</c:v>
                </c:pt>
                <c:pt idx="15">
                  <c:v>35206.837500000001</c:v>
                </c:pt>
                <c:pt idx="16">
                  <c:v>31775.548999999999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5-A542-81E1-893B3F4BB843}"/>
            </c:ext>
          </c:extLst>
        </c:ser>
        <c:ser>
          <c:idx val="3"/>
          <c:order val="3"/>
          <c:tx>
            <c:strRef>
              <c:f>'Mix énergétique moyen par année'!$E$3</c:f>
              <c:strCache>
                <c:ptCount val="1"/>
                <c:pt idx="0">
                  <c:v>Conso nucléaire + ENR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'Mix énergétique moyen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'Mix énergétique moyen par année'!$E$4:$E$21</c:f>
              <c:numCache>
                <c:formatCode>General</c:formatCode>
                <c:ptCount val="17"/>
                <c:pt idx="0">
                  <c:v>113783.61333333333</c:v>
                </c:pt>
                <c:pt idx="1">
                  <c:v>112049.58333333333</c:v>
                </c:pt>
                <c:pt idx="2">
                  <c:v>113245.27491666668</c:v>
                </c:pt>
                <c:pt idx="3">
                  <c:v>107286.75275</c:v>
                </c:pt>
                <c:pt idx="4">
                  <c:v>112115.58858333336</c:v>
                </c:pt>
                <c:pt idx="5">
                  <c:v>112282.79758333333</c:v>
                </c:pt>
                <c:pt idx="6">
                  <c:v>110543.02275</c:v>
                </c:pt>
                <c:pt idx="7">
                  <c:v>110861.22183333333</c:v>
                </c:pt>
                <c:pt idx="8">
                  <c:v>111952.06508333333</c:v>
                </c:pt>
                <c:pt idx="9">
                  <c:v>112307.48616666667</c:v>
                </c:pt>
                <c:pt idx="10">
                  <c:v>106009.38683333334</c:v>
                </c:pt>
                <c:pt idx="11">
                  <c:v>104333.06500000002</c:v>
                </c:pt>
                <c:pt idx="12">
                  <c:v>108104.1675</c:v>
                </c:pt>
                <c:pt idx="13">
                  <c:v>104945.53266666667</c:v>
                </c:pt>
                <c:pt idx="14">
                  <c:v>95592.662583333324</c:v>
                </c:pt>
                <c:pt idx="15">
                  <c:v>101715.93675000001</c:v>
                </c:pt>
                <c:pt idx="16">
                  <c:v>84673.646416666656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5-A542-81E1-893B3F4B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839168"/>
        <c:axId val="466832896"/>
      </c:barChart>
      <c:catAx>
        <c:axId val="4668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832896"/>
        <c:crosses val="autoZero"/>
        <c:auto val="1"/>
        <c:lblAlgn val="ctr"/>
        <c:lblOffset val="100"/>
        <c:noMultiLvlLbl val="0"/>
      </c:catAx>
      <c:valAx>
        <c:axId val="4668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8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Mix de consommation énergétique moyen en France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'Mix énergétique moyen par année'!$A$23:$E$23</c:f>
              <c:strCache>
                <c:ptCount val="5"/>
                <c:pt idx="0">
                  <c:v>Moyennes totales</c:v>
                </c:pt>
                <c:pt idx="1">
                  <c:v> Charbon</c:v>
                </c:pt>
                <c:pt idx="2">
                  <c:v>Pétrole</c:v>
                </c:pt>
                <c:pt idx="3">
                  <c:v>Gaz</c:v>
                </c:pt>
                <c:pt idx="4">
                  <c:v>Nucléaire + ENR</c:v>
                </c:pt>
              </c:strCache>
            </c:strRef>
          </c:cat>
          <c:val>
            <c:numRef>
              <c:f>'Mix énergétique moyen par année'!$A$24:$E$24</c:f>
              <c:numCache>
                <c:formatCode>General</c:formatCode>
                <c:ptCount val="5"/>
                <c:pt idx="1">
                  <c:v>8957.7531527093543</c:v>
                </c:pt>
                <c:pt idx="2">
                  <c:v>73771.996372549009</c:v>
                </c:pt>
                <c:pt idx="3">
                  <c:v>35745.56368137255</c:v>
                </c:pt>
                <c:pt idx="4">
                  <c:v>107164.81200490192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8-0C46-AFA9-F20CC25B71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[Données_propres.xlsx]Emissions CO2!Tableau croisé dynamique2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 des émissions de CO2 dues à la consommation d'énergie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'Emissions CO2'!$B$3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'Emissions CO2'!$A$4:$A$21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'Emissions CO2'!$B$4:$B$21</c:f>
              <c:numCache>
                <c:formatCode>General</c:formatCode>
                <c:ptCount val="17"/>
                <c:pt idx="0">
                  <c:v>365385.38200000004</c:v>
                </c:pt>
                <c:pt idx="1">
                  <c:v>359144.87699999998</c:v>
                </c:pt>
                <c:pt idx="2">
                  <c:v>359636.73100000003</c:v>
                </c:pt>
                <c:pt idx="3">
                  <c:v>341974.174</c:v>
                </c:pt>
                <c:pt idx="4">
                  <c:v>352087.38500000007</c:v>
                </c:pt>
                <c:pt idx="5">
                  <c:v>326114.65699999995</c:v>
                </c:pt>
                <c:pt idx="6">
                  <c:v>331894.09000000003</c:v>
                </c:pt>
                <c:pt idx="7">
                  <c:v>335034.57800000004</c:v>
                </c:pt>
                <c:pt idx="8">
                  <c:v>303573.26800000004</c:v>
                </c:pt>
                <c:pt idx="9">
                  <c:v>313317.45499999996</c:v>
                </c:pt>
                <c:pt idx="10">
                  <c:v>317186.89799999999</c:v>
                </c:pt>
                <c:pt idx="11">
                  <c:v>322059.08799999999</c:v>
                </c:pt>
                <c:pt idx="12">
                  <c:v>320209.674</c:v>
                </c:pt>
                <c:pt idx="13">
                  <c:v>313602.07199999999</c:v>
                </c:pt>
                <c:pt idx="14">
                  <c:v>268684.83199999999</c:v>
                </c:pt>
                <c:pt idx="15">
                  <c:v>295788.05799999996</c:v>
                </c:pt>
                <c:pt idx="16">
                  <c:v>286682.47000000003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3-6D4E-B928-39B03F3F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947392"/>
        <c:axId val="455940672"/>
      </c:lineChart>
      <c:catAx>
        <c:axId val="4559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940672"/>
        <c:crosses val="autoZero"/>
        <c:auto val="1"/>
        <c:lblAlgn val="ctr"/>
        <c:lblOffset val="100"/>
        <c:noMultiLvlLbl val="0"/>
      </c:catAx>
      <c:valAx>
        <c:axId val="4559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9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[Données_propres.xlsx]Import Exports par année!Tableau croisé dynamique7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'Import Exports par année'!$B$3</c:f>
              <c:strCache>
                <c:ptCount val="1"/>
                <c:pt idx="0">
                  <c:v>Imports total (en GWh)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'Import Exports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'Import Exports par année'!$B$4:$B$21</c:f>
              <c:numCache>
                <c:formatCode>General</c:formatCode>
                <c:ptCount val="17"/>
                <c:pt idx="0">
                  <c:v>2006985.486</c:v>
                </c:pt>
                <c:pt idx="1">
                  <c:v>1940772.9349999996</c:v>
                </c:pt>
                <c:pt idx="2">
                  <c:v>2010048.8849999995</c:v>
                </c:pt>
                <c:pt idx="3">
                  <c:v>1870809.8219999999</c:v>
                </c:pt>
                <c:pt idx="4">
                  <c:v>1837908.7540000002</c:v>
                </c:pt>
                <c:pt idx="5">
                  <c:v>1796817.6290000002</c:v>
                </c:pt>
                <c:pt idx="6">
                  <c:v>1744378.4219999998</c:v>
                </c:pt>
                <c:pt idx="7">
                  <c:v>1731394.8180000002</c:v>
                </c:pt>
                <c:pt idx="8">
                  <c:v>1633823.8979999998</c:v>
                </c:pt>
                <c:pt idx="9">
                  <c:v>1673220.5370000002</c:v>
                </c:pt>
                <c:pt idx="10">
                  <c:v>1674874.7590000001</c:v>
                </c:pt>
                <c:pt idx="11">
                  <c:v>1702017.3080000004</c:v>
                </c:pt>
                <c:pt idx="12">
                  <c:v>1528087.3640000001</c:v>
                </c:pt>
                <c:pt idx="13">
                  <c:v>1628608.9670000002</c:v>
                </c:pt>
                <c:pt idx="14">
                  <c:v>1339609.726</c:v>
                </c:pt>
                <c:pt idx="15">
                  <c:v>1416681.612</c:v>
                </c:pt>
                <c:pt idx="16">
                  <c:v>1481204.3180000002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FA45-B6FF-B2FD0107B6AC}"/>
            </c:ext>
          </c:extLst>
        </c:ser>
        <c:ser>
          <c:idx val="1"/>
          <c:order val="1"/>
          <c:tx>
            <c:strRef>
              <c:f>'Import Exports par année'!$C$3</c:f>
              <c:strCache>
                <c:ptCount val="1"/>
                <c:pt idx="0">
                  <c:v>Exports total (en GWh)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'Import Exports par année'!$A$4:$A$21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strCache>
            </c:strRef>
          </c:cat>
          <c:val>
            <c:numRef>
              <c:f>'Import Exports par année'!$C$4:$C$21</c:f>
              <c:numCache>
                <c:formatCode>General</c:formatCode>
                <c:ptCount val="17"/>
                <c:pt idx="0">
                  <c:v>383231.01400000002</c:v>
                </c:pt>
                <c:pt idx="1">
                  <c:v>366504.07299999997</c:v>
                </c:pt>
                <c:pt idx="2">
                  <c:v>401100.90899999999</c:v>
                </c:pt>
                <c:pt idx="3">
                  <c:v>317527.57500000001</c:v>
                </c:pt>
                <c:pt idx="4">
                  <c:v>318941.42800000001</c:v>
                </c:pt>
                <c:pt idx="5">
                  <c:v>342700.66600000003</c:v>
                </c:pt>
                <c:pt idx="6">
                  <c:v>303051.24599999998</c:v>
                </c:pt>
                <c:pt idx="7">
                  <c:v>286366.62199999997</c:v>
                </c:pt>
                <c:pt idx="8">
                  <c:v>326947.64199999993</c:v>
                </c:pt>
                <c:pt idx="9">
                  <c:v>341633.50099999999</c:v>
                </c:pt>
                <c:pt idx="10">
                  <c:v>311756.35399999993</c:v>
                </c:pt>
                <c:pt idx="11">
                  <c:v>333024.78899999999</c:v>
                </c:pt>
                <c:pt idx="12">
                  <c:v>310000.55099999998</c:v>
                </c:pt>
                <c:pt idx="13">
                  <c:v>337065.88700000005</c:v>
                </c:pt>
                <c:pt idx="14">
                  <c:v>268338.55900000001</c:v>
                </c:pt>
                <c:pt idx="15">
                  <c:v>242906.06099999996</c:v>
                </c:pt>
                <c:pt idx="16">
                  <c:v>264714.14199999999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A-FA45-B6FF-B2FD0107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038528"/>
        <c:axId val="456040320"/>
      </c:barChart>
      <c:catAx>
        <c:axId val="4560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40320"/>
        <c:crosses val="autoZero"/>
        <c:auto val="1"/>
        <c:lblAlgn val="ctr"/>
        <c:lblOffset val="100"/>
        <c:noMultiLvlLbl val="0"/>
      </c:catAx>
      <c:valAx>
        <c:axId val="4560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60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Lien entre consommation de d'énergies</a:t>
            </a:r>
            <a:r>
              <a:rPr lang="en-US" baseline="0"/>
              <a:t> fossiles et émissions de CO2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1 Synthese-toutes-energies 20'!$Q$1:$Q$2</c:f>
              <c:strCache>
                <c:ptCount val="2"/>
                <c:pt idx="0">
                  <c:v>5, Emissions CO2</c:v>
                </c:pt>
                <c:pt idx="1">
                  <c:v>ECO2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name/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'4 1 Synthese-toutes-energies 20'!$O$3:$O$207</c:f>
              <c:numCache>
                <c:formatCode>General</c:formatCode>
                <c:ptCount val="205"/>
                <c:pt idx="0">
                  <c:v>122933.76199999999</c:v>
                </c:pt>
                <c:pt idx="1">
                  <c:v>105869.867</c:v>
                </c:pt>
                <c:pt idx="2">
                  <c:v>92594.183000000005</c:v>
                </c:pt>
                <c:pt idx="3">
                  <c:v>96821.803</c:v>
                </c:pt>
                <c:pt idx="4">
                  <c:v>89188.683000000005</c:v>
                </c:pt>
                <c:pt idx="5">
                  <c:v>92303.511999999988</c:v>
                </c:pt>
                <c:pt idx="6">
                  <c:v>90098.809000000008</c:v>
                </c:pt>
                <c:pt idx="7">
                  <c:v>90385.084999999992</c:v>
                </c:pt>
                <c:pt idx="8">
                  <c:v>98606.561000000002</c:v>
                </c:pt>
                <c:pt idx="9">
                  <c:v>118433.545</c:v>
                </c:pt>
                <c:pt idx="10">
                  <c:v>115218.54999999999</c:v>
                </c:pt>
                <c:pt idx="11">
                  <c:v>132359.59400000001</c:v>
                </c:pt>
                <c:pt idx="12">
                  <c:v>134375.32399999999</c:v>
                </c:pt>
                <c:pt idx="13">
                  <c:v>126814.51300000001</c:v>
                </c:pt>
                <c:pt idx="14">
                  <c:v>112892.273</c:v>
                </c:pt>
                <c:pt idx="15">
                  <c:v>97576.713000000018</c:v>
                </c:pt>
                <c:pt idx="16">
                  <c:v>89823.212</c:v>
                </c:pt>
                <c:pt idx="17">
                  <c:v>95166.603000000003</c:v>
                </c:pt>
                <c:pt idx="18">
                  <c:v>91917.127000000008</c:v>
                </c:pt>
                <c:pt idx="19">
                  <c:v>92046.731</c:v>
                </c:pt>
                <c:pt idx="20">
                  <c:v>101016.114</c:v>
                </c:pt>
                <c:pt idx="21">
                  <c:v>121876.03300000001</c:v>
                </c:pt>
                <c:pt idx="22">
                  <c:v>114623.08300000001</c:v>
                </c:pt>
                <c:pt idx="23">
                  <c:v>133010.75</c:v>
                </c:pt>
                <c:pt idx="24">
                  <c:v>126254.465</c:v>
                </c:pt>
                <c:pt idx="25">
                  <c:v>103866.477</c:v>
                </c:pt>
                <c:pt idx="26">
                  <c:v>103304.05100000001</c:v>
                </c:pt>
                <c:pt idx="27">
                  <c:v>94020.22100000002</c:v>
                </c:pt>
                <c:pt idx="28">
                  <c:v>82814.13</c:v>
                </c:pt>
                <c:pt idx="29">
                  <c:v>92785.395000000004</c:v>
                </c:pt>
                <c:pt idx="30">
                  <c:v>83359.334000000003</c:v>
                </c:pt>
                <c:pt idx="31">
                  <c:v>75028.932000000001</c:v>
                </c:pt>
                <c:pt idx="32">
                  <c:v>67681.899000000005</c:v>
                </c:pt>
                <c:pt idx="33">
                  <c:v>110808.723</c:v>
                </c:pt>
                <c:pt idx="34">
                  <c:v>120003.03399999999</c:v>
                </c:pt>
                <c:pt idx="35">
                  <c:v>136614.861</c:v>
                </c:pt>
                <c:pt idx="36">
                  <c:v>129792.367</c:v>
                </c:pt>
                <c:pt idx="37">
                  <c:v>127554.45600000001</c:v>
                </c:pt>
                <c:pt idx="38">
                  <c:v>113588.96100000001</c:v>
                </c:pt>
                <c:pt idx="39">
                  <c:v>102715.87899999999</c:v>
                </c:pt>
                <c:pt idx="40">
                  <c:v>94626.786999999997</c:v>
                </c:pt>
                <c:pt idx="41">
                  <c:v>106940.52799999999</c:v>
                </c:pt>
                <c:pt idx="42">
                  <c:v>97674.931999999986</c:v>
                </c:pt>
                <c:pt idx="43">
                  <c:v>105712.75799999999</c:v>
                </c:pt>
                <c:pt idx="44">
                  <c:v>112826.74400000001</c:v>
                </c:pt>
                <c:pt idx="45">
                  <c:v>120496.967</c:v>
                </c:pt>
                <c:pt idx="46">
                  <c:v>123368.97100000002</c:v>
                </c:pt>
                <c:pt idx="47">
                  <c:v>148113.65</c:v>
                </c:pt>
                <c:pt idx="48">
                  <c:v>130319.606</c:v>
                </c:pt>
                <c:pt idx="49">
                  <c:v>128231.35399999999</c:v>
                </c:pt>
                <c:pt idx="50">
                  <c:v>120719.80800000002</c:v>
                </c:pt>
                <c:pt idx="51">
                  <c:v>99193.955000000016</c:v>
                </c:pt>
                <c:pt idx="52">
                  <c:v>98148.142000000007</c:v>
                </c:pt>
                <c:pt idx="53">
                  <c:v>103687.00100000002</c:v>
                </c:pt>
                <c:pt idx="54">
                  <c:v>99856.557000000001</c:v>
                </c:pt>
                <c:pt idx="55">
                  <c:v>100456.81</c:v>
                </c:pt>
                <c:pt idx="56">
                  <c:v>104785.81099999999</c:v>
                </c:pt>
                <c:pt idx="57">
                  <c:v>140060.63</c:v>
                </c:pt>
                <c:pt idx="58">
                  <c:v>141957.06700000001</c:v>
                </c:pt>
                <c:pt idx="59">
                  <c:v>130417.92700000001</c:v>
                </c:pt>
                <c:pt idx="60">
                  <c:v>142415.935</c:v>
                </c:pt>
                <c:pt idx="61">
                  <c:v>130993.66999999998</c:v>
                </c:pt>
                <c:pt idx="62">
                  <c:v>113227.058</c:v>
                </c:pt>
                <c:pt idx="63">
                  <c:v>109395.265</c:v>
                </c:pt>
                <c:pt idx="64">
                  <c:v>97487.455000000002</c:v>
                </c:pt>
                <c:pt idx="65">
                  <c:v>102932.117</c:v>
                </c:pt>
                <c:pt idx="66">
                  <c:v>98314.356</c:v>
                </c:pt>
                <c:pt idx="67">
                  <c:v>104120.424</c:v>
                </c:pt>
                <c:pt idx="68">
                  <c:v>108538.754</c:v>
                </c:pt>
                <c:pt idx="69">
                  <c:v>125663.05600000001</c:v>
                </c:pt>
                <c:pt idx="70">
                  <c:v>126700.856</c:v>
                </c:pt>
                <c:pt idx="71">
                  <c:v>158525.14199999999</c:v>
                </c:pt>
                <c:pt idx="72">
                  <c:v>146830.08799999999</c:v>
                </c:pt>
                <c:pt idx="73">
                  <c:v>129150.63500000001</c:v>
                </c:pt>
                <c:pt idx="74">
                  <c:v>121707.08200000001</c:v>
                </c:pt>
                <c:pt idx="75">
                  <c:v>104162.60800000001</c:v>
                </c:pt>
                <c:pt idx="76">
                  <c:v>96875.174000000014</c:v>
                </c:pt>
                <c:pt idx="77">
                  <c:v>98452.59</c:v>
                </c:pt>
                <c:pt idx="78">
                  <c:v>94193.813000000009</c:v>
                </c:pt>
                <c:pt idx="79">
                  <c:v>104172.092</c:v>
                </c:pt>
                <c:pt idx="80">
                  <c:v>112349.03899999999</c:v>
                </c:pt>
                <c:pt idx="81">
                  <c:v>134635.69</c:v>
                </c:pt>
                <c:pt idx="82">
                  <c:v>127995.55600000001</c:v>
                </c:pt>
                <c:pt idx="83">
                  <c:v>131904.967</c:v>
                </c:pt>
                <c:pt idx="84">
                  <c:v>129227.75999999998</c:v>
                </c:pt>
                <c:pt idx="85">
                  <c:v>113503.432</c:v>
                </c:pt>
                <c:pt idx="86">
                  <c:v>117963.255</c:v>
                </c:pt>
                <c:pt idx="87">
                  <c:v>104743.508</c:v>
                </c:pt>
                <c:pt idx="88">
                  <c:v>94889.933000000005</c:v>
                </c:pt>
                <c:pt idx="89">
                  <c:v>102892.239</c:v>
                </c:pt>
                <c:pt idx="90">
                  <c:v>97024.094000000012</c:v>
                </c:pt>
                <c:pt idx="91">
                  <c:v>93195.652000000002</c:v>
                </c:pt>
                <c:pt idx="92">
                  <c:v>110738.871</c:v>
                </c:pt>
                <c:pt idx="93">
                  <c:v>129743.345</c:v>
                </c:pt>
                <c:pt idx="94">
                  <c:v>136393.35800000001</c:v>
                </c:pt>
                <c:pt idx="95">
                  <c:v>140900.69400000002</c:v>
                </c:pt>
                <c:pt idx="96">
                  <c:v>140545.72899999999</c:v>
                </c:pt>
                <c:pt idx="97">
                  <c:v>112865.98499999999</c:v>
                </c:pt>
                <c:pt idx="98">
                  <c:v>110626.943</c:v>
                </c:pt>
                <c:pt idx="99">
                  <c:v>99899.767999999996</c:v>
                </c:pt>
                <c:pt idx="100">
                  <c:v>90301.694000000003</c:v>
                </c:pt>
                <c:pt idx="101">
                  <c:v>100864.22099999999</c:v>
                </c:pt>
                <c:pt idx="102">
                  <c:v>95516.092999999993</c:v>
                </c:pt>
                <c:pt idx="103">
                  <c:v>97798.716000000015</c:v>
                </c:pt>
                <c:pt idx="104">
                  <c:v>105514.53700000001</c:v>
                </c:pt>
                <c:pt idx="105">
                  <c:v>121626.88</c:v>
                </c:pt>
                <c:pt idx="106">
                  <c:v>119783.67300000001</c:v>
                </c:pt>
                <c:pt idx="107">
                  <c:v>130846.36099999999</c:v>
                </c:pt>
                <c:pt idx="108">
                  <c:v>138289.253</c:v>
                </c:pt>
                <c:pt idx="109">
                  <c:v>130379.774</c:v>
                </c:pt>
                <c:pt idx="110">
                  <c:v>118861.997</c:v>
                </c:pt>
                <c:pt idx="111">
                  <c:v>102526.299</c:v>
                </c:pt>
                <c:pt idx="112">
                  <c:v>95383.065999999992</c:v>
                </c:pt>
                <c:pt idx="113">
                  <c:v>103730.477</c:v>
                </c:pt>
                <c:pt idx="114">
                  <c:v>95229.076000000001</c:v>
                </c:pt>
                <c:pt idx="115">
                  <c:v>109815.07799999999</c:v>
                </c:pt>
                <c:pt idx="116">
                  <c:v>120635.257</c:v>
                </c:pt>
                <c:pt idx="117">
                  <c:v>144708.94799999997</c:v>
                </c:pt>
                <c:pt idx="118">
                  <c:v>143505.81300000002</c:v>
                </c:pt>
                <c:pt idx="119">
                  <c:v>149497.522</c:v>
                </c:pt>
                <c:pt idx="120">
                  <c:v>136994.98300000001</c:v>
                </c:pt>
                <c:pt idx="121">
                  <c:v>132424.736</c:v>
                </c:pt>
                <c:pt idx="122">
                  <c:v>122283.641</c:v>
                </c:pt>
                <c:pt idx="123">
                  <c:v>101109.213</c:v>
                </c:pt>
                <c:pt idx="124">
                  <c:v>95305.369000000006</c:v>
                </c:pt>
                <c:pt idx="125">
                  <c:v>104776.71599999999</c:v>
                </c:pt>
                <c:pt idx="126">
                  <c:v>100760.51</c:v>
                </c:pt>
                <c:pt idx="127">
                  <c:v>102521.033</c:v>
                </c:pt>
                <c:pt idx="128">
                  <c:v>117896.704</c:v>
                </c:pt>
                <c:pt idx="129">
                  <c:v>128547.54399999999</c:v>
                </c:pt>
                <c:pt idx="130">
                  <c:v>162417.52900000001</c:v>
                </c:pt>
                <c:pt idx="131">
                  <c:v>142749.08799999999</c:v>
                </c:pt>
                <c:pt idx="132">
                  <c:v>134248.40400000001</c:v>
                </c:pt>
                <c:pt idx="133">
                  <c:v>126830.038</c:v>
                </c:pt>
                <c:pt idx="134">
                  <c:v>118778.83200000001</c:v>
                </c:pt>
                <c:pt idx="135">
                  <c:v>108113.909</c:v>
                </c:pt>
                <c:pt idx="136">
                  <c:v>100323.51700000001</c:v>
                </c:pt>
                <c:pt idx="137">
                  <c:v>101734.08700000001</c:v>
                </c:pt>
                <c:pt idx="138">
                  <c:v>99323.706999999995</c:v>
                </c:pt>
                <c:pt idx="139">
                  <c:v>103879.825</c:v>
                </c:pt>
                <c:pt idx="140">
                  <c:v>106369.226</c:v>
                </c:pt>
                <c:pt idx="141">
                  <c:v>139306.60999999999</c:v>
                </c:pt>
                <c:pt idx="142">
                  <c:v>140017.59</c:v>
                </c:pt>
                <c:pt idx="143">
                  <c:v>152065.89799999999</c:v>
                </c:pt>
                <c:pt idx="144">
                  <c:v>171171.81300000002</c:v>
                </c:pt>
                <c:pt idx="145">
                  <c:v>140281.33899999998</c:v>
                </c:pt>
                <c:pt idx="146">
                  <c:v>125038.73500000002</c:v>
                </c:pt>
                <c:pt idx="147">
                  <c:v>110736.76000000001</c:v>
                </c:pt>
                <c:pt idx="148">
                  <c:v>95260.75</c:v>
                </c:pt>
                <c:pt idx="149">
                  <c:v>105135.31200000001</c:v>
                </c:pt>
                <c:pt idx="150">
                  <c:v>102724.85800000001</c:v>
                </c:pt>
                <c:pt idx="151">
                  <c:v>108643.56200000001</c:v>
                </c:pt>
                <c:pt idx="152">
                  <c:v>117879.88799999999</c:v>
                </c:pt>
                <c:pt idx="153">
                  <c:v>148812.18100000001</c:v>
                </c:pt>
                <c:pt idx="154">
                  <c:v>147932.747</c:v>
                </c:pt>
                <c:pt idx="155">
                  <c:v>161749.95699999999</c:v>
                </c:pt>
                <c:pt idx="156">
                  <c:v>159677.307</c:v>
                </c:pt>
                <c:pt idx="157">
                  <c:v>128801.37899999999</c:v>
                </c:pt>
                <c:pt idx="158">
                  <c:v>125955.576</c:v>
                </c:pt>
                <c:pt idx="159">
                  <c:v>108290.78</c:v>
                </c:pt>
                <c:pt idx="160">
                  <c:v>92175.79800000001</c:v>
                </c:pt>
                <c:pt idx="161">
                  <c:v>102637.755</c:v>
                </c:pt>
                <c:pt idx="162">
                  <c:v>101882.59399999998</c:v>
                </c:pt>
                <c:pt idx="163">
                  <c:v>96520.868999999992</c:v>
                </c:pt>
                <c:pt idx="164">
                  <c:v>112492.67199999999</c:v>
                </c:pt>
                <c:pt idx="165">
                  <c:v>143480.606</c:v>
                </c:pt>
                <c:pt idx="166">
                  <c:v>145555.30599999998</c:v>
                </c:pt>
                <c:pt idx="167">
                  <c:v>171857.467</c:v>
                </c:pt>
                <c:pt idx="168">
                  <c:v>160332.78200000001</c:v>
                </c:pt>
                <c:pt idx="169">
                  <c:v>135090.48300000001</c:v>
                </c:pt>
                <c:pt idx="170">
                  <c:v>136219.26800000001</c:v>
                </c:pt>
                <c:pt idx="171">
                  <c:v>118725.20600000001</c:v>
                </c:pt>
                <c:pt idx="172">
                  <c:v>99506.016999999993</c:v>
                </c:pt>
                <c:pt idx="173">
                  <c:v>114681.13099999999</c:v>
                </c:pt>
                <c:pt idx="174">
                  <c:v>108571.62299999999</c:v>
                </c:pt>
                <c:pt idx="175">
                  <c:v>108023.084</c:v>
                </c:pt>
                <c:pt idx="176">
                  <c:v>134113.478</c:v>
                </c:pt>
                <c:pt idx="177">
                  <c:v>148925.14000000001</c:v>
                </c:pt>
                <c:pt idx="178">
                  <c:v>146607.49400000001</c:v>
                </c:pt>
                <c:pt idx="179">
                  <c:v>163084.28399999999</c:v>
                </c:pt>
                <c:pt idx="180">
                  <c:v>164025.56200000001</c:v>
                </c:pt>
                <c:pt idx="181">
                  <c:v>157938.96799999999</c:v>
                </c:pt>
                <c:pt idx="182">
                  <c:v>143081.74299999999</c:v>
                </c:pt>
                <c:pt idx="183">
                  <c:v>113399.97999999998</c:v>
                </c:pt>
                <c:pt idx="184">
                  <c:v>106545.129</c:v>
                </c:pt>
                <c:pt idx="185">
                  <c:v>112648.06200000001</c:v>
                </c:pt>
                <c:pt idx="186">
                  <c:v>108055.162</c:v>
                </c:pt>
                <c:pt idx="187">
                  <c:v>108630.927</c:v>
                </c:pt>
                <c:pt idx="188">
                  <c:v>116475.515</c:v>
                </c:pt>
                <c:pt idx="189">
                  <c:v>150180.04300000001</c:v>
                </c:pt>
                <c:pt idx="190">
                  <c:v>138423.50200000001</c:v>
                </c:pt>
                <c:pt idx="191">
                  <c:v>157867.386</c:v>
                </c:pt>
                <c:pt idx="192">
                  <c:v>154908.58800000002</c:v>
                </c:pt>
                <c:pt idx="193">
                  <c:v>139428.693</c:v>
                </c:pt>
                <c:pt idx="194">
                  <c:v>126121.40299999999</c:v>
                </c:pt>
                <c:pt idx="195">
                  <c:v>112965.56200000001</c:v>
                </c:pt>
                <c:pt idx="196">
                  <c:v>104268.26700000001</c:v>
                </c:pt>
                <c:pt idx="197">
                  <c:v>111709.01000000001</c:v>
                </c:pt>
                <c:pt idx="198">
                  <c:v>111085.386</c:v>
                </c:pt>
                <c:pt idx="199">
                  <c:v>110407.90699999999</c:v>
                </c:pt>
                <c:pt idx="200">
                  <c:v>123892.14199999999</c:v>
                </c:pt>
                <c:pt idx="201">
                  <c:v>166555.671</c:v>
                </c:pt>
                <c:pt idx="202">
                  <c:v>162632.10800000001</c:v>
                </c:pt>
                <c:pt idx="203">
                  <c:v>176950.372</c:v>
                </c:pt>
                <c:pt idx="204">
                  <c:v>0</c:v>
                </c:pt>
              </c:numCache>
            </c:numRef>
          </c:xVal>
          <c:yVal>
            <c:numRef>
              <c:f>'4 1 Synthese-toutes-energies 20'!$Q$3:$Q$207</c:f>
              <c:numCache>
                <c:formatCode>General</c:formatCode>
                <c:ptCount val="205"/>
                <c:pt idx="0">
                  <c:v>28473.823</c:v>
                </c:pt>
                <c:pt idx="1">
                  <c:v>24742.311000000002</c:v>
                </c:pt>
                <c:pt idx="2">
                  <c:v>21862.687000000002</c:v>
                </c:pt>
                <c:pt idx="3">
                  <c:v>22735.098999999998</c:v>
                </c:pt>
                <c:pt idx="4">
                  <c:v>20885.91</c:v>
                </c:pt>
                <c:pt idx="5">
                  <c:v>20873.255000000001</c:v>
                </c:pt>
                <c:pt idx="6">
                  <c:v>20464.407999999999</c:v>
                </c:pt>
                <c:pt idx="7">
                  <c:v>21017.409</c:v>
                </c:pt>
                <c:pt idx="8">
                  <c:v>22794.816999999999</c:v>
                </c:pt>
                <c:pt idx="9">
                  <c:v>27182.589</c:v>
                </c:pt>
                <c:pt idx="10">
                  <c:v>26121.538</c:v>
                </c:pt>
                <c:pt idx="11">
                  <c:v>29528.624</c:v>
                </c:pt>
                <c:pt idx="12">
                  <c:v>30304.5</c:v>
                </c:pt>
                <c:pt idx="13">
                  <c:v>28349.595000000001</c:v>
                </c:pt>
                <c:pt idx="14">
                  <c:v>25579.041000000001</c:v>
                </c:pt>
                <c:pt idx="15">
                  <c:v>22061.422999999999</c:v>
                </c:pt>
                <c:pt idx="16">
                  <c:v>20749.761999999999</c:v>
                </c:pt>
                <c:pt idx="17">
                  <c:v>21535.487000000001</c:v>
                </c:pt>
                <c:pt idx="18">
                  <c:v>20881.253000000001</c:v>
                </c:pt>
                <c:pt idx="19">
                  <c:v>20758.112000000001</c:v>
                </c:pt>
                <c:pt idx="20">
                  <c:v>22994.138999999999</c:v>
                </c:pt>
                <c:pt idx="21">
                  <c:v>27487.170999999998</c:v>
                </c:pt>
                <c:pt idx="22">
                  <c:v>25494.646000000001</c:v>
                </c:pt>
                <c:pt idx="23">
                  <c:v>29592.929</c:v>
                </c:pt>
                <c:pt idx="24">
                  <c:v>28208.703000000001</c:v>
                </c:pt>
                <c:pt idx="25">
                  <c:v>22663.078000000001</c:v>
                </c:pt>
                <c:pt idx="26">
                  <c:v>24319.416000000001</c:v>
                </c:pt>
                <c:pt idx="27">
                  <c:v>21216.001</c:v>
                </c:pt>
                <c:pt idx="28">
                  <c:v>18754.808000000001</c:v>
                </c:pt>
                <c:pt idx="29">
                  <c:v>20644.256000000001</c:v>
                </c:pt>
                <c:pt idx="30">
                  <c:v>18535.758000000002</c:v>
                </c:pt>
                <c:pt idx="31">
                  <c:v>16738.677</c:v>
                </c:pt>
                <c:pt idx="32">
                  <c:v>14804.465</c:v>
                </c:pt>
                <c:pt idx="33">
                  <c:v>24593.407999999999</c:v>
                </c:pt>
                <c:pt idx="34">
                  <c:v>27227.206999999999</c:v>
                </c:pt>
                <c:pt idx="35">
                  <c:v>30979.055</c:v>
                </c:pt>
                <c:pt idx="36">
                  <c:v>29575.141</c:v>
                </c:pt>
                <c:pt idx="37">
                  <c:v>28744.403999999999</c:v>
                </c:pt>
                <c:pt idx="38">
                  <c:v>25740.879000000001</c:v>
                </c:pt>
                <c:pt idx="39">
                  <c:v>23568.001</c:v>
                </c:pt>
                <c:pt idx="40">
                  <c:v>21569.106</c:v>
                </c:pt>
                <c:pt idx="41">
                  <c:v>24412.564999999999</c:v>
                </c:pt>
                <c:pt idx="42">
                  <c:v>22278.934000000001</c:v>
                </c:pt>
                <c:pt idx="43">
                  <c:v>23834.272000000001</c:v>
                </c:pt>
                <c:pt idx="44">
                  <c:v>25550.724999999999</c:v>
                </c:pt>
                <c:pt idx="45">
                  <c:v>27250.952000000001</c:v>
                </c:pt>
                <c:pt idx="46">
                  <c:v>27900.272000000001</c:v>
                </c:pt>
                <c:pt idx="47">
                  <c:v>33176.821000000004</c:v>
                </c:pt>
                <c:pt idx="48">
                  <c:v>29819.382000000001</c:v>
                </c:pt>
                <c:pt idx="49">
                  <c:v>29588.454000000002</c:v>
                </c:pt>
                <c:pt idx="50">
                  <c:v>28257.317999999999</c:v>
                </c:pt>
                <c:pt idx="51">
                  <c:v>22887.280999999999</c:v>
                </c:pt>
                <c:pt idx="52">
                  <c:v>22538.203000000001</c:v>
                </c:pt>
                <c:pt idx="53">
                  <c:v>23823.973999999998</c:v>
                </c:pt>
                <c:pt idx="54">
                  <c:v>22899.856</c:v>
                </c:pt>
                <c:pt idx="55">
                  <c:v>23099.888999999999</c:v>
                </c:pt>
                <c:pt idx="56">
                  <c:v>23928.256000000001</c:v>
                </c:pt>
                <c:pt idx="57">
                  <c:v>31777.415000000001</c:v>
                </c:pt>
                <c:pt idx="58">
                  <c:v>32063.788</c:v>
                </c:pt>
                <c:pt idx="59">
                  <c:v>29525.858</c:v>
                </c:pt>
                <c:pt idx="60">
                  <c:v>32406.144</c:v>
                </c:pt>
                <c:pt idx="61">
                  <c:v>30137.957999999999</c:v>
                </c:pt>
                <c:pt idx="62">
                  <c:v>26122.44</c:v>
                </c:pt>
                <c:pt idx="63">
                  <c:v>25188.008999999998</c:v>
                </c:pt>
                <c:pt idx="64">
                  <c:v>22082.251</c:v>
                </c:pt>
                <c:pt idx="65">
                  <c:v>23363.875</c:v>
                </c:pt>
                <c:pt idx="66">
                  <c:v>22167.327000000001</c:v>
                </c:pt>
                <c:pt idx="67">
                  <c:v>23720.232</c:v>
                </c:pt>
                <c:pt idx="68">
                  <c:v>24456.39</c:v>
                </c:pt>
                <c:pt idx="69">
                  <c:v>28158.465</c:v>
                </c:pt>
                <c:pt idx="70">
                  <c:v>28499.558000000001</c:v>
                </c:pt>
                <c:pt idx="71">
                  <c:v>35756.438999999998</c:v>
                </c:pt>
                <c:pt idx="72">
                  <c:v>33663.178999999996</c:v>
                </c:pt>
                <c:pt idx="73">
                  <c:v>29799.629000000001</c:v>
                </c:pt>
                <c:pt idx="74">
                  <c:v>28126.491999999998</c:v>
                </c:pt>
                <c:pt idx="75">
                  <c:v>24084.5</c:v>
                </c:pt>
                <c:pt idx="76">
                  <c:v>22003.518</c:v>
                </c:pt>
                <c:pt idx="77">
                  <c:v>21936.501</c:v>
                </c:pt>
                <c:pt idx="78">
                  <c:v>20753.175999999999</c:v>
                </c:pt>
                <c:pt idx="79">
                  <c:v>23572.771000000001</c:v>
                </c:pt>
                <c:pt idx="80">
                  <c:v>25136.51</c:v>
                </c:pt>
                <c:pt idx="81">
                  <c:v>30121.217000000001</c:v>
                </c:pt>
                <c:pt idx="82">
                  <c:v>28644.22</c:v>
                </c:pt>
                <c:pt idx="83">
                  <c:v>29345.185000000001</c:v>
                </c:pt>
                <c:pt idx="84">
                  <c:v>29872.909</c:v>
                </c:pt>
                <c:pt idx="85">
                  <c:v>26238.851999999999</c:v>
                </c:pt>
                <c:pt idx="86">
                  <c:v>27383.455999999998</c:v>
                </c:pt>
                <c:pt idx="87">
                  <c:v>24347.728999999999</c:v>
                </c:pt>
                <c:pt idx="88">
                  <c:v>21795.48</c:v>
                </c:pt>
                <c:pt idx="89">
                  <c:v>23465.138999999999</c:v>
                </c:pt>
                <c:pt idx="90">
                  <c:v>21771.620999999999</c:v>
                </c:pt>
                <c:pt idx="91">
                  <c:v>20920.289000000001</c:v>
                </c:pt>
                <c:pt idx="92">
                  <c:v>25250.771000000001</c:v>
                </c:pt>
                <c:pt idx="93">
                  <c:v>29333.128000000001</c:v>
                </c:pt>
                <c:pt idx="94">
                  <c:v>30986.835999999999</c:v>
                </c:pt>
                <c:pt idx="95">
                  <c:v>31951.244999999999</c:v>
                </c:pt>
                <c:pt idx="96">
                  <c:v>32596.192999999999</c:v>
                </c:pt>
                <c:pt idx="97">
                  <c:v>26303.717000000001</c:v>
                </c:pt>
                <c:pt idx="98">
                  <c:v>26081.737000000001</c:v>
                </c:pt>
                <c:pt idx="99">
                  <c:v>23318.945</c:v>
                </c:pt>
                <c:pt idx="100">
                  <c:v>20527.331999999999</c:v>
                </c:pt>
                <c:pt idx="101">
                  <c:v>22638.643</c:v>
                </c:pt>
                <c:pt idx="102">
                  <c:v>21551.275000000001</c:v>
                </c:pt>
                <c:pt idx="103">
                  <c:v>22074.537</c:v>
                </c:pt>
                <c:pt idx="104">
                  <c:v>24171.286</c:v>
                </c:pt>
                <c:pt idx="105">
                  <c:v>27688.644</c:v>
                </c:pt>
                <c:pt idx="106">
                  <c:v>26961.569</c:v>
                </c:pt>
                <c:pt idx="107">
                  <c:v>29659.39</c:v>
                </c:pt>
                <c:pt idx="108">
                  <c:v>32071.77</c:v>
                </c:pt>
                <c:pt idx="109">
                  <c:v>30515.75</c:v>
                </c:pt>
                <c:pt idx="110">
                  <c:v>28289.458999999999</c:v>
                </c:pt>
                <c:pt idx="111">
                  <c:v>24284.292000000001</c:v>
                </c:pt>
                <c:pt idx="112">
                  <c:v>22093.149000000001</c:v>
                </c:pt>
                <c:pt idx="113">
                  <c:v>23578.039000000001</c:v>
                </c:pt>
                <c:pt idx="114">
                  <c:v>21430.760999999999</c:v>
                </c:pt>
                <c:pt idx="115">
                  <c:v>24945.679</c:v>
                </c:pt>
                <c:pt idx="116">
                  <c:v>27771.616000000002</c:v>
                </c:pt>
                <c:pt idx="117">
                  <c:v>33103.203999999998</c:v>
                </c:pt>
                <c:pt idx="118">
                  <c:v>32853.836000000003</c:v>
                </c:pt>
                <c:pt idx="119">
                  <c:v>34097.023000000001</c:v>
                </c:pt>
                <c:pt idx="120">
                  <c:v>31567.815999999999</c:v>
                </c:pt>
                <c:pt idx="121">
                  <c:v>30917.565999999999</c:v>
                </c:pt>
                <c:pt idx="122">
                  <c:v>29059.444</c:v>
                </c:pt>
                <c:pt idx="123">
                  <c:v>23525.710999999999</c:v>
                </c:pt>
                <c:pt idx="124">
                  <c:v>21830.271000000001</c:v>
                </c:pt>
                <c:pt idx="125">
                  <c:v>24267.831999999999</c:v>
                </c:pt>
                <c:pt idx="126">
                  <c:v>22981.245999999999</c:v>
                </c:pt>
                <c:pt idx="127">
                  <c:v>23131.576000000001</c:v>
                </c:pt>
                <c:pt idx="128">
                  <c:v>26889.206999999999</c:v>
                </c:pt>
                <c:pt idx="129">
                  <c:v>29033.759999999998</c:v>
                </c:pt>
                <c:pt idx="130">
                  <c:v>36820.063999999998</c:v>
                </c:pt>
                <c:pt idx="131">
                  <c:v>31869.597000000002</c:v>
                </c:pt>
                <c:pt idx="132">
                  <c:v>30824.053</c:v>
                </c:pt>
                <c:pt idx="133">
                  <c:v>29445.481</c:v>
                </c:pt>
                <c:pt idx="134">
                  <c:v>27887.870999999999</c:v>
                </c:pt>
                <c:pt idx="135">
                  <c:v>24927.702000000001</c:v>
                </c:pt>
                <c:pt idx="136">
                  <c:v>22816.170999999998</c:v>
                </c:pt>
                <c:pt idx="137">
                  <c:v>22639.427</c:v>
                </c:pt>
                <c:pt idx="138">
                  <c:v>22069.782999999999</c:v>
                </c:pt>
                <c:pt idx="139">
                  <c:v>23690.069</c:v>
                </c:pt>
                <c:pt idx="140">
                  <c:v>24195.620999999999</c:v>
                </c:pt>
                <c:pt idx="141">
                  <c:v>31493.013999999999</c:v>
                </c:pt>
                <c:pt idx="142">
                  <c:v>31871.526999999998</c:v>
                </c:pt>
                <c:pt idx="143">
                  <c:v>34253.938000000002</c:v>
                </c:pt>
                <c:pt idx="144">
                  <c:v>39289.904999999999</c:v>
                </c:pt>
                <c:pt idx="145">
                  <c:v>32017.216</c:v>
                </c:pt>
                <c:pt idx="146">
                  <c:v>29187.666000000001</c:v>
                </c:pt>
                <c:pt idx="147">
                  <c:v>25494.594000000001</c:v>
                </c:pt>
                <c:pt idx="148">
                  <c:v>21713.024000000001</c:v>
                </c:pt>
                <c:pt idx="149">
                  <c:v>23980.41</c:v>
                </c:pt>
                <c:pt idx="150">
                  <c:v>23194.507000000001</c:v>
                </c:pt>
                <c:pt idx="151">
                  <c:v>24569.437000000002</c:v>
                </c:pt>
                <c:pt idx="152">
                  <c:v>27179.276999999998</c:v>
                </c:pt>
                <c:pt idx="153">
                  <c:v>34317.368000000002</c:v>
                </c:pt>
                <c:pt idx="154">
                  <c:v>34036.552000000003</c:v>
                </c:pt>
                <c:pt idx="155">
                  <c:v>37107.428999999996</c:v>
                </c:pt>
                <c:pt idx="156">
                  <c:v>37100.161999999997</c:v>
                </c:pt>
                <c:pt idx="157">
                  <c:v>29338.440999999999</c:v>
                </c:pt>
                <c:pt idx="158">
                  <c:v>29423.253000000001</c:v>
                </c:pt>
                <c:pt idx="159">
                  <c:v>25294.499</c:v>
                </c:pt>
                <c:pt idx="160">
                  <c:v>21222.62</c:v>
                </c:pt>
                <c:pt idx="161">
                  <c:v>23392.973000000002</c:v>
                </c:pt>
                <c:pt idx="162">
                  <c:v>23051.580999999998</c:v>
                </c:pt>
                <c:pt idx="163">
                  <c:v>21514.344000000001</c:v>
                </c:pt>
                <c:pt idx="164">
                  <c:v>25555.638999999999</c:v>
                </c:pt>
                <c:pt idx="165">
                  <c:v>32834.345000000001</c:v>
                </c:pt>
                <c:pt idx="166">
                  <c:v>33591.976999999999</c:v>
                </c:pt>
                <c:pt idx="167">
                  <c:v>39654.339999999997</c:v>
                </c:pt>
                <c:pt idx="168">
                  <c:v>37080.360999999997</c:v>
                </c:pt>
                <c:pt idx="169">
                  <c:v>30504.717000000001</c:v>
                </c:pt>
                <c:pt idx="170">
                  <c:v>31905.919999999998</c:v>
                </c:pt>
                <c:pt idx="171">
                  <c:v>27442.848999999998</c:v>
                </c:pt>
                <c:pt idx="172">
                  <c:v>22724.48</c:v>
                </c:pt>
                <c:pt idx="173">
                  <c:v>26061.08</c:v>
                </c:pt>
                <c:pt idx="174">
                  <c:v>24525.351999999999</c:v>
                </c:pt>
                <c:pt idx="175">
                  <c:v>24301.884999999998</c:v>
                </c:pt>
                <c:pt idx="176">
                  <c:v>30658.831999999999</c:v>
                </c:pt>
                <c:pt idx="177">
                  <c:v>33584.684999999998</c:v>
                </c:pt>
                <c:pt idx="178">
                  <c:v>33435.758999999998</c:v>
                </c:pt>
                <c:pt idx="179">
                  <c:v>37410.811000000002</c:v>
                </c:pt>
                <c:pt idx="180">
                  <c:v>37735.546000000002</c:v>
                </c:pt>
                <c:pt idx="181">
                  <c:v>35919.968999999997</c:v>
                </c:pt>
                <c:pt idx="182">
                  <c:v>32655.129000000001</c:v>
                </c:pt>
                <c:pt idx="183">
                  <c:v>25891.115000000002</c:v>
                </c:pt>
                <c:pt idx="184">
                  <c:v>24383.823</c:v>
                </c:pt>
                <c:pt idx="185">
                  <c:v>25546.862000000001</c:v>
                </c:pt>
                <c:pt idx="186">
                  <c:v>24465.072</c:v>
                </c:pt>
                <c:pt idx="187">
                  <c:v>24659.645</c:v>
                </c:pt>
                <c:pt idx="188">
                  <c:v>26537.357</c:v>
                </c:pt>
                <c:pt idx="189">
                  <c:v>34049.375999999997</c:v>
                </c:pt>
                <c:pt idx="190">
                  <c:v>31302.532999999999</c:v>
                </c:pt>
                <c:pt idx="191">
                  <c:v>35998.449999999997</c:v>
                </c:pt>
                <c:pt idx="192">
                  <c:v>35428.468999999997</c:v>
                </c:pt>
                <c:pt idx="193">
                  <c:v>31483.846000000001</c:v>
                </c:pt>
                <c:pt idx="194">
                  <c:v>28988.845000000001</c:v>
                </c:pt>
                <c:pt idx="195">
                  <c:v>26196.662</c:v>
                </c:pt>
                <c:pt idx="196">
                  <c:v>23790.823</c:v>
                </c:pt>
                <c:pt idx="197">
                  <c:v>25399.378000000001</c:v>
                </c:pt>
                <c:pt idx="198">
                  <c:v>25252.600999999999</c:v>
                </c:pt>
                <c:pt idx="199">
                  <c:v>24578.92</c:v>
                </c:pt>
                <c:pt idx="200">
                  <c:v>27918.598999999998</c:v>
                </c:pt>
                <c:pt idx="201">
                  <c:v>38359.874000000003</c:v>
                </c:pt>
                <c:pt idx="202">
                  <c:v>37273.167000000001</c:v>
                </c:pt>
                <c:pt idx="203">
                  <c:v>40714.197999999997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8-0C48-BDFC-8BA554AB5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25632"/>
        <c:axId val="455928320"/>
      </c:scatterChart>
      <c:valAx>
        <c:axId val="4559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928320"/>
        <c:crosses val="autoZero"/>
        <c:crossBetween val="midCat"/>
      </c:valAx>
      <c:valAx>
        <c:axId val="4559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92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0</xdr:rowOff>
    </xdr:from>
    <xdr:to>
      <xdr:col>13</xdr:col>
      <xdr:colOff>762000</xdr:colOff>
      <xdr:row>21</xdr:row>
      <xdr:rowOff>0</xdr:rowOff>
    </xdr:to>
    <xdr:graphicFrame macro="">
      <xdr:nvGraphicFramePr>
        <xdr:cNvPr id="4" name="Parts du mix énergétique français">
          <a:extLst>
            <a:ext uri="{FF2B5EF4-FFF2-40B4-BE49-F238E27FC236}">
              <a16:creationId xmlns:a16="http://schemas.microsoft.com/office/drawing/2014/main" id="{43001375-3B7D-16D5-EAC0-A06FC8EC6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12700</xdr:rowOff>
    </xdr:from>
    <xdr:to>
      <xdr:col>4</xdr:col>
      <xdr:colOff>1511300</xdr:colOff>
      <xdr:row>43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CBC3DC2-1BBD-6ACC-6ED6-595073722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139700</xdr:colOff>
      <xdr:row>1</xdr:row>
      <xdr:rowOff>50800</xdr:rowOff>
    </xdr:from>
    <xdr:to>
      <xdr:col>11</xdr:col>
      <xdr:colOff>203200</xdr:colOff>
      <xdr:row>2</xdr:row>
      <xdr:rowOff>88900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5C732B1-FEB9-AF83-13CA-B6E1A3A84794}"/>
            </a:ext>
          </a:extLst>
        </xdr:cNvPr>
        <xdr:cNvSpPr txBox="1"/>
      </xdr:nvSpPr>
      <xdr:spPr>
        <a:xfrm>
          <a:off x="7874000" y="254000"/>
          <a:ext cx="33655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Evolution du mix de consommation énergétique français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</xdr:row>
      <xdr:rowOff>190500</xdr:rowOff>
    </xdr:from>
    <xdr:to>
      <xdr:col>10</xdr:col>
      <xdr:colOff>165100</xdr:colOff>
      <xdr:row>20</xdr:row>
      <xdr:rowOff>190500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0A5698E-E611-A955-B6A2-E9DC688E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418855</xdr:colOff>
      <xdr:row>4</xdr:row>
      <xdr:rowOff>95819</xdr:rowOff>
    </xdr:from>
    <xdr:to>
      <xdr:col>8</xdr:col>
      <xdr:colOff>415599</xdr:colOff>
      <xdr:row>17</xdr:row>
      <xdr:rowOff>193186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CF7E5B-066E-D215-86C0-9D1D580B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207596</xdr:colOff>
      <xdr:row>3</xdr:row>
      <xdr:rowOff>130257</xdr:rowOff>
    </xdr:from>
    <xdr:ext cx="2329356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A19DABA-C71D-EE28-D4E0-F8DFCE67C34F}"/>
            </a:ext>
          </a:extLst>
        </xdr:cNvPr>
        <xdr:cNvSpPr txBox="1"/>
      </xdr:nvSpPr>
      <xdr:spPr>
        <a:xfrm>
          <a:off x="4856122" y="740834"/>
          <a:ext cx="23293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Imports et exports d'énergie par année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47529</xdr:rowOff>
    </xdr:from>
    <xdr:to>
      <xdr:col>3</xdr:col>
      <xdr:colOff>2867120</xdr:colOff>
      <xdr:row>31</xdr:row>
      <xdr:rowOff>67349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631935-22F4-0E3B-0CF5-44F5AD540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Valenza" refreshedDate="46149.374614236112" createdVersion="8" refreshedVersion="8" minRefreshableVersion="3" recordCount="208" xr:uid="{7686E33D-9B55-6D40-BBF0-6B9681C67378}">
  <cacheSource type="worksheet">
    <worksheetSource ref="A1:Z1048576" sheet="4 1 Synthese-toutes-energies 20"/>
  </cacheSource>
  <cacheFields count="24">
    <cacheField name="Période" numFmtId="0">
      <sharedItems containsBlank="1"/>
    </cacheField>
    <cacheField name="1, Production totale" numFmtId="0">
      <sharedItems containsBlank="1" containsMixedTypes="1" containsNumber="1" minValue="66361.959000000003" maxValue="148028.27799999999"/>
    </cacheField>
    <cacheField name="1,1 Production charbon" numFmtId="0">
      <sharedItems containsBlank="1" containsMixedTypes="1" containsNumber="1" minValue="4.71" maxValue="362.68200000000002"/>
    </cacheField>
    <cacheField name="1,2 Production  pétrole" numFmtId="0">
      <sharedItems containsBlank="1" containsMixedTypes="1" containsNumber="1" minValue="401.08499999999998" maxValue="1111.095"/>
    </cacheField>
    <cacheField name="1,3 Production gaz" numFmtId="0">
      <sharedItems containsBlank="1" containsMixedTypes="1" containsNumber="1" minValue="5.31" maxValue="1032.5229999999999"/>
    </cacheField>
    <cacheField name="1,4 Production nucléaire" numFmtId="0">
      <sharedItems containsBlank="1" containsMixedTypes="1" containsNumber="1" minValue="58554.053999999996" maxValue="138909.815"/>
    </cacheField>
    <cacheField name="1,5 Production ENR" numFmtId="0">
      <sharedItems containsBlank="1" containsMixedTypes="1" containsNumber="1" minValue="3536.9639999999999" maxValue="13257.324000000001"/>
    </cacheField>
    <cacheField name="2,1 Imports total" numFmtId="0">
      <sharedItems containsBlank="1" containsMixedTypes="1" containsNumber="1" minValue="102095.609" maxValue="189172.50099999999"/>
    </cacheField>
    <cacheField name="2,2 Exports total" numFmtId="0">
      <sharedItems containsBlank="1" containsMixedTypes="1" containsNumber="1" minValue="16104.227000000001" maxValue="36606.58"/>
    </cacheField>
    <cacheField name="4, Conso totale" numFmtId="0">
      <sharedItems containsBlank="1" containsMixedTypes="1" containsNumber="1" minValue="156717.94500000001" maxValue="314157.56300000002"/>
    </cacheField>
    <cacheField name="4,1 Conso charbon" numFmtId="0">
      <sharedItems containsBlank="1" containsMixedTypes="1" containsNumber="1" minValue="3649.5439999999999" maxValue="16054.939"/>
    </cacheField>
    <cacheField name="4,2 Conso pétrole" numFmtId="0">
      <sharedItems containsBlank="1" containsMixedTypes="1" containsNumber="1" minValue="42171.218000000001" maxValue="92222.410999999993"/>
    </cacheField>
    <cacheField name="4,3 Conso gaz" numFmtId="0">
      <sharedItems containsBlank="1" containsMixedTypes="1" containsNumber="1" minValue="13255.778" maxValue="75376.868000000002"/>
    </cacheField>
    <cacheField name="4,4 Conso nucléaire + ENR" numFmtId="0">
      <sharedItems containsBlank="1" containsMixedTypes="1" containsNumber="1" minValue="68592.455000000002" maxValue="142479.69" count="206">
        <s v="CONSO_ELE_SYNT"/>
        <n v="101402.12699999999"/>
        <n v="80064.25"/>
        <n v="73237.539000000004"/>
        <n v="68592.455000000002"/>
        <n v="68927.525999999998"/>
        <n v="71668.076000000001"/>
        <n v="73782.823999999993"/>
        <n v="74686.534"/>
        <n v="81459.790999999997"/>
        <n v="96310.119000000006"/>
        <n v="103088.948"/>
        <n v="122863.568"/>
        <n v="112694.577"/>
        <n v="104963.781"/>
        <n v="101166.82799999999"/>
        <n v="93620.233999999997"/>
        <n v="93963.357000000004"/>
        <n v="93634.792000000001"/>
        <n v="90884.509000000005"/>
        <n v="94056.827000000005"/>
        <n v="93954.922000000006"/>
        <n v="108557.91499999999"/>
        <n v="105063.266"/>
        <n v="128030.23299999999"/>
        <n v="117708.071"/>
        <n v="104124.556"/>
        <n v="97778.277000000002"/>
        <n v="77314.354000000007"/>
        <n v="79373.815000000002"/>
        <n v="79613.834000000003"/>
        <n v="75589.879000000001"/>
        <n v="84323.429000000004"/>
        <n v="89036.046000000002"/>
        <n v="104830.06200000001"/>
        <n v="112009.82399999999"/>
        <n v="125409.804"/>
        <n v="115101.421"/>
        <n v="102333.251"/>
        <n v="96851.236999999994"/>
        <n v="89707.16"/>
        <n v="90168.709000000003"/>
        <n v="95398.24"/>
        <n v="93324.092999999993"/>
        <n v="102779.63"/>
        <n v="104711.29300000001"/>
        <n v="116993.12300000001"/>
        <n v="117336.874"/>
        <n v="134641.361"/>
        <n v="127457.557"/>
        <n v="109432.099"/>
        <n v="102525.152"/>
        <n v="96436.834000000003"/>
        <n v="89984.106"/>
        <n v="97443.006999999998"/>
        <n v="94250.131999999998"/>
        <n v="100104.52800000001"/>
        <n v="101975.44"/>
        <n v="121088.981"/>
        <n v="122774.9"/>
        <n v="133777.274"/>
        <n v="126655.318"/>
        <n v="103916.826"/>
        <n v="92615.293999999994"/>
        <n v="94590.9"/>
        <n v="92456.588000000003"/>
        <n v="92076.452000000005"/>
        <n v="90192.15"/>
        <n v="97969.165999999997"/>
        <n v="102203.06600000001"/>
        <n v="111924.393"/>
        <n v="110917.041"/>
        <n v="136479.58600000001"/>
        <n v="122436.844"/>
        <n v="105213.95600000001"/>
        <n v="96813.808000000005"/>
        <n v="87054.266000000003"/>
        <n v="89413.653999999995"/>
        <n v="93515.959000000003"/>
        <n v="93933.271999999997"/>
        <n v="97698.001000000004"/>
        <n v="103800.23"/>
        <n v="123271.711"/>
        <n v="123506.2"/>
        <n v="135454.74100000001"/>
        <n v="128042.166"/>
        <n v="113844.57"/>
        <n v="110327.49800000001"/>
        <n v="98184.475999999995"/>
        <n v="100736.81200000001"/>
        <n v="106068.93399999999"/>
        <n v="99620.634999999995"/>
        <n v="99778.245999999999"/>
        <n v="103159.41899999999"/>
        <n v="121706.867"/>
        <n v="124148.576"/>
        <n v="142071.63500000001"/>
        <n v="135081.851"/>
        <n v="116115.417"/>
        <n v="105578.557"/>
        <n v="101261.679"/>
        <n v="98187.126999999993"/>
        <n v="106277.65300000001"/>
        <n v="99437.354999999996"/>
        <n v="101145.20299999999"/>
        <n v="102758.47900000001"/>
        <n v="117906.035"/>
        <n v="120855.06600000001"/>
        <n v="138820.359"/>
        <n v="133197.56099999999"/>
        <n v="115749.923"/>
        <n v="101735.049"/>
        <n v="95346.861000000004"/>
        <n v="94914.841"/>
        <n v="100371.902"/>
        <n v="94692.266000000003"/>
        <n v="103602.30499999999"/>
        <n v="105991.14"/>
        <n v="123007.485"/>
        <n v="122679.52"/>
        <n v="139045.80900000001"/>
        <n v="130964.61500000001"/>
        <n v="119918.499"/>
        <n v="107188.084"/>
        <n v="97092.682000000001"/>
        <n v="92151.305999999997"/>
        <n v="95221.635999999999"/>
        <n v="89666.561000000002"/>
        <n v="97552.729000000007"/>
        <n v="109014.78599999999"/>
        <n v="119464.56299999999"/>
        <n v="129628.78"/>
        <n v="138652.03200000001"/>
        <n v="129610.974"/>
        <n v="108452.734"/>
        <n v="105122.81"/>
        <n v="100301.16899999999"/>
        <n v="99778.232000000004"/>
        <n v="105938.20600000001"/>
        <n v="103318.173"/>
        <n v="104639.65399999999"/>
        <n v="104586.60400000001"/>
        <n v="120675.71400000001"/>
        <n v="122489.611"/>
        <n v="142479.69"/>
        <n v="140026.03400000001"/>
        <n v="116927.996"/>
        <n v="106222.33500000001"/>
        <n v="101417.75900000001"/>
        <n v="102614.679"/>
        <n v="102654.05100000001"/>
        <n v="97021.294999999998"/>
        <n v="98522.841"/>
        <n v="103619.27800000001"/>
        <n v="119696.141"/>
        <n v="120954.003"/>
        <n v="135710.65100000001"/>
        <n v="125659.731"/>
        <n v="104229.405"/>
        <n v="102928.094"/>
        <n v="94077.994999999995"/>
        <n v="92509.186000000002"/>
        <n v="96602.067999999999"/>
        <n v="91702.365999999995"/>
        <n v="98846.35"/>
        <n v="102968.626"/>
        <n v="116954.23"/>
        <n v="120325.284"/>
        <n v="140637.698"/>
        <n v="134600.02499999999"/>
        <n v="117118.58500000001"/>
        <n v="110863.045"/>
        <n v="101280.71"/>
        <n v="102012.065"/>
        <n v="103509.322"/>
        <n v="95006.520999999993"/>
        <n v="103824.772"/>
        <n v="112862.913"/>
        <n v="121577.323"/>
        <n v="123957.776"/>
        <n v="132330.242"/>
        <n v="130480.927"/>
        <n v="117273.587"/>
        <n v="117575.014"/>
        <n v="105211.071"/>
        <n v="102538.84299999999"/>
        <n v="102486.791"/>
        <n v="99372.398000000001"/>
        <n v="102468.624"/>
        <n v="102336.572"/>
        <n v="118477.405"/>
        <n v="115578.93700000001"/>
        <n v="130794.83100000001"/>
        <n v="129857.194"/>
        <n v="116419.791"/>
        <n v="111694.87300000001"/>
        <n v="105368.041"/>
        <n v="101691.63499999999"/>
        <n v="104753.466"/>
        <n v="104111.992"/>
        <n v="108053.89200000001"/>
        <n v="114247.929"/>
        <n v="116731.564"/>
        <n v="115265.792"/>
        <n v="137207.19099999999"/>
        <m/>
      </sharedItems>
    </cacheField>
    <cacheField name="5, Emissions CO2" numFmtId="0">
      <sharedItems containsBlank="1" containsMixedTypes="1" containsNumber="1" minValue="14804.465" maxValue="40714.197999999997"/>
    </cacheField>
    <cacheField name="10, Taux d'indépendance" numFmtId="0">
      <sharedItems containsBlank="1" containsMixedTypes="1" containsNumber="1" minValue="44.884" maxValue="53.246000000000002"/>
    </cacheField>
    <cacheField name="Année" numFmtId="0">
      <sharedItems containsString="0" containsBlank="1" containsNumber="1" containsInteger="1" minValue="2006" maxValue="2022" count="18">
        <m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</sharedItems>
    </cacheField>
    <cacheField name="Mois" numFmtId="0">
      <sharedItems containsString="0" containsBlank="1" containsNumber="1" containsInteger="1" minValue="1" maxValue="12"/>
    </cacheField>
    <cacheField name="Part charbon" numFmtId="0">
      <sharedItems containsString="0" containsBlank="1" containsNumber="1" minValue="0.23850973622789337" maxValue="0.4383146799938209"/>
    </cacheField>
    <cacheField name="Part pétrole" numFmtId="0">
      <sharedItems containsString="0" containsBlank="1" containsNumber="1" minValue="6.7760561408720277E-2" maxValue="0.25340117640047316"/>
    </cacheField>
    <cacheField name="Part Gaz" numFmtId="0">
      <sharedItems containsString="0" containsBlank="1" containsNumber="1" minValue="0.41206079904045378" maxValue="0.56812923370070989"/>
    </cacheField>
    <cacheField name="Part Nucléaire ENR" numFmtId="0">
      <sharedItems containsString="0" containsBlank="1" containsNumber="1" minValue="9.4465665690039516E-2" maxValue="0.13744340504526881"/>
    </cacheField>
    <cacheField name="Solde commercial" numFmtId="0">
      <sharedItems containsBlank="1" containsMixedTypes="1" containsNumber="1" minValue="80052.36" maxValue="157323.538"/>
    </cacheField>
    <cacheField name="CO2 par GWh" numFmtId="0">
      <sharedItems containsString="0" containsBlank="1" containsNumber="1" minValue="9.4465665690039516E-2" maxValue="0.13744340504526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Valenza" refreshedDate="46149.680833333332" createdVersion="8" refreshedVersion="8" minRefreshableVersion="3" recordCount="206" xr:uid="{321C339C-2B1C-8C47-A50B-7A65ED60D64C}">
  <cacheSource type="worksheet">
    <worksheetSource name="_4_1_Synthese_toutes_energies_2026_04"/>
  </cacheSource>
  <cacheFields count="26">
    <cacheField name="Période" numFmtId="0">
      <sharedItems containsBlank="1"/>
    </cacheField>
    <cacheField name="1, Production totale" numFmtId="0">
      <sharedItems containsBlank="1" containsMixedTypes="1" containsNumber="1" minValue="66361.959000000003" maxValue="148028.27799999999"/>
    </cacheField>
    <cacheField name="1,1 Production charbon" numFmtId="0">
      <sharedItems containsBlank="1" containsMixedTypes="1" containsNumber="1" minValue="4.71" maxValue="362.68200000000002"/>
    </cacheField>
    <cacheField name="1,2 Production  pétrole" numFmtId="0">
      <sharedItems containsBlank="1" containsMixedTypes="1" containsNumber="1" minValue="401.08499999999998" maxValue="1111.095"/>
    </cacheField>
    <cacheField name="1,3 Production gaz" numFmtId="0">
      <sharedItems containsBlank="1" containsMixedTypes="1" containsNumber="1" minValue="5.31" maxValue="1032.5229999999999"/>
    </cacheField>
    <cacheField name="1,4 Production nucléaire" numFmtId="0">
      <sharedItems containsBlank="1" containsMixedTypes="1" containsNumber="1" minValue="58554.053999999996" maxValue="138909.815"/>
    </cacheField>
    <cacheField name="1,5 Production ENR" numFmtId="0">
      <sharedItems containsBlank="1" containsMixedTypes="1" containsNumber="1" minValue="3536.9639999999999" maxValue="13257.324000000001"/>
    </cacheField>
    <cacheField name="Production nucléaire + ENR" numFmtId="0">
      <sharedItems containsString="0" containsBlank="1" containsNumber="1" minValue="0" maxValue="147255.538"/>
    </cacheField>
    <cacheField name="2,1 Imports total" numFmtId="0">
      <sharedItems containsBlank="1" containsMixedTypes="1" containsNumber="1" minValue="102095.609" maxValue="189172.50099999999"/>
    </cacheField>
    <cacheField name="2,2 Exports total" numFmtId="0">
      <sharedItems containsBlank="1" containsMixedTypes="1" containsNumber="1" minValue="16104.227000000001" maxValue="36606.58"/>
    </cacheField>
    <cacheField name="4, Conso totale" numFmtId="0">
      <sharedItems containsBlank="1" containsMixedTypes="1" containsNumber="1" minValue="156717.94500000001" maxValue="314157.56300000002"/>
    </cacheField>
    <cacheField name="4,1 Conso charbon" numFmtId="0">
      <sharedItems containsBlank="1" containsMixedTypes="1" containsNumber="1" minValue="3649.5439999999999" maxValue="16054.939"/>
    </cacheField>
    <cacheField name="4,2 Conso pétrole" numFmtId="0">
      <sharedItems containsBlank="1" containsMixedTypes="1" containsNumber="1" minValue="42171.218000000001" maxValue="92222.410999999993"/>
    </cacheField>
    <cacheField name="4,3 Conso gaz" numFmtId="0">
      <sharedItems containsBlank="1" containsMixedTypes="1" containsNumber="1" minValue="13255.778" maxValue="75376.868000000002"/>
    </cacheField>
    <cacheField name="Conso fossiles" numFmtId="0">
      <sharedItems containsString="0" containsBlank="1" containsNumber="1" minValue="0" maxValue="176950.372"/>
    </cacheField>
    <cacheField name="4,4 Conso nucléaire + ENR" numFmtId="0">
      <sharedItems containsBlank="1" containsMixedTypes="1" containsNumber="1" minValue="68592.455000000002" maxValue="142479.69"/>
    </cacheField>
    <cacheField name="5, Emissions CO2" numFmtId="0">
      <sharedItems containsBlank="1" containsMixedTypes="1" containsNumber="1" minValue="14804.465" maxValue="40714.197999999997"/>
    </cacheField>
    <cacheField name="10, Taux d'indépendance" numFmtId="0">
      <sharedItems containsBlank="1" containsMixedTypes="1" containsNumber="1" minValue="44.884" maxValue="53.246000000000002"/>
    </cacheField>
    <cacheField name="Année" numFmtId="0">
      <sharedItems containsString="0" containsBlank="1" containsNumber="1" containsInteger="1" minValue="2006" maxValue="2022" count="18">
        <m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</sharedItems>
    </cacheField>
    <cacheField name="Mois" numFmtId="0">
      <sharedItems containsString="0" containsBlank="1" containsNumber="1" containsInteger="1" minValue="1" maxValue="12"/>
    </cacheField>
    <cacheField name="Part charbon" numFmtId="0">
      <sharedItems containsString="0" containsBlank="1" containsNumber="1" minValue="0.23850973622789337" maxValue="0.4383146799938209"/>
    </cacheField>
    <cacheField name="Part pétrole" numFmtId="0">
      <sharedItems containsString="0" containsBlank="1" containsNumber="1" minValue="6.7760561408720277E-2" maxValue="0.25340117640047316"/>
    </cacheField>
    <cacheField name="Part Gaz" numFmtId="0">
      <sharedItems containsString="0" containsBlank="1" containsNumber="1" minValue="0.41206079904045378" maxValue="0.56812923370070989"/>
    </cacheField>
    <cacheField name="Part Nucléaire ENR" numFmtId="0">
      <sharedItems containsString="0" containsBlank="1" containsNumber="1" minValue="9.4465665690039516E-2" maxValue="0.13744340504526881"/>
    </cacheField>
    <cacheField name="Solde commercial" numFmtId="0">
      <sharedItems containsString="0" containsBlank="1" containsNumber="1" minValue="80052.36" maxValue="157323.538"/>
    </cacheField>
    <cacheField name="CO2 par GWh" numFmtId="0">
      <sharedItems containsString="0" containsBlank="1" containsNumber="1" minValue="9.4465665690039516E-2" maxValue="0.13744340504526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s v="PERIODE"/>
    <s v="PROD_ENER_SYNT"/>
    <s v="PROD_CMS_SYNT"/>
    <s v="PROD_PETRO_SYNT"/>
    <s v="PROD_GAZ_SYNT"/>
    <s v="PRODB_NUCL_SYNT"/>
    <s v="PRODB_ELE_SYNT"/>
    <s v="QIMP_ENER_SYNT"/>
    <s v="QEXP_ENER_SYNT"/>
    <s v="CP_ENER_SYNT"/>
    <s v="CI_CMS_SYNT"/>
    <s v="CONSO_PETRO_SYNT"/>
    <s v="CONSO_GAZ_SYNT"/>
    <x v="0"/>
    <s v="ECO2"/>
    <s v="TAUXIND_ENER_CUM"/>
    <x v="0"/>
    <m/>
    <m/>
    <m/>
    <m/>
    <m/>
    <m/>
    <m/>
  </r>
  <r>
    <s v="2022-12"/>
    <n v="100729.474"/>
    <s v="0"/>
    <n v="574.57399999999996"/>
    <n v="643.50400000000002"/>
    <n v="89307.744000000006"/>
    <n v="10203.652"/>
    <n v="130729.58900000001"/>
    <n v="26816.958999999999"/>
    <n v="224335.889"/>
    <n v="6656.9560000000001"/>
    <n v="65321.358"/>
    <n v="50955.447999999997"/>
    <x v="1"/>
    <n v="28473.823"/>
    <n v="44.884"/>
    <x v="1"/>
    <n v="12"/>
    <n v="0.2911765847683872"/>
    <n v="0.22713908250320125"/>
    <n v="0.4520102755382131"/>
    <n v="0.12692495671078291"/>
    <n v="98086.358999999997"/>
    <n v="0.12692495671078291"/>
  </r>
  <r>
    <s v="2022-11"/>
    <n v="80137.476999999999"/>
    <s v="0"/>
    <n v="550.34500000000003"/>
    <n v="600.21699999999998"/>
    <n v="69562.288"/>
    <n v="9424.6270000000004"/>
    <n v="119824.842"/>
    <n v="21738.483"/>
    <n v="185934.117"/>
    <n v="5209.0200000000004"/>
    <n v="64279.273999999998"/>
    <n v="36381.572999999997"/>
    <x v="2"/>
    <n v="24742.311000000002"/>
    <n v="44.923999999999999"/>
    <x v="1"/>
    <n v="11"/>
    <n v="0.34570994843297098"/>
    <n v="0.19566916274972815"/>
    <n v="0.43060548161798623"/>
    <n v="0.13307031221171745"/>
    <n v="98602.58"/>
    <n v="0.13307031221171745"/>
  </r>
  <r>
    <s v="2022-10"/>
    <n v="74126.176999999996"/>
    <s v="0"/>
    <n v="557.19500000000005"/>
    <n v="607.10799999999995"/>
    <n v="65057.226000000002"/>
    <n v="7904.6480000000001"/>
    <n v="120497.702"/>
    <n v="21895.121999999999"/>
    <n v="165831.72200000001"/>
    <n v="4562.098"/>
    <n v="64631.362000000001"/>
    <n v="23400.723000000002"/>
    <x v="3"/>
    <n v="21862.687000000002"/>
    <n v="45.116"/>
    <x v="1"/>
    <n v="10"/>
    <n v="0.38974064322868213"/>
    <n v="0.14111125855642986"/>
    <n v="0.44163769221427973"/>
    <n v="0.13183657949351812"/>
    <n v="89962.08"/>
    <n v="0.13183657949351812"/>
  </r>
  <r>
    <s v="2022-09"/>
    <n v="66361.959000000003"/>
    <s v="0"/>
    <n v="523.09199999999998"/>
    <n v="565.24599999999998"/>
    <n v="58600.02"/>
    <n v="6673.6"/>
    <n v="112550.966"/>
    <n v="22588.885999999999"/>
    <n v="165414.25899999999"/>
    <n v="4621.0479999999998"/>
    <n v="72503.498000000007"/>
    <n v="19697.257000000001"/>
    <x v="4"/>
    <n v="22735.098999999998"/>
    <n v="45.558"/>
    <x v="1"/>
    <n v="9"/>
    <n v="0.4383146799938209"/>
    <n v="0.11907834982956338"/>
    <n v="0.41467075096591283"/>
    <n v="0.13744340504526881"/>
    <n v="98354.385999999999"/>
    <n v="0.13744340504526881"/>
  </r>
  <r>
    <s v="2022-08"/>
    <n v="66789.792000000001"/>
    <s v="0"/>
    <n v="532.48599999999999"/>
    <n v="544.08699999999999"/>
    <n v="58554.053999999996"/>
    <n v="7159.165"/>
    <n v="122051.077"/>
    <n v="23696.690999999999"/>
    <n v="158116.21"/>
    <n v="5188.1959999999999"/>
    <n v="68438.407000000007"/>
    <n v="15562.08"/>
    <x v="5"/>
    <n v="20885.91"/>
    <n v="46.484999999999999"/>
    <x v="1"/>
    <n v="8"/>
    <n v="0.43283612097709662"/>
    <n v="9.8421787367658262E-2"/>
    <n v="0.43592953562446257"/>
    <n v="0.13209214918571602"/>
    <n v="112310.758"/>
    <n v="0.13209214918571602"/>
  </r>
  <r>
    <s v="2022-07"/>
    <n v="69544.398000000001"/>
    <s v="0"/>
    <n v="560.08199999999999"/>
    <n v="532.22699999999998"/>
    <n v="60385.593000000001"/>
    <n v="8066.4960000000001"/>
    <n v="134363.01699999999"/>
    <n v="22052.258999999998"/>
    <n v="163971.58799999999"/>
    <n v="4928.9380000000001"/>
    <n v="70255.578999999998"/>
    <n v="17118.994999999999"/>
    <x v="6"/>
    <n v="20873.255000000001"/>
    <n v="47.468000000000004"/>
    <x v="1"/>
    <n v="7"/>
    <n v="0.42846190524177885"/>
    <n v="0.10440220289871194"/>
    <n v="0.4370761841984479"/>
    <n v="0.12729799872402286"/>
    <n v="92800.472000000009"/>
    <n v="0.12729799872402286"/>
  </r>
  <r>
    <s v="2022-06"/>
    <n v="73797.804000000004"/>
    <s v="0"/>
    <n v="589.51199999999994"/>
    <n v="488.93"/>
    <n v="64482.038"/>
    <n v="8237.3240000000005"/>
    <n v="112713.85"/>
    <n v="19913.378000000001"/>
    <n v="163881.63399999999"/>
    <n v="5162.2550000000001"/>
    <n v="67846.447"/>
    <n v="17090.107"/>
    <x v="7"/>
    <n v="20464.407999999999"/>
    <n v="48.308"/>
    <x v="1"/>
    <n v="6"/>
    <n v="0.41399664711666229"/>
    <n v="0.10428323530140053"/>
    <n v="0.45022021198543821"/>
    <n v="0.12487310200971026"/>
    <n v="107740.743"/>
    <n v="0.12487310200971026"/>
  </r>
  <r>
    <s v="2022-05"/>
    <n v="76443.365999999995"/>
    <s v="0"/>
    <n v="612.83399999999995"/>
    <n v="523.15200000000004"/>
    <n v="65809.978000000003"/>
    <n v="9497.402"/>
    <n v="131307.204"/>
    <n v="23566.460999999999"/>
    <n v="165071.61799999999"/>
    <n v="5304.9650000000001"/>
    <n v="64846.254000000001"/>
    <n v="20233.866000000002"/>
    <x v="8"/>
    <n v="21017.409"/>
    <n v="48.945"/>
    <x v="1"/>
    <n v="5"/>
    <n v="0.39283708965644237"/>
    <n v="0.12257628685750208"/>
    <n v="0.45244927568347942"/>
    <n v="0.12732297202054446"/>
    <n v="104210.81300000001"/>
    <n v="0.12732297202054446"/>
  </r>
  <r>
    <s v="2022-04"/>
    <n v="81487.623000000007"/>
    <s v="0"/>
    <n v="602.04999999999995"/>
    <n v="512.76900000000001"/>
    <n v="69785.578999999998"/>
    <n v="10587.225"/>
    <n v="125456.01700000001"/>
    <n v="21245.204000000002"/>
    <n v="180066.351"/>
    <n v="4739.9759999999997"/>
    <n v="61794.633999999998"/>
    <n v="32071.951000000001"/>
    <x v="9"/>
    <n v="22794.816999999999"/>
    <n v="49.515000000000001"/>
    <x v="1"/>
    <n v="4"/>
    <n v="0.34317702145249779"/>
    <n v="0.17811185055890871"/>
    <n v="0.45238763682171801"/>
    <n v="0.12659120859288142"/>
    <n v="115429.85899999998"/>
    <n v="0.12659120859288142"/>
  </r>
  <r>
    <s v="2022-03"/>
    <n v="96469.528000000006"/>
    <s v="0"/>
    <n v="634.33299999999997"/>
    <n v="520.16399999999999"/>
    <n v="85750.866999999998"/>
    <n v="9564.1640000000007"/>
    <n v="135224.77299999999"/>
    <n v="19794.914000000001"/>
    <n v="214743.66399999999"/>
    <n v="6943.0720000000001"/>
    <n v="69098.021999999997"/>
    <n v="42392.451000000001"/>
    <x v="10"/>
    <n v="27182.589"/>
    <n v="49.813000000000002"/>
    <x v="1"/>
    <n v="3"/>
    <n v="0.32176978222742814"/>
    <n v="0.19740955430470816"/>
    <n v="0.44848875727481308"/>
    <n v="0.12658156470684043"/>
    <n v="88614.407999999996"/>
    <n v="0.12658156470684043"/>
  </r>
  <r>
    <s v="2022-02"/>
    <n v="105939.717"/>
    <s v="0"/>
    <n v="563.59"/>
    <n v="442.74"/>
    <n v="94127.123999999996"/>
    <n v="10806.263999999999"/>
    <n v="107770.379"/>
    <n v="19155.971000000001"/>
    <n v="218307.497"/>
    <n v="6817.3310000000001"/>
    <n v="63052.822999999997"/>
    <n v="45348.396000000001"/>
    <x v="11"/>
    <n v="26121.538"/>
    <n v="50.148000000000003"/>
    <x v="1"/>
    <n v="2"/>
    <n v="0.28882573373098586"/>
    <n v="0.20772715835773611"/>
    <n v="0.47221900033969061"/>
    <n v="0.11965479133316251"/>
    <n v="106465.088"/>
    <n v="0.11965479133316251"/>
  </r>
  <r>
    <s v="2022-01"/>
    <n v="122963.489"/>
    <s v="0"/>
    <n v="623.66099999999994"/>
    <n v="472.19900000000001"/>
    <n v="111862.39999999999"/>
    <n v="10005.227999999999"/>
    <n v="128714.902"/>
    <n v="22249.813999999998"/>
    <n v="255223.163"/>
    <n v="7333.3459999999995"/>
    <n v="63972.506999999998"/>
    <n v="61053.741000000002"/>
    <x v="12"/>
    <n v="29528.624"/>
    <n v="50.255000000000003"/>
    <x v="1"/>
    <n v="1"/>
    <n v="0.2506532175529852"/>
    <n v="0.23921708469697164"/>
    <n v="0.48139661994550237"/>
    <n v="0.11569727313504065"/>
    <n v="98529.981"/>
    <n v="0.11569727313504065"/>
  </r>
  <r>
    <s v="2021-12"/>
    <n v="111844.675"/>
    <s v="0"/>
    <n v="622.43399999999997"/>
    <n v="464.75900000000001"/>
    <n v="100376.851"/>
    <n v="10380.630999999999"/>
    <n v="123177.33900000001"/>
    <n v="24647.358"/>
    <n v="247069.90100000001"/>
    <n v="7143.0429999999997"/>
    <n v="71436.002999999997"/>
    <n v="55796.277999999998"/>
    <x v="13"/>
    <n v="30304.5"/>
    <n v="50.454999999999998"/>
    <x v="2"/>
    <n v="12"/>
    <n v="0.2891327624727546"/>
    <n v="0.22583195190578878"/>
    <n v="0.45612426501113951"/>
    <n v="0.12265557187396937"/>
    <n v="101692.624"/>
    <n v="0.12265557187396937"/>
  </r>
  <r>
    <s v="2021-11"/>
    <n v="105192.852"/>
    <s v="0"/>
    <n v="601.67899999999997"/>
    <n v="427.161"/>
    <n v="96607.448999999993"/>
    <n v="7556.5630000000001"/>
    <n v="122144.663"/>
    <n v="20452.039000000001"/>
    <n v="231778.29300000001"/>
    <n v="7173.8829999999998"/>
    <n v="68746.3"/>
    <n v="50894.33"/>
    <x v="14"/>
    <n v="28349.595000000001"/>
    <n v="50.881999999999998"/>
    <x v="2"/>
    <n v="11"/>
    <n v="0.29660370309138484"/>
    <n v="0.21958195196475971"/>
    <n v="0.45286286149324606"/>
    <n v="0.122313416985947"/>
    <n v="100707.03600000001"/>
    <n v="0.122313416985947"/>
  </r>
  <r>
    <s v="2021-10"/>
    <n v="106390.891"/>
    <s v="0"/>
    <n v="508.113"/>
    <n v="410.76299999999998"/>
    <n v="97571.430999999997"/>
    <n v="7900.5839999999998"/>
    <n v="121128.899"/>
    <n v="20421.863000000001"/>
    <n v="214059.101"/>
    <n v="7152.473"/>
    <n v="75978.179000000004"/>
    <n v="29761.620999999999"/>
    <x v="15"/>
    <n v="25579.041000000001"/>
    <n v="51.548999999999999"/>
    <x v="2"/>
    <n v="10"/>
    <n v="0.35494019476424882"/>
    <n v="0.13903459773943458"/>
    <n v="0.47261166438328633"/>
    <n v="0.11949522762874727"/>
    <n v="83537.688999999998"/>
    <n v="0.11949522762874727"/>
  </r>
  <r>
    <s v="2021-09"/>
    <n v="100392.75199999999"/>
    <s v="0"/>
    <n v="623.32100000000003"/>
    <n v="360.97500000000002"/>
    <n v="92746.183999999994"/>
    <n v="6662.2719999999999"/>
    <n v="103646.557"/>
    <n v="20108.867999999999"/>
    <n v="191196.946"/>
    <n v="6994.0360000000001"/>
    <n v="72931.922000000006"/>
    <n v="17650.755000000001"/>
    <x v="16"/>
    <n v="22061.422999999999"/>
    <n v="51.512999999999998"/>
    <x v="2"/>
    <n v="9"/>
    <n v="0.38144919950761141"/>
    <n v="9.2317138789444891E-2"/>
    <n v="0.48965339645121736"/>
    <n v="0.11538585454183981"/>
    <n v="101259.173"/>
    <n v="0.11538585454183981"/>
  </r>
  <r>
    <s v="2021-08"/>
    <n v="102611.946"/>
    <s v="0"/>
    <n v="650.89400000000001"/>
    <n v="355.74900000000002"/>
    <n v="93107.481"/>
    <n v="8497.8220000000001"/>
    <n v="125146.427"/>
    <n v="23887.254000000001"/>
    <n v="183786.568"/>
    <n v="5999.5240000000003"/>
    <n v="69854.563999999998"/>
    <n v="13969.124"/>
    <x v="17"/>
    <n v="20749.761999999999"/>
    <n v="51.006"/>
    <x v="2"/>
    <n v="8"/>
    <n v="0.38008525193201276"/>
    <n v="7.6007317357381629E-2"/>
    <n v="0.51126346186517835"/>
    <n v="0.11290140637481189"/>
    <n v="95668.081000000006"/>
    <n v="0.11290140637481189"/>
  </r>
  <r>
    <s v="2021-07"/>
    <n v="101938.52099999999"/>
    <s v="0"/>
    <n v="640.62699999999995"/>
    <n v="342.03399999999999"/>
    <n v="91149.167000000001"/>
    <n v="9806.6929999999993"/>
    <n v="116657.776"/>
    <n v="20989.695"/>
    <n v="188801.39499999999"/>
    <n v="5892.5529999999999"/>
    <n v="73058.017000000007"/>
    <n v="16216.032999999999"/>
    <x v="18"/>
    <n v="21535.487000000001"/>
    <n v="50.613999999999997"/>
    <x v="2"/>
    <n v="7"/>
    <n v="0.38695697666852519"/>
    <n v="8.588937067970287E-2"/>
    <n v="0.49594332711365829"/>
    <n v="0.11406423665460735"/>
    <n v="95536.406000000003"/>
    <n v="0.11406423665460735"/>
  </r>
  <r>
    <s v="2021-06"/>
    <n v="98680.767999999996"/>
    <s v="0"/>
    <n v="639.35199999999998"/>
    <n v="305.44799999999998"/>
    <n v="88324.864000000001"/>
    <n v="9411.1049999999996"/>
    <n v="113826.66800000001"/>
    <n v="18290.261999999999"/>
    <n v="182801.63699999999"/>
    <n v="6008.6940000000004"/>
    <n v="68802.858999999997"/>
    <n v="17105.574000000001"/>
    <x v="19"/>
    <n v="20881.253000000001"/>
    <n v="50.125999999999998"/>
    <x v="2"/>
    <n v="6"/>
    <n v="0.37637988438801562"/>
    <n v="9.3574512136343727E-2"/>
    <n v="0.4971755750743086"/>
    <n v="0.11422902629695818"/>
    <n v="104100.643"/>
    <n v="0.11422902629695818"/>
  </r>
  <r>
    <s v="2021-05"/>
    <n v="100959.9"/>
    <s v="0"/>
    <n v="662.73299999999995"/>
    <n v="320.7"/>
    <n v="87953.998999999996"/>
    <n v="12022.468000000001"/>
    <n v="121479.818"/>
    <n v="17379.174999999999"/>
    <n v="186103.557"/>
    <n v="5702.9459999999999"/>
    <n v="60020.086000000003"/>
    <n v="26323.699000000001"/>
    <x v="20"/>
    <n v="20758.112000000001"/>
    <n v="49.834000000000003"/>
    <x v="2"/>
    <n v="5"/>
    <n v="0.32250907488028291"/>
    <n v="0.14144651195463179"/>
    <n v="0.50540047979845981"/>
    <n v="0.11154065153091083"/>
    <n v="99488.735000000001"/>
    <n v="0.11154065153091083"/>
  </r>
  <r>
    <s v="2021-04"/>
    <n v="96347.01"/>
    <s v="0"/>
    <n v="644.21199999999999"/>
    <n v="302.40499999999997"/>
    <n v="86700.854999999996"/>
    <n v="8699.5390000000007"/>
    <n v="120255.156"/>
    <n v="20766.420999999998"/>
    <n v="194971.03599999999"/>
    <n v="6129.8370000000004"/>
    <n v="58223.055999999997"/>
    <n v="36663.220999999998"/>
    <x v="21"/>
    <n v="22994.138999999999"/>
    <n v="49.987000000000002"/>
    <x v="2"/>
    <n v="4"/>
    <n v="0.29862412999641647"/>
    <n v="0.18804444881751564"/>
    <n v="0.48189168979950442"/>
    <n v="0.11793617899224786"/>
    <n v="105182.122"/>
    <n v="0.11793617899224786"/>
  </r>
  <r>
    <s v="2021-03"/>
    <n v="112745.606"/>
    <s v="0"/>
    <n v="657.69"/>
    <n v="305.34899999999999"/>
    <n v="100674.872"/>
    <n v="11107.695"/>
    <n v="125023.22900000001"/>
    <n v="19841.107"/>
    <n v="230433.948"/>
    <n v="6903.0389999999998"/>
    <n v="67841.755000000005"/>
    <n v="47131.239000000001"/>
    <x v="22"/>
    <n v="27487.170999999998"/>
    <n v="50.758000000000003"/>
    <x v="2"/>
    <n v="3"/>
    <n v="0.29440868235265405"/>
    <n v="0.2045325326804712"/>
    <n v="0.47110209212750193"/>
    <n v="0.11928438165716797"/>
    <n v="84916.666999999987"/>
    <n v="0.11928438165716797"/>
  </r>
  <r>
    <s v="2021-02"/>
    <n v="109324.545"/>
    <s v="0"/>
    <n v="601.00199999999995"/>
    <n v="250.553"/>
    <n v="96487.993000000002"/>
    <n v="11984.998"/>
    <n v="103219.91099999999"/>
    <n v="18303.243999999999"/>
    <n v="219686.34899999999"/>
    <n v="6512.8890000000001"/>
    <n v="59949.256000000001"/>
    <n v="48160.938000000002"/>
    <x v="23"/>
    <n v="25494.646000000001"/>
    <n v="51.033999999999999"/>
    <x v="2"/>
    <n v="2"/>
    <n v="0.27288566755688587"/>
    <n v="0.21922590192438404"/>
    <n v="0.47824212327366783"/>
    <n v="0.11605020574127708"/>
    <n v="103156.394"/>
    <n v="0.11605020574127708"/>
  </r>
  <r>
    <s v="2021-01"/>
    <n v="130964.128"/>
    <s v="0"/>
    <n v="673.49099999999999"/>
    <n v="270.392"/>
    <n v="118085.182"/>
    <n v="11935.063"/>
    <n v="120975.16899999999"/>
    <n v="17818.775000000001"/>
    <n v="261040.98300000001"/>
    <n v="7940.6959999999999"/>
    <n v="62260.815999999999"/>
    <n v="62809.237999999998"/>
    <x v="24"/>
    <n v="29592.929"/>
    <n v="51.203000000000003"/>
    <x v="2"/>
    <n v="1"/>
    <n v="0.23850973622789337"/>
    <n v="0.2406106400541711"/>
    <n v="0.49046027764919958"/>
    <n v="0.11336506880990407"/>
    <n v="81288.731999999989"/>
    <n v="0.11336506880990407"/>
  </r>
  <r>
    <s v="2020-12"/>
    <n v="121073.148"/>
    <s v="0"/>
    <n v="658.07899999999995"/>
    <n v="262.67700000000002"/>
    <n v="109533.554"/>
    <n v="10618.838"/>
    <n v="102095.609"/>
    <n v="20806.877"/>
    <n v="243962.53599999999"/>
    <n v="7112.5990000000002"/>
    <n v="64592.694000000003"/>
    <n v="54549.171999999999"/>
    <x v="25"/>
    <n v="28208.703000000001"/>
    <n v="51.173999999999999"/>
    <x v="3"/>
    <n v="12"/>
    <n v="0.26476480798674762"/>
    <n v="0.22359651155618418"/>
    <n v="0.48248420814907417"/>
    <n v="0.11562719203738726"/>
    <n v="87436.347999999998"/>
    <n v="0.11562719203738726"/>
  </r>
  <r>
    <s v="2020-11"/>
    <n v="109782.902"/>
    <s v="0"/>
    <n v="646.97299999999996"/>
    <n v="232.553"/>
    <n v="100429.253"/>
    <n v="8474.1219999999994"/>
    <n v="109894.632"/>
    <n v="22458.284"/>
    <n v="207991.033"/>
    <n v="5715.4859999999999"/>
    <n v="54313.169000000002"/>
    <n v="43837.822"/>
    <x v="26"/>
    <n v="22663.078000000001"/>
    <n v="51.088000000000001"/>
    <x v="3"/>
    <n v="11"/>
    <n v="0.26113226237017634"/>
    <n v="0.21076784593881986"/>
    <n v="0.50062040895772653"/>
    <n v="0.10896180317542825"/>
    <n v="98483.777000000002"/>
    <n v="0.10896180317542825"/>
  </r>
  <r>
    <s v="2020-10"/>
    <n v="101525.16800000001"/>
    <s v="0"/>
    <n v="694.01700000000005"/>
    <n v="214.19900000000001"/>
    <n v="90211.445999999996"/>
    <n v="10405.507"/>
    <n v="116933.198"/>
    <n v="18449.420999999998"/>
    <n v="206368.32699999999"/>
    <s v="5286"/>
    <n v="68990.521999999997"/>
    <n v="34313.529000000002"/>
    <x v="27"/>
    <n v="24319.416000000001"/>
    <n v="50.396000000000001"/>
    <x v="3"/>
    <n v="10"/>
    <n v="0.33430770604638377"/>
    <n v="0.16627323339206024"/>
    <n v="0.47380466964777984"/>
    <n v="0.11784471170326444"/>
    <n v="87406.747999999992"/>
    <n v="0.11784471170326444"/>
  </r>
  <r>
    <s v="2020-09"/>
    <n v="77602.293999999994"/>
    <s v="0"/>
    <n v="670.59799999999996"/>
    <n v="169.381"/>
    <n v="69877.497000000003"/>
    <n v="6884.8180000000002"/>
    <n v="107135.68799999999"/>
    <n v="19728.939999999999"/>
    <n v="171334.57500000001"/>
    <n v="5521.9369999999999"/>
    <n v="67821.017000000007"/>
    <n v="20677.267"/>
    <x v="28"/>
    <n v="21216.001"/>
    <n v="50.331000000000003"/>
    <x v="3"/>
    <n v="9"/>
    <n v="0.39583964299091412"/>
    <n v="0.12068356313954727"/>
    <n v="0.45124782315536721"/>
    <n v="0.12382790221996931"/>
    <n v="88346.467999999993"/>
    <n v="0.12382790221996931"/>
  </r>
  <r>
    <s v="2020-08"/>
    <n v="81972.312999999995"/>
    <s v="0"/>
    <n v="686.45399999999995"/>
    <n v="170.565"/>
    <n v="73715.968999999997"/>
    <n v="7399.3249999999998"/>
    <n v="109287.552"/>
    <n v="20941.083999999999"/>
    <n v="162187.94399999999"/>
    <n v="4574.6620000000003"/>
    <n v="61741.955999999998"/>
    <n v="16497.511999999999"/>
    <x v="29"/>
    <n v="18754.808000000001"/>
    <n v="50.631999999999998"/>
    <x v="3"/>
    <n v="8"/>
    <n v="0.38068153820360412"/>
    <n v="0.10171848531479011"/>
    <n v="0.48939405138522507"/>
    <n v="0.11563626455490429"/>
    <n v="85926.061000000002"/>
    <n v="0.11563626455490429"/>
  </r>
  <r>
    <s v="2020-07"/>
    <n v="81744.634000000005"/>
    <s v="0"/>
    <n v="659.14599999999996"/>
    <n v="170.733"/>
    <n v="72325.808000000005"/>
    <n v="8588.9470000000001"/>
    <n v="109687.436"/>
    <n v="23761.375"/>
    <n v="172399.22899999999"/>
    <n v="4697.799"/>
    <n v="69557.301000000007"/>
    <n v="18530.294999999998"/>
    <x v="30"/>
    <n v="20644.256000000001"/>
    <n v="50.764000000000003"/>
    <x v="3"/>
    <n v="7"/>
    <n v="0.40346642733535665"/>
    <n v="0.10748479043372056"/>
    <n v="0.46179924621356633"/>
    <n v="0.1197468000277426"/>
    <n v="88730.678"/>
    <n v="0.1197468000277426"/>
  </r>
  <r>
    <s v="2020-06"/>
    <n v="79671.085000000006"/>
    <s v="0"/>
    <n v="597.65800000000002"/>
    <n v="162.06299999999999"/>
    <n v="68777.752999999997"/>
    <n v="10133.611000000001"/>
    <n v="109907.022"/>
    <n v="21176.344000000001"/>
    <n v="158949.21400000001"/>
    <n v="3649.5439999999999"/>
    <n v="60431.925999999999"/>
    <n v="19277.864000000001"/>
    <x v="31"/>
    <n v="18535.758000000002"/>
    <n v="50.957999999999998"/>
    <x v="3"/>
    <n v="6"/>
    <n v="0.38019644438128519"/>
    <n v="0.12128316658426509"/>
    <n v="0.47555994205797075"/>
    <n v="0.11661434198724632"/>
    <n v="98295.010999999999"/>
    <n v="0.11661434198724632"/>
  </r>
  <r>
    <s v="2020-05"/>
    <n v="91285.304999999993"/>
    <s v="0"/>
    <n v="401.08499999999998"/>
    <n v="166.68899999999999"/>
    <n v="79563.073000000004"/>
    <n v="11154.458000000001"/>
    <n v="119653.34699999999"/>
    <n v="21358.335999999999"/>
    <n v="159352.361"/>
    <n v="4394.0529999999999"/>
    <n v="50712.504999999997"/>
    <n v="19922.374"/>
    <x v="32"/>
    <n v="16738.677"/>
    <n v="51.164999999999999"/>
    <x v="3"/>
    <n v="5"/>
    <n v="0.31824131554599305"/>
    <n v="0.12502089002622307"/>
    <n v="0.52916334888819128"/>
    <n v="0.10504191400088511"/>
    <n v="80052.36"/>
    <n v="0.10504191400088511"/>
  </r>
  <r>
    <s v="2020-04"/>
    <n v="95343.116999999998"/>
    <s v="0"/>
    <n v="452.63600000000002"/>
    <n v="161.06"/>
    <n v="85870.558999999994"/>
    <n v="8858.8610000000008"/>
    <n v="104086.103"/>
    <n v="24033.742999999999"/>
    <n v="156717.94500000001"/>
    <n v="4122.1180000000004"/>
    <n v="42171.218000000001"/>
    <n v="21388.562999999998"/>
    <x v="33"/>
    <n v="14804.465"/>
    <n v="50.948"/>
    <x v="3"/>
    <n v="4"/>
    <n v="0.26908991181577835"/>
    <n v="0.13647807211867152"/>
    <n v="0.56812923370070989"/>
    <n v="9.4465665690039516E-2"/>
    <n v="96983.116999999998"/>
    <n v="9.4465665690039516E-2"/>
  </r>
  <r>
    <s v="2020-03"/>
    <n v="111681.276"/>
    <s v="0"/>
    <n v="695.81200000000001"/>
    <n v="162.00399999999999"/>
    <n v="97714.37"/>
    <n v="13109.09"/>
    <n v="122199.761"/>
    <n v="25216.644"/>
    <n v="215638.785"/>
    <n v="5403.9319999999998"/>
    <n v="61447.275999999998"/>
    <n v="43957.514999999999"/>
    <x v="34"/>
    <n v="24593.407999999999"/>
    <n v="50.317999999999998"/>
    <x v="3"/>
    <n v="3"/>
    <n v="0.28495465692778782"/>
    <n v="0.20384790704510786"/>
    <n v="0.48613732450774105"/>
    <n v="0.11404909371938818"/>
    <n v="85267.025999999998"/>
    <n v="0.11404909371938818"/>
  </r>
  <r>
    <s v="2020-02"/>
    <n v="119587.17"/>
    <s v="0"/>
    <n v="684.779"/>
    <n v="141.43700000000001"/>
    <n v="105638.334"/>
    <n v="13122.62"/>
    <n v="111452.60799999999"/>
    <n v="26185.581999999999"/>
    <n v="232012.85699999999"/>
    <n v="6175.2190000000001"/>
    <n v="67059.142999999996"/>
    <n v="46768.671999999999"/>
    <x v="35"/>
    <n v="27227.206999999999"/>
    <n v="50.393000000000001"/>
    <x v="3"/>
    <n v="2"/>
    <n v="0.28903201256644151"/>
    <n v="0.20157793238156627"/>
    <n v="0.48277421108606927"/>
    <n v="0.11735214742862289"/>
    <n v="93054.841"/>
    <n v="0.11735214742862289"/>
  </r>
  <r>
    <s v="2020-01"/>
    <n v="130780.026"/>
    <s v="0"/>
    <n v="708.49099999999999"/>
    <n v="144.30199999999999"/>
    <n v="118755.94100000001"/>
    <n v="11171.290999999999"/>
    <n v="117276.77"/>
    <n v="24221.929"/>
    <n v="262024.66500000001"/>
    <n v="6829.4470000000001"/>
    <n v="71479.834000000003"/>
    <n v="58305.58"/>
    <x v="36"/>
    <n v="30979.055"/>
    <n v="50.381"/>
    <x v="3"/>
    <n v="1"/>
    <n v="0.27279811234564499"/>
    <n v="0.22251943342814692"/>
    <n v="0.47861831633292995"/>
    <n v="0.11822953766585294"/>
    <n v="104379.19200000001"/>
    <n v="0.11822953766585294"/>
  </r>
  <r>
    <s v="2019-12"/>
    <n v="119523.961"/>
    <s v="0"/>
    <n v="711.07"/>
    <n v="141.767"/>
    <n v="105413.8"/>
    <n v="13257.324000000001"/>
    <n v="127542.967"/>
    <n v="23163.775000000001"/>
    <n v="244893.78700000001"/>
    <n v="6347.9780000000001"/>
    <n v="69780.582999999999"/>
    <n v="53663.805999999997"/>
    <x v="37"/>
    <n v="29575.141"/>
    <n v="50.213999999999999"/>
    <x v="4"/>
    <n v="12"/>
    <n v="0.28494223497797433"/>
    <n v="0.21913094103934941"/>
    <n v="0.47000547629246303"/>
    <n v="0.1207672165239537"/>
    <n v="115668.15399999999"/>
    <n v="0.1207672165239537"/>
  </r>
  <r>
    <s v="2019-11"/>
    <n v="104563.239"/>
    <s v="0"/>
    <n v="717.65200000000004"/>
    <n v="124.2"/>
    <n v="93100.702000000005"/>
    <n v="10620.684999999999"/>
    <n v="137799.97899999999"/>
    <n v="22131.825000000001"/>
    <n v="229887.70699999999"/>
    <n v="6786.1450000000004"/>
    <n v="70062.366999999998"/>
    <n v="50705.944000000003"/>
    <x v="38"/>
    <n v="28744.403999999999"/>
    <n v="50.497999999999998"/>
    <x v="4"/>
    <n v="11"/>
    <n v="0.30476778386414544"/>
    <n v="0.22056831425092255"/>
    <n v="0.44514451135919159"/>
    <n v="0.12503671629557817"/>
    <n v="110273.194"/>
    <n v="0.12503671629557817"/>
  </r>
  <r>
    <s v="2019-10"/>
    <n v="102025.173"/>
    <s v="0"/>
    <n v="768.74300000000005"/>
    <n v="122.7"/>
    <n v="92959.701000000001"/>
    <n v="8174.03"/>
    <n v="136373.682"/>
    <n v="26100.488000000001"/>
    <n v="210440.198"/>
    <n v="5924.7780000000002"/>
    <n v="77481.474000000002"/>
    <n v="30182.708999999999"/>
    <x v="39"/>
    <n v="25740.879000000001"/>
    <n v="50.636000000000003"/>
    <x v="4"/>
    <n v="10"/>
    <n v="0.36818761214052842"/>
    <n v="0.14342653773781375"/>
    <n v="0.46023163787367277"/>
    <n v="0.12231921108532696"/>
    <n v="86262.69"/>
    <n v="0.12231921108532696"/>
  </r>
  <r>
    <s v="2019-09"/>
    <n v="95436.751000000004"/>
    <s v="0"/>
    <n v="720.83900000000006"/>
    <n v="114.712"/>
    <n v="88010.441000000006"/>
    <n v="6590.759"/>
    <n v="113770.448"/>
    <n v="27507.758000000002"/>
    <n v="192423.04000000001"/>
    <n v="5870.6629999999996"/>
    <n v="76660.206999999995"/>
    <n v="20185.008999999998"/>
    <x v="40"/>
    <n v="23568.001"/>
    <n v="50.615000000000002"/>
    <x v="4"/>
    <n v="9"/>
    <n v="0.39839411642181721"/>
    <n v="0.10489912746415396"/>
    <n v="0.46619760294817086"/>
    <n v="0.12248014063180791"/>
    <n v="107715.30299999999"/>
    <n v="0.12248014063180791"/>
  </r>
  <r>
    <s v="2019-08"/>
    <n v="96602.835000000006"/>
    <s v="0"/>
    <n v="755.95"/>
    <n v="101.256"/>
    <n v="88794.004000000001"/>
    <n v="6951.6239999999998"/>
    <n v="135439.09299999999"/>
    <n v="27723.79"/>
    <n v="184795.495"/>
    <n v="6147.8360000000002"/>
    <n v="72320.986000000004"/>
    <n v="16157.965"/>
    <x v="41"/>
    <n v="21569.106"/>
    <n v="50.831000000000003"/>
    <x v="4"/>
    <n v="8"/>
    <n v="0.39135686722233143"/>
    <n v="8.7437007054744498E-2"/>
    <n v="0.48793780930644443"/>
    <n v="0.1167187868946697"/>
    <n v="106658.26400000001"/>
    <n v="0.1167187868946697"/>
  </r>
  <r>
    <s v="2019-07"/>
    <n v="101710.728"/>
    <s v="0"/>
    <n v="596.61900000000003"/>
    <n v="92.322999999999993"/>
    <n v="93226.275999999998"/>
    <n v="7795.51"/>
    <n v="137071.41500000001"/>
    <n v="30413.151000000002"/>
    <n v="202338.76800000001"/>
    <n v="6358.63"/>
    <n v="81580.039999999994"/>
    <n v="19001.858"/>
    <x v="42"/>
    <n v="24412.564999999999"/>
    <n v="50.713999999999999"/>
    <x v="4"/>
    <n v="7"/>
    <n v="0.40318541427513283"/>
    <n v="9.3911108522712755E-2"/>
    <n v="0.47147781388092669"/>
    <n v="0.12065194051196357"/>
    <n v="99179.608999999997"/>
    <n v="0.12065194051196357"/>
  </r>
  <r>
    <s v="2019-06"/>
    <n v="101141.435"/>
    <s v="0"/>
    <n v="596.61900000000003"/>
    <n v="93.822000000000003"/>
    <n v="91228.342000000004"/>
    <n v="9222.652"/>
    <n v="126630.026"/>
    <n v="27450.417000000001"/>
    <n v="190999.02499999999"/>
    <n v="6342.9570000000003"/>
    <n v="72901.407999999996"/>
    <n v="18430.566999999999"/>
    <x v="43"/>
    <n v="22278.934000000001"/>
    <n v="50.841999999999999"/>
    <x v="4"/>
    <n v="6"/>
    <n v="0.38168471278845534"/>
    <n v="9.649560776553702E-2"/>
    <n v="0.48861031096886487"/>
    <n v="0.11664422894305351"/>
    <n v="113010.24100000001"/>
    <n v="0.11664422894305351"/>
  </r>
  <r>
    <s v="2019-05"/>
    <n v="110939.223"/>
    <s v="0"/>
    <n v="584.69799999999998"/>
    <n v="101.79300000000001"/>
    <n v="100989.601"/>
    <n v="9263.1309999999994"/>
    <n v="143585.40900000001"/>
    <n v="30575.168000000001"/>
    <n v="208492.38800000001"/>
    <n v="6212.8090000000002"/>
    <n v="72304.592999999993"/>
    <n v="27195.356"/>
    <x v="44"/>
    <n v="23834.272000000001"/>
    <n v="50.84"/>
    <x v="4"/>
    <n v="5"/>
    <n v="0.34679727971651414"/>
    <n v="0.13043812419664932"/>
    <n v="0.49296586309904034"/>
    <n v="0.11431722869421976"/>
    <n v="113444.69399999999"/>
    <n v="0.11431722869421976"/>
  </r>
  <r>
    <s v="2019-04"/>
    <n v="109993.902"/>
    <s v="0"/>
    <n v="722.22299999999996"/>
    <n v="100.943"/>
    <n v="101109.583"/>
    <n v="8061.152"/>
    <n v="143642.09"/>
    <n v="30197.396000000001"/>
    <n v="217538.03599999999"/>
    <n v="6129.9089999999997"/>
    <n v="73675.08"/>
    <n v="33021.754999999997"/>
    <x v="45"/>
    <n v="25550.724999999999"/>
    <n v="50.918999999999997"/>
    <x v="4"/>
    <n v="4"/>
    <n v="0.33867677282882153"/>
    <n v="0.15179761483182647"/>
    <n v="0.48134705509614883"/>
    <n v="0.11745405755157226"/>
    <n v="120213.493"/>
    <n v="0.11745405755157226"/>
  </r>
  <r>
    <s v="2019-03"/>
    <n v="124639.387"/>
    <s v="0"/>
    <n v="751.01900000000001"/>
    <n v="102.09099999999999"/>
    <n v="112901.594"/>
    <n v="10884.683999999999"/>
    <n v="153692.845"/>
    <n v="33479.351999999999"/>
    <n v="237490.09099999999"/>
    <n v="6368.3649999999998"/>
    <n v="70373.607000000004"/>
    <n v="43754.995000000003"/>
    <x v="46"/>
    <n v="27250.952000000001"/>
    <n v="51.072000000000003"/>
    <x v="4"/>
    <n v="3"/>
    <n v="0.29632228740019306"/>
    <n v="0.18423924474389966"/>
    <n v="0.49262317643391706"/>
    <n v="0.11474563795590109"/>
    <n v="95966.894"/>
    <n v="0.11474563795590109"/>
  </r>
  <r>
    <s v="2019-02"/>
    <n v="123646.935"/>
    <s v="0"/>
    <n v="694.31100000000004"/>
    <n v="89.600999999999999"/>
    <n v="114250.76300000001"/>
    <n v="8612.26"/>
    <n v="128583.08500000001"/>
    <n v="32616.190999999999"/>
    <n v="240705.845"/>
    <n v="6606.9369999999999"/>
    <n v="66723.876000000004"/>
    <n v="50038.158000000003"/>
    <x v="47"/>
    <n v="27900.272000000001"/>
    <n v="50.648000000000003"/>
    <x v="4"/>
    <n v="2"/>
    <n v="0.27720089638870216"/>
    <n v="0.20788094281632422"/>
    <n v="0.48746998229311794"/>
    <n v="0.1159102389059144"/>
    <n v="118771.35200000001"/>
    <n v="0.1159102389059144"/>
  </r>
  <r>
    <s v="2019-01"/>
    <s v="136813"/>
    <s v="0"/>
    <n v="751.65899999999999"/>
    <n v="85.930999999999997"/>
    <n v="127358.57399999999"/>
    <n v="8616.8359999999993"/>
    <n v="144477.92800000001"/>
    <n v="25706.576000000001"/>
    <n v="282755.011"/>
    <n v="7552.7860000000001"/>
    <n v="74074.462"/>
    <n v="66486.402000000002"/>
    <x v="48"/>
    <n v="33176.821000000004"/>
    <n v="50.31"/>
    <x v="4"/>
    <n v="1"/>
    <n v="0.26197400264641107"/>
    <n v="0.23513783810536962"/>
    <n v="0.47617674581194253"/>
    <n v="0.11733415751913943"/>
    <n v="107379.35500000001"/>
    <n v="0.11733415751913943"/>
  </r>
  <r>
    <s v="2018-12"/>
    <n v="133532.96799999999"/>
    <s v="0"/>
    <n v="750.27499999999998"/>
    <n v="81.528999999999996"/>
    <n v="123406.02"/>
    <n v="9295.1440000000002"/>
    <n v="139983.26800000001"/>
    <n v="32603.913"/>
    <n v="257777.16200000001"/>
    <n v="7406.1620000000003"/>
    <n v="68595.721999999994"/>
    <n v="54317.722000000002"/>
    <x v="49"/>
    <n v="29819.382000000001"/>
    <n v="50.843000000000004"/>
    <x v="5"/>
    <n v="12"/>
    <n v="0.26610472963466014"/>
    <n v="0.21071580421852887"/>
    <n v="0.49444860053195866"/>
    <n v="0.11567891340195606"/>
    <n v="113718.46599999999"/>
    <n v="0.11567891340195606"/>
  </r>
  <r>
    <s v="2018-11"/>
    <n v="112157.776"/>
    <s v="0"/>
    <n v="733.57399999999996"/>
    <n v="67.587000000000003"/>
    <n v="103937.52099999999"/>
    <n v="7419.0940000000001"/>
    <n v="135628.04199999999"/>
    <n v="21909.576000000001"/>
    <n v="237663.45300000001"/>
    <n v="8211.7790000000005"/>
    <n v="70143.262000000002"/>
    <n v="49876.313000000002"/>
    <x v="50"/>
    <n v="29588.454000000002"/>
    <n v="50.441000000000003"/>
    <x v="5"/>
    <n v="11"/>
    <n v="0.29513693045602596"/>
    <n v="0.20986109715405002"/>
    <n v="0.46044984038837472"/>
    <n v="0.12449728229775404"/>
    <n v="121558.03600000001"/>
    <n v="0.12449728229775404"/>
  </r>
  <r>
    <s v="2018-10"/>
    <n v="107960.621"/>
    <s v="0"/>
    <n v="779.61699999999996"/>
    <n v="74.697000000000003"/>
    <n v="100772.212"/>
    <n v="6334.0950000000003"/>
    <n v="149563.01300000001"/>
    <n v="28004.976999999999"/>
    <n v="223244.96"/>
    <n v="8514.3430000000008"/>
    <n v="80731.743000000002"/>
    <n v="31473.722000000002"/>
    <x v="51"/>
    <n v="28257.317999999999"/>
    <n v="50.195999999999998"/>
    <x v="5"/>
    <n v="10"/>
    <n v="0.3616285133603912"/>
    <n v="0.1409829005770164"/>
    <n v="0.45924957051661996"/>
    <n v="0.1265753905485705"/>
    <n v="106687.00700000001"/>
    <n v="0.1265753905485705"/>
  </r>
  <r>
    <s v="2018-09"/>
    <n v="102848.958"/>
    <s v="0"/>
    <n v="742.00599999999997"/>
    <n v="65.033000000000001"/>
    <n v="96104.597999999998"/>
    <n v="5937.32"/>
    <n v="132703.76800000001"/>
    <n v="26016.760999999999"/>
    <n v="195630.78899999999"/>
    <n v="7498.4790000000003"/>
    <n v="72292.19"/>
    <n v="19403.286"/>
    <x v="52"/>
    <n v="22887.280999999999"/>
    <n v="50.07"/>
    <x v="5"/>
    <n v="9"/>
    <n v="0.3695338058468905"/>
    <n v="9.9183191455614897E-2"/>
    <n v="0.49295325389706429"/>
    <n v="0.11699222355025109"/>
    <n v="114317.26800000001"/>
    <n v="0.11699222355025109"/>
  </r>
  <r>
    <s v="2018-08"/>
    <n v="95165.956999999995"/>
    <s v="0"/>
    <n v="763.39300000000003"/>
    <n v="62.210999999999999"/>
    <n v="87546.407999999996"/>
    <n v="6793.9449999999997"/>
    <n v="141101.11900000001"/>
    <n v="26783.850999999999"/>
    <n v="188132.24799999999"/>
    <n v="7172.3270000000002"/>
    <n v="74630.33"/>
    <n v="16345.485000000001"/>
    <x v="53"/>
    <n v="22538.203000000001"/>
    <n v="49.805999999999997"/>
    <x v="5"/>
    <n v="8"/>
    <n v="0.39669078955565346"/>
    <n v="8.6882951613909382E-2"/>
    <n v="0.47830240140435681"/>
    <n v="0.11979978573370367"/>
    <n v="112727.25600000001"/>
    <n v="0.11979978573370367"/>
  </r>
  <r>
    <s v="2018-07"/>
    <n v="104530.77499999999"/>
    <s v="0"/>
    <n v="767.01"/>
    <n v="57.78"/>
    <n v="95721.775999999998"/>
    <n v="7984.2089999999998"/>
    <n v="141596.84700000001"/>
    <n v="28869.591"/>
    <n v="201130.008"/>
    <n v="8566.7139999999999"/>
    <n v="77346.967000000004"/>
    <n v="17773.32"/>
    <x v="54"/>
    <n v="23823.973999999998"/>
    <n v="49.871000000000002"/>
    <x v="5"/>
    <n v="7"/>
    <n v="0.38456204406853106"/>
    <n v="8.8367321101086013E-2"/>
    <n v="0.48447771652253896"/>
    <n v="0.11845061926313849"/>
    <n v="107478.878"/>
    <n v="0.11845061926313849"/>
  </r>
  <r>
    <s v="2018-06"/>
    <n v="102667.84699999999"/>
    <s v="0"/>
    <n v="757.72900000000004"/>
    <n v="57.838999999999999"/>
    <n v="91391.126000000004"/>
    <n v="10461.153"/>
    <n v="134963.155"/>
    <n v="27484.276999999998"/>
    <n v="194106.68799999999"/>
    <n v="7520.518"/>
    <n v="76065.633000000002"/>
    <n v="16270.406000000001"/>
    <x v="55"/>
    <n v="22899.856"/>
    <n v="49.720999999999997"/>
    <x v="5"/>
    <n v="6"/>
    <n v="0.3918753845307999"/>
    <n v="8.382197526341803E-2"/>
    <n v="0.48555839559737374"/>
    <n v="0.11797561555426674"/>
    <n v="102584.91800000001"/>
    <n v="0.11797561555426674"/>
  </r>
  <r>
    <s v="2018-05"/>
    <n v="109003.84699999999"/>
    <s v="0"/>
    <n v="762.928"/>
    <n v="56.642000000000003"/>
    <n v="97495.217999999993"/>
    <n v="10689.058999999999"/>
    <s v="135015"/>
    <n v="32430.081999999999"/>
    <n v="200561.337"/>
    <n v="7235.7290000000003"/>
    <n v="73522.892999999996"/>
    <n v="19698.187999999998"/>
    <x v="56"/>
    <n v="23099.888999999999"/>
    <n v="49.517000000000003"/>
    <x v="5"/>
    <n v="5"/>
    <n v="0.36658557476608761"/>
    <n v="9.8215280645042757E-2"/>
    <n v="0.49912176243619677"/>
    <n v="0.11517618173835767"/>
    <n v="108632.21599999999"/>
    <n v="0.11517618173835767"/>
  </r>
  <r>
    <s v="2018-04"/>
    <n v="108602.772"/>
    <s v="0"/>
    <n v="762.928"/>
    <n v="54.207999999999998"/>
    <n v="97451.630999999994"/>
    <n v="10334.004000000001"/>
    <n v="136660.21599999999"/>
    <s v="28028"/>
    <n v="206761.25099999999"/>
    <n v="7487.0739999999996"/>
    <n v="70351.084000000003"/>
    <n v="26947.652999999998"/>
    <x v="57"/>
    <n v="23928.256000000001"/>
    <n v="49.326999999999998"/>
    <x v="5"/>
    <n v="4"/>
    <n v="0.34025274880930184"/>
    <n v="0.13033222071189732"/>
    <n v="0.49320382570136417"/>
    <n v="0.11572891866474537"/>
    <n v="111886.7"/>
    <n v="0.11572891866474537"/>
  </r>
  <r>
    <s v="2018-03"/>
    <n v="125314.921"/>
    <s v="0"/>
    <n v="778.04700000000003"/>
    <n v="53.86"/>
    <n v="113291.10799999999"/>
    <n v="11191.906000000001"/>
    <n v="138986.848"/>
    <n v="27100.148000000001"/>
    <n v="261149.611"/>
    <n v="9016.82"/>
    <n v="78101.5"/>
    <n v="52942.31"/>
    <x v="58"/>
    <n v="31777.415000000001"/>
    <n v="49.246000000000002"/>
    <x v="5"/>
    <n v="3"/>
    <n v="0.29906803116011532"/>
    <n v="0.20272789148439513"/>
    <n v="0.46367666616972292"/>
    <n v="0.12168279660964151"/>
    <n v="109540.10500000001"/>
    <n v="0.12168279660964151"/>
  </r>
  <r>
    <s v="2018-02"/>
    <n v="126624.55899999999"/>
    <s v="0"/>
    <n v="673.37699999999995"/>
    <n v="47.58"/>
    <n v="115269.05"/>
    <n v="10634.552"/>
    <n v="136069.66"/>
    <n v="26529.555"/>
    <n v="264731.967"/>
    <n v="9425.0249999999996"/>
    <n v="69652.017000000007"/>
    <n v="62880.025000000001"/>
    <x v="59"/>
    <n v="32063.788"/>
    <n v="49.448"/>
    <x v="5"/>
    <n v="2"/>
    <n v="0.26310391521398702"/>
    <n v="0.23752335508465436"/>
    <n v="0.4637705880076054"/>
    <n v="0.12111793057466309"/>
    <n v="108563.60800000001"/>
    <n v="0.12111793057466309"/>
  </r>
  <r>
    <s v="2018-01"/>
    <n v="141850.57399999999"/>
    <s v="0"/>
    <n v="731.52700000000004"/>
    <n v="49.91"/>
    <n v="129237.35799999999"/>
    <n v="11831.779"/>
    <n v="140831.42800000001"/>
    <n v="32267.82"/>
    <n v="264195.201"/>
    <n v="8411.8490000000002"/>
    <n v="68778.615000000005"/>
    <n v="53227.463000000003"/>
    <x v="60"/>
    <n v="29525.858"/>
    <n v="49.521000000000001"/>
    <x v="5"/>
    <n v="1"/>
    <n v="0.26033256750943029"/>
    <n v="0.20147021141387048"/>
    <n v="0.50635769875320336"/>
    <n v="0.1117577377947906"/>
    <n v="127599.43"/>
    <n v="0.1117577377947906"/>
  </r>
  <r>
    <s v="2017-12"/>
    <n v="128392.72199999999"/>
    <s v="0"/>
    <n v="750.13499999999999"/>
    <n v="48.100999999999999"/>
    <n v="118870.359"/>
    <n v="8724.1270000000004"/>
    <n v="155296.908"/>
    <n v="27697.477999999999"/>
    <n v="269071.25300000003"/>
    <n v="8233.02"/>
    <n v="72411.043000000005"/>
    <n v="61771.872000000003"/>
    <x v="61"/>
    <n v="32406.144"/>
    <n v="48.750999999999998"/>
    <x v="6"/>
    <n v="12"/>
    <n v="0.26911475006213315"/>
    <n v="0.22957440198934964"/>
    <n v="0.47071293045192009"/>
    <n v="0.12043703531569758"/>
    <n v="128908.899"/>
    <n v="0.12043703531569758"/>
  </r>
  <r>
    <s v="2017-11"/>
    <n v="104152.595"/>
    <s v="0"/>
    <n v="737.9"/>
    <n v="46.12"/>
    <n v="96864.569000000003"/>
    <n v="6504.0060000000003"/>
    <n v="152644.321"/>
    <n v="23735.421999999999"/>
    <n v="234910.497"/>
    <n v="9179.3169999999991"/>
    <n v="68809.138999999996"/>
    <n v="53005.214"/>
    <x v="62"/>
    <n v="30137.957999999999"/>
    <n v="48.558"/>
    <x v="6"/>
    <n v="11"/>
    <n v="0.292916408073497"/>
    <n v="0.22564004025754542"/>
    <n v="0.44236774144664981"/>
    <n v="0.12829549290000436"/>
    <n v="117802.22199999998"/>
    <n v="0.12829549290000436"/>
  </r>
  <r>
    <s v="2017-10"/>
    <n v="95837.331999999995"/>
    <s v="0"/>
    <n v="751.298"/>
    <n v="48.244999999999997"/>
    <n v="89679.724000000002"/>
    <n v="5358.0649999999996"/>
    <n v="146339.18599999999"/>
    <n v="28536.964"/>
    <n v="205842.35200000001"/>
    <n v="8793.4310000000005"/>
    <n v="71807.725000000006"/>
    <n v="32625.901999999998"/>
    <x v="63"/>
    <n v="26122.44"/>
    <n v="48.661000000000001"/>
    <x v="6"/>
    <n v="10"/>
    <n v="0.34884815637940242"/>
    <n v="0.15849946176285432"/>
    <n v="0.44993313135092816"/>
    <n v="0.126905079281255"/>
    <n v="98791.595000000001"/>
    <n v="0.126905079281255"/>
  </r>
  <r>
    <s v="2017-09"/>
    <n v="99921.751999999993"/>
    <s v="0"/>
    <n v="730.36400000000003"/>
    <n v="41.091000000000001"/>
    <n v="93701.03"/>
    <n v="5449.2669999999998"/>
    <n v="131110.405"/>
    <n v="32318.81"/>
    <n v="203986.166"/>
    <n v="8954.2080000000005"/>
    <n v="77657.08"/>
    <n v="22783.976999999999"/>
    <x v="64"/>
    <n v="25188.008999999998"/>
    <n v="48.527000000000001"/>
    <x v="6"/>
    <n v="9"/>
    <n v="0.38069777731887955"/>
    <n v="0.11169373613306698"/>
    <n v="0.46371232841348659"/>
    <n v="0.12347900592435272"/>
    <n v="106633.92599999999"/>
    <n v="0.12347900592435272"/>
  </r>
  <r>
    <s v="2017-08"/>
    <n v="97816.626000000004"/>
    <s v="0"/>
    <n v="733.12"/>
    <n v="43.892000000000003"/>
    <n v="91336.843999999997"/>
    <n v="5702.77"/>
    <n v="133577.45699999999"/>
    <n v="26943.530999999999"/>
    <n v="189944.04300000001"/>
    <n v="7243.6459999999997"/>
    <n v="74549.172000000006"/>
    <n v="15694.637000000001"/>
    <x v="65"/>
    <n v="22082.251"/>
    <n v="48.408999999999999"/>
    <x v="6"/>
    <n v="8"/>
    <n v="0.39247965254693462"/>
    <n v="8.2627687355270207E-2"/>
    <n v="0.48675697610585239"/>
    <n v="0.1162566124803398"/>
    <n v="117084.026"/>
    <n v="0.1162566124803398"/>
  </r>
  <r>
    <s v="2017-07"/>
    <n v="97436.557000000001"/>
    <s v="0"/>
    <n v="737.34199999999998"/>
    <n v="41.866999999999997"/>
    <n v="90039.040999999997"/>
    <n v="6618.3069999999998"/>
    <n v="147144.084"/>
    <n v="30060.058000000001"/>
    <n v="195008.56899999999"/>
    <n v="9219.5159999999996"/>
    <n v="76300.312999999995"/>
    <n v="17412.288"/>
    <x v="66"/>
    <n v="23363.875"/>
    <n v="48.319000000000003"/>
    <x v="6"/>
    <n v="7"/>
    <n v="0.39126646275733656"/>
    <n v="8.9289860898369044E-2"/>
    <n v="0.47216618465622406"/>
    <n v="0.11980947873116284"/>
    <n v="93225.073000000004"/>
    <n v="0.11980947873116284"/>
  </r>
  <r>
    <s v="2017-06"/>
    <n v="94410.142999999996"/>
    <s v="0"/>
    <n v="721.38599999999997"/>
    <n v="41.567999999999998"/>
    <n v="86043.752999999997"/>
    <n v="7603.4359999999997"/>
    <n v="121727.442"/>
    <n v="28502.368999999999"/>
    <n v="188506.505"/>
    <n v="7343.4290000000001"/>
    <n v="74267.959000000003"/>
    <n v="16702.968000000001"/>
    <x v="67"/>
    <n v="22167.327000000001"/>
    <n v="48.42"/>
    <x v="6"/>
    <n v="6"/>
    <n v="0.39398088145552324"/>
    <n v="8.8606852055317667E-2"/>
    <n v="0.47845643310823671"/>
    <n v="0.11759449362238189"/>
    <n v="111345.75900000001"/>
    <n v="0.11759449362238189"/>
  </r>
  <r>
    <s v="2017-05"/>
    <n v="104654.893"/>
    <s v="0"/>
    <n v="768.74300000000005"/>
    <n v="44.877000000000002"/>
    <n v="95666.748999999996"/>
    <n v="8174.5240000000003"/>
    <n v="142241.77900000001"/>
    <n v="30896.02"/>
    <n v="202089.58900000001"/>
    <n v="8456.3269999999993"/>
    <n v="72527.517999999996"/>
    <n v="23136.579000000002"/>
    <x v="68"/>
    <n v="23720.232"/>
    <n v="48.689"/>
    <x v="6"/>
    <n v="5"/>
    <n v="0.35888794845339606"/>
    <n v="0.11448674379757386"/>
    <n v="0.48478086617317034"/>
    <n v="0.11737483418801944"/>
    <n v="105806.37700000001"/>
    <n v="0.11737483418801944"/>
  </r>
  <r>
    <s v="2017-04"/>
    <n v="108390.567"/>
    <s v="0"/>
    <n v="752.46100000000001"/>
    <n v="45.112000000000002"/>
    <n v="101042.997"/>
    <n v="6549.9960000000001"/>
    <n v="133150.326"/>
    <n v="27343.949000000001"/>
    <n v="210741.81899999999"/>
    <n v="8500.2009999999991"/>
    <n v="68039.756999999998"/>
    <n v="31998.795999999998"/>
    <x v="69"/>
    <n v="24456.39"/>
    <n v="48.661000000000001"/>
    <x v="6"/>
    <n v="4"/>
    <n v="0.32285835494283172"/>
    <n v="0.15183885263892496"/>
    <n v="0.48496813060154903"/>
    <n v="0.11604906001119787"/>
    <n v="116150.795"/>
    <n v="0.11604906001119787"/>
  </r>
  <r>
    <s v="2017-03"/>
    <n v="119087.84"/>
    <s v="0"/>
    <n v="740.83100000000002"/>
    <n v="46.835000000000001"/>
    <n v="108798.41899999999"/>
    <n v="9501.7559999999994"/>
    <n v="146921.283"/>
    <n v="30770.488000000001"/>
    <n v="237587.44899999999"/>
    <n v="7720.9110000000001"/>
    <n v="74423.183999999994"/>
    <n v="43518.961000000003"/>
    <x v="70"/>
    <n v="28158.465"/>
    <n v="48.561"/>
    <x v="6"/>
    <n v="3"/>
    <n v="0.31324543578899233"/>
    <n v="0.18317028607011981"/>
    <n v="0.47108714484324465"/>
    <n v="0.11851831870125429"/>
    <n v="114989.25799999999"/>
    <n v="0.11851831870125429"/>
  </r>
  <r>
    <s v="2017-02"/>
    <n v="115150.04399999999"/>
    <s v="0"/>
    <n v="651.28"/>
    <n v="39.795999999999999"/>
    <n v="107040.272"/>
    <n v="7418.6949999999997"/>
    <n v="137457.73199999999"/>
    <n v="22468.473999999998"/>
    <n v="237617.897"/>
    <n v="9173.0239999999994"/>
    <n v="67404.490999999995"/>
    <n v="50123.341"/>
    <x v="71"/>
    <n v="28499.558000000001"/>
    <n v="48.54"/>
    <x v="6"/>
    <n v="2"/>
    <n v="0.28366756818826655"/>
    <n v="0.2109409334600752"/>
    <n v="0.4667874028024076"/>
    <n v="0.1199386004161126"/>
    <n v="130655.15900000001"/>
    <n v="0.1199386004161126"/>
  </r>
  <r>
    <s v="2017-01"/>
    <n v="136563.16699999999"/>
    <s v="0"/>
    <n v="737.34199999999998"/>
    <n v="39.741"/>
    <n v="128272.379"/>
    <n v="7513.7049999999999"/>
    <n v="154406.38500000001"/>
    <n v="23751.225999999999"/>
    <n v="295004.728"/>
    <n v="11825.575999999999"/>
    <n v="73770.369000000006"/>
    <n v="72929.197"/>
    <x v="72"/>
    <n v="35756.438999999998"/>
    <n v="48.813000000000002"/>
    <x v="6"/>
    <n v="1"/>
    <n v="0.25006503963556814"/>
    <n v="0.2472136548265762"/>
    <n v="0.46263524969674386"/>
    <n v="0.12120632520845563"/>
    <n v="125199.992"/>
    <n v="0.12120632520845563"/>
  </r>
  <r>
    <s v="2016-12"/>
    <n v="123331.662"/>
    <s v="0"/>
    <n v="767.58"/>
    <n v="42.704999999999998"/>
    <n v="116283.806"/>
    <n v="6237.5709999999999"/>
    <n v="153451.889"/>
    <n v="28251.897000000001"/>
    <n v="269266.93199999997"/>
    <n v="9699.7309999999998"/>
    <n v="73916.744000000006"/>
    <n v="63213.612999999998"/>
    <x v="73"/>
    <n v="33663.178999999996"/>
    <n v="49.499000000000002"/>
    <x v="7"/>
    <n v="12"/>
    <n v="0.2745110342773171"/>
    <n v="0.23476188676595464"/>
    <n v="0.45470434520344299"/>
    <n v="0.12501787259937289"/>
    <n v="117968.576"/>
    <n v="0.12501787259937289"/>
  </r>
  <r>
    <s v="2016-11"/>
    <n v="106634.67600000001"/>
    <s v="0"/>
    <n v="737.34199999999998"/>
    <n v="39.03"/>
    <n v="99125.531000000003"/>
    <n v="6732.7719999999999"/>
    <n v="143036.39199999999"/>
    <n v="25067.815999999999"/>
    <n v="234364.59099999999"/>
    <n v="9789.51"/>
    <n v="67231.914000000004"/>
    <n v="52129.211000000003"/>
    <x v="74"/>
    <n v="29799.629000000001"/>
    <n v="50.168999999999997"/>
    <x v="7"/>
    <n v="11"/>
    <n v="0.28686890674538806"/>
    <n v="0.22242784533948648"/>
    <n v="0.4489328168178785"/>
    <n v="0.12715073071767913"/>
    <n v="123568.16800000001"/>
    <n v="0.12715073071767913"/>
  </r>
  <r>
    <s v="2016-10"/>
    <n v="98410.987999999998"/>
    <s v="0"/>
    <n v="782.69899999999996"/>
    <n v="44.601999999999997"/>
    <n v="92610.347999999998"/>
    <n v="4973.3379999999997"/>
    <n v="145717.99600000001"/>
    <n v="22149.828000000001"/>
    <n v="218520.89"/>
    <n v="9385.8729999999996"/>
    <n v="75246.205000000002"/>
    <n v="37075.004000000001"/>
    <x v="75"/>
    <n v="28126.491999999998"/>
    <n v="50.83"/>
    <x v="7"/>
    <n v="10"/>
    <n v="0.34434330283022369"/>
    <n v="0.16966343126279596"/>
    <n v="0.44304143187408762"/>
    <n v="0.12871305805133779"/>
    <n v="113852.24300000002"/>
    <n v="0.12871305805133779"/>
  </r>
  <r>
    <s v="2016-09"/>
    <n v="90570.097999999998"/>
    <s v="0"/>
    <n v="748.97199999999998"/>
    <n v="31.933"/>
    <n v="84673.304000000004"/>
    <n v="5115.8890000000001"/>
    <n v="137205.48000000001"/>
    <n v="23353.237000000001"/>
    <n v="191216.87400000001"/>
    <n v="8781.0849999999991"/>
    <n v="74567.930999999997"/>
    <n v="20813.592000000001"/>
    <x v="76"/>
    <n v="24084.5"/>
    <n v="51.305999999999997"/>
    <x v="7"/>
    <n v="9"/>
    <n v="0.38996522346662771"/>
    <n v="0.10884809255902803"/>
    <n v="0.45526455996765219"/>
    <n v="0.12595384233715692"/>
    <n v="112364.00100000002"/>
    <n v="0.12595384233715692"/>
  </r>
  <r>
    <s v="2016-08"/>
    <n v="93649.930999999997"/>
    <s v="0"/>
    <n v="796.65499999999997"/>
    <n v="34.42"/>
    <n v="86803.210999999996"/>
    <n v="6015.6459999999997"/>
    <n v="138702.05600000001"/>
    <n v="26338.055"/>
    <n v="186288.82699999999"/>
    <n v="6915.6719999999996"/>
    <n v="73970.964000000007"/>
    <n v="15988.538"/>
    <x v="77"/>
    <n v="22003.518"/>
    <n v="51.59"/>
    <x v="7"/>
    <n v="8"/>
    <n v="0.39707676080863408"/>
    <n v="8.5826607303721991E-2"/>
    <n v="0.47997325142854647"/>
    <n v="0.11811507085178008"/>
    <n v="118559.037"/>
    <n v="0.11811507085178008"/>
  </r>
  <r>
    <s v="2016-07"/>
    <n v="98648.521999999997"/>
    <s v="0"/>
    <n v="809.34299999999996"/>
    <n v="31.907"/>
    <n v="90469.67"/>
    <n v="7337.6009999999997"/>
    <n v="147155.62"/>
    <n v="28596.582999999999"/>
    <n v="191968.549"/>
    <n v="6373.375"/>
    <n v="74996.252999999997"/>
    <n v="17082.962"/>
    <x v="78"/>
    <n v="21936.501"/>
    <n v="51.960999999999999"/>
    <x v="7"/>
    <n v="7"/>
    <n v="0.39066947888427284"/>
    <n v="8.8988337355198746E-2"/>
    <n v="0.48714208388375119"/>
    <n v="0.11427132785173055"/>
    <n v="96145.058000000005"/>
    <n v="0.11427132785173055"/>
  </r>
  <r>
    <s v="2016-06"/>
    <n v="101387.15"/>
    <s v="0"/>
    <n v="776.88400000000001"/>
    <n v="30.123000000000001"/>
    <n v="91412.76"/>
    <n v="9167.3829999999998"/>
    <n v="119106.47500000001"/>
    <n v="22961.417000000001"/>
    <n v="188127.08499999999"/>
    <n v="6425.8609999999999"/>
    <n v="69643.58"/>
    <n v="18124.371999999999"/>
    <x v="79"/>
    <n v="20753.175999999999"/>
    <n v="52.174999999999997"/>
    <x v="7"/>
    <n v="6"/>
    <n v="0.37019432900903132"/>
    <n v="9.6341108990233917E-2"/>
    <n v="0.49930753990048804"/>
    <n v="0.11031466309064429"/>
    <n v="101720.03599999999"/>
    <n v="0.11031466309064429"/>
  </r>
  <r>
    <s v="2016-05"/>
    <n v="103805.444"/>
    <s v="0"/>
    <n v="811.774"/>
    <n v="29.785"/>
    <n v="94016.725000000006"/>
    <n v="8947.16"/>
    <n v="125878.59699999999"/>
    <n v="24158.561000000002"/>
    <n v="201870.09400000001"/>
    <n v="6587.6459999999997"/>
    <n v="74992.543000000005"/>
    <n v="22591.902999999998"/>
    <x v="80"/>
    <n v="23572.771000000001"/>
    <n v="52.201000000000001"/>
    <x v="7"/>
    <n v="5"/>
    <n v="0.37148911715471833"/>
    <n v="0.11191307514821881"/>
    <n v="0.48396470752126364"/>
    <n v="0.11677198208467669"/>
    <n v="121926.554"/>
    <n v="0.11677198208467669"/>
  </r>
  <r>
    <s v="2016-04"/>
    <n v="108370.09699999999"/>
    <s v="0"/>
    <n v="822.24099999999999"/>
    <n v="26.57"/>
    <n v="98619.127999999997"/>
    <n v="8902.1569999999992"/>
    <n v="148528.217"/>
    <n v="26601.663"/>
    <n v="216149.26800000001"/>
    <n v="6586.6120000000001"/>
    <n v="71017.909"/>
    <n v="34744.517999999996"/>
    <x v="81"/>
    <n v="25136.51"/>
    <n v="52.478000000000002"/>
    <x v="7"/>
    <n v="4"/>
    <n v="0.32855956282951648"/>
    <n v="0.16074316754105314"/>
    <n v="0.4802247583831743"/>
    <n v="0.11629236699520074"/>
    <n v="113325.81800000001"/>
    <n v="0.11629236699520074"/>
  </r>
  <r>
    <s v="2016-03"/>
    <n v="128376.317"/>
    <s v="0"/>
    <n v="830.38199999999995"/>
    <n v="28.648"/>
    <n v="117876.299"/>
    <n v="9640.9879999999994"/>
    <n v="142178.48800000001"/>
    <n v="28852.67"/>
    <n v="257907.40100000001"/>
    <n v="8354.7070000000003"/>
    <n v="75262.358999999997"/>
    <n v="51018.624000000003"/>
    <x v="82"/>
    <n v="30121.217000000001"/>
    <n v="52.512"/>
    <x v="7"/>
    <n v="3"/>
    <n v="0.29181930688371366"/>
    <n v="0.19781760353592956"/>
    <n v="0.47796887767482094"/>
    <n v="0.11679082059378358"/>
    <n v="108575.052"/>
    <n v="0.11679082059378358"/>
  </r>
  <r>
    <s v="2016-02"/>
    <n v="129283.136"/>
    <s v="0"/>
    <n v="793.28200000000004"/>
    <n v="31.777999999999999"/>
    <n v="118312.262"/>
    <n v="10145.814"/>
    <n v="135931.04699999999"/>
    <n v="27355.994999999999"/>
    <n v="251501.755"/>
    <n v="8136.5469999999996"/>
    <n v="69066.778999999995"/>
    <n v="50792.23"/>
    <x v="83"/>
    <n v="28644.22"/>
    <n v="52.584000000000003"/>
    <x v="7"/>
    <n v="2"/>
    <n v="0.27461748328555396"/>
    <n v="0.20195576766452386"/>
    <n v="0.49107490323477065"/>
    <n v="0.11389272412830678"/>
    <n v="109913.87000000001"/>
    <n v="0.11389272412830678"/>
  </r>
  <r>
    <s v="2016-01"/>
    <n v="141404.03599999999"/>
    <s v="0"/>
    <n v="814.69299999999998"/>
    <n v="29.326000000000001"/>
    <n v="131863.546"/>
    <n v="8696.4709999999995"/>
    <n v="137982.50200000001"/>
    <n v="28068.632000000001"/>
    <n v="267359.70799999998"/>
    <n v="8947.6239999999998"/>
    <n v="66611.452999999994"/>
    <n v="56345.89"/>
    <x v="84"/>
    <n v="29345.185000000001"/>
    <n v="52.357999999999997"/>
    <x v="7"/>
    <n v="1"/>
    <n v="0.24914544341139092"/>
    <n v="0.2107493699087972"/>
    <n v="0.50663857322884276"/>
    <n v="0.10975919004220337"/>
    <n v="117175.781"/>
    <n v="0.10975919004220337"/>
  </r>
  <r>
    <s v="2015-12"/>
    <n v="135244.66200000001"/>
    <s v="0"/>
    <n v="818.75199999999995"/>
    <n v="24.67"/>
    <n v="127974.03200000001"/>
    <n v="6427.2079999999996"/>
    <n v="153179.133"/>
    <n v="36003.351999999999"/>
    <n v="257269.92499999999"/>
    <n v="8387.2330000000002"/>
    <n v="74648.096999999994"/>
    <n v="46192.43"/>
    <x v="85"/>
    <n v="29872.909"/>
    <n v="52.301000000000002"/>
    <x v="8"/>
    <n v="12"/>
    <n v="0.29015477421233749"/>
    <n v="0.17954850338608372"/>
    <n v="0.4976958188952712"/>
    <n v="0.11611504531670386"/>
    <n v="95744.325000000012"/>
    <n v="0.11611504531670386"/>
  </r>
  <r>
    <s v="2015-11"/>
    <n v="120649.196"/>
    <s v="0"/>
    <n v="821.07799999999997"/>
    <n v="22.815000000000001"/>
    <n v="113490.519"/>
    <n v="6314.7839999999997"/>
    <n v="128361.19100000001"/>
    <n v="32616.866000000002"/>
    <n v="227348.003"/>
    <n v="8439.2790000000005"/>
    <n v="63131.745000000003"/>
    <n v="41932.408000000003"/>
    <x v="86"/>
    <n v="26238.851999999999"/>
    <n v="52.146999999999998"/>
    <x v="8"/>
    <n v="11"/>
    <n v="0.27768770416690225"/>
    <n v="0.18444150573867149"/>
    <n v="0.50075025290633413"/>
    <n v="0.11541272258283262"/>
    <n v="121799.67200000001"/>
    <n v="0.11541272258283262"/>
  </r>
  <r>
    <s v="2015-10"/>
    <n v="116080.973"/>
    <s v="0"/>
    <n v="824.56700000000001"/>
    <n v="24.405000000000001"/>
    <n v="109641.58500000001"/>
    <n v="5590.4160000000002"/>
    <n v="151252.39600000001"/>
    <n v="29452.723999999998"/>
    <n v="228290.753"/>
    <n v="8968.4120000000003"/>
    <n v="73690.122000000003"/>
    <n v="35304.720999999998"/>
    <x v="87"/>
    <n v="27383.455999999998"/>
    <n v="52.192999999999998"/>
    <x v="8"/>
    <n v="10"/>
    <n v="0.32279065635216508"/>
    <n v="0.15464805532443093"/>
    <n v="0.48327624553413256"/>
    <n v="0.11994991317059608"/>
    <n v="116370.99400000001"/>
    <n v="0.11994991317059608"/>
  </r>
  <r>
    <s v="2015-09"/>
    <n v="104164.352"/>
    <s v="0"/>
    <n v="781.53599999999994"/>
    <n v="26.318999999999999"/>
    <n v="97679.616999999998"/>
    <n v="5676.8789999999999"/>
    <n v="144144.12400000001"/>
    <n v="27773.13"/>
    <n v="202927.984"/>
    <n v="7733.5169999999998"/>
    <n v="77593.534"/>
    <n v="19416.456999999999"/>
    <x v="88"/>
    <n v="24347.728999999999"/>
    <n v="52.231999999999999"/>
    <x v="8"/>
    <n v="9"/>
    <n v="0.38236980662065811"/>
    <n v="9.5681515270954448E-2"/>
    <n v="0.48383901551990977"/>
    <n v="0.11998211641426448"/>
    <n v="104819.179"/>
    <n v="0.11998211641426448"/>
  </r>
  <r>
    <s v="2015-08"/>
    <n v="108449.238"/>
    <s v="0"/>
    <n v="817.58900000000006"/>
    <n v="21.71"/>
    <n v="102283.505"/>
    <n v="5326.4340000000002"/>
    <n v="130196.997"/>
    <n v="25377.817999999999"/>
    <n v="195626.74400000001"/>
    <n v="6814.5150000000003"/>
    <n v="74819.64"/>
    <n v="13255.778"/>
    <x v="89"/>
    <n v="21795.48"/>
    <n v="52.387"/>
    <x v="8"/>
    <n v="8"/>
    <n v="0.38246120377078913"/>
    <n v="6.7760561408720277E-2"/>
    <n v="0.51494396901069928"/>
    <n v="0.11141360099516863"/>
    <n v="116372.56600000001"/>
    <n v="0.11141360099516863"/>
  </r>
  <r>
    <s v="2015-07"/>
    <n v="113263.023"/>
    <s v="0"/>
    <n v="857.13099999999997"/>
    <n v="25.981000000000002"/>
    <n v="106076.09600000001"/>
    <n v="6303.8140000000003"/>
    <n v="142750.22500000001"/>
    <n v="26377.659"/>
    <n v="208961.17300000001"/>
    <n v="7455.6490000000003"/>
    <n v="79910.614000000001"/>
    <n v="15525.976000000001"/>
    <x v="90"/>
    <n v="23465.138999999999"/>
    <n v="52.466999999999999"/>
    <x v="8"/>
    <n v="7"/>
    <n v="0.38241847924542421"/>
    <n v="7.4300769741563424E-2"/>
    <n v="0.50760116091040508"/>
    <n v="0.11229425382293388"/>
    <n v="100169.42599999999"/>
    <n v="0.11229425382293388"/>
  </r>
  <r>
    <s v="2015-06"/>
    <n v="106535.601"/>
    <s v="0"/>
    <n v="829.21900000000005"/>
    <n v="23.646000000000001"/>
    <n v="97938.391000000003"/>
    <n v="7744.3450000000003"/>
    <n v="124822.86599999999"/>
    <n v="24653.439999999999"/>
    <n v="196644.72899999999"/>
    <n v="6485.0320000000002"/>
    <n v="74347.112999999998"/>
    <n v="16191.949000000001"/>
    <x v="91"/>
    <n v="21771.620999999999"/>
    <n v="52.576000000000001"/>
    <x v="8"/>
    <n v="6"/>
    <n v="0.37807834147438552"/>
    <n v="8.234112901139598E-2"/>
    <n v="0.50660211187252313"/>
    <n v="0.11071550766051808"/>
    <n v="115527.65600000002"/>
    <n v="0.11071550766051808"/>
  </r>
  <r>
    <s v="2015-05"/>
    <n v="106642.129"/>
    <s v="0"/>
    <n v="862.94600000000003"/>
    <n v="24.690999999999999"/>
    <n v="96932.331000000006"/>
    <n v="8822.1610000000001"/>
    <n v="140533.37100000001"/>
    <n v="25005.715"/>
    <n v="192973.89799999999"/>
    <n v="6975.116"/>
    <n v="65450.256000000001"/>
    <n v="20770.28"/>
    <x v="92"/>
    <n v="20920.289000000001"/>
    <n v="52.604999999999997"/>
    <x v="8"/>
    <n v="5"/>
    <n v="0.33916636746385259"/>
    <n v="0.10763258769846687"/>
    <n v="0.51705565899902173"/>
    <n v="0.10840994153520184"/>
    <n v="110711.963"/>
    <n v="0.10840994153520184"/>
  </r>
  <r>
    <s v="2015-04"/>
    <n v="108112.693"/>
    <s v="0"/>
    <n v="802.47"/>
    <n v="30.841999999999999"/>
    <n v="99393.986000000004"/>
    <n v="7885.3950000000004"/>
    <n v="136499.682"/>
    <n v="25787.719000000001"/>
    <n v="213898.29"/>
    <n v="7866.7839999999997"/>
    <n v="73427.260999999999"/>
    <n v="29444.826000000001"/>
    <x v="93"/>
    <n v="25250.771000000001"/>
    <n v="52.558"/>
    <x v="8"/>
    <n v="4"/>
    <n v="0.34328119687165332"/>
    <n v="0.1376580710392776"/>
    <n v="0.48228257925764617"/>
    <n v="0.11805036403049318"/>
    <n v="124044.83100000001"/>
    <n v="0.11805036403049318"/>
  </r>
  <r>
    <s v="2015-03"/>
    <n v="126905.83500000001"/>
    <s v="0"/>
    <n v="814.1"/>
    <n v="32.895000000000003"/>
    <n v="117108.442"/>
    <n v="8950.3979999999992"/>
    <n v="154622.59400000001"/>
    <n v="30577.762999999999"/>
    <n v="251450.212"/>
    <n v="9770.7880000000005"/>
    <n v="72514.19"/>
    <n v="47458.366999999998"/>
    <x v="94"/>
    <n v="29333.128000000001"/>
    <n v="52.65"/>
    <x v="8"/>
    <n v="3"/>
    <n v="0.28838388889487199"/>
    <n v="0.18873862393084798"/>
    <n v="0.48401974304161655"/>
    <n v="0.11665580938146117"/>
    <n v="97247.534999999989"/>
    <n v="0.11665580938146117"/>
  </r>
  <r>
    <s v="2015-02"/>
    <n v="127939.853"/>
    <s v="0"/>
    <n v="709.43"/>
    <n v="20.385999999999999"/>
    <n v="118645.628"/>
    <n v="8564.4089999999997"/>
    <n v="123463.03999999999"/>
    <n v="26215.505000000001"/>
    <n v="260541.93299999999"/>
    <n v="10805.322"/>
    <n v="68558.233999999997"/>
    <n v="57029.802000000003"/>
    <x v="95"/>
    <n v="30986.835999999999"/>
    <n v="52.753"/>
    <x v="8"/>
    <n v="2"/>
    <n v="0.26313704366352419"/>
    <n v="0.21888914902615697"/>
    <n v="0.47650132387710503"/>
    <n v="0.11893224112987601"/>
    <n v="111603.10800000001"/>
    <n v="0.11893224112987601"/>
  </r>
  <r>
    <s v="2015-01"/>
    <n v="148028.27799999999"/>
    <s v="0"/>
    <n v="755.95"/>
    <n v="16.79"/>
    <n v="138614.247"/>
    <n v="8641.2909999999993"/>
    <n v="143394.91800000001"/>
    <n v="31791.81"/>
    <n v="282972.32900000003"/>
    <n v="10840.01"/>
    <n v="70124.388000000006"/>
    <n v="59936.296000000002"/>
    <x v="96"/>
    <n v="31951.244999999999"/>
    <n v="53.073"/>
    <x v="8"/>
    <n v="1"/>
    <n v="0.24781358745504758"/>
    <n v="0.21180974200484456"/>
    <n v="0.50206900265502641"/>
    <n v="0.1129129661296317"/>
    <n v="111712.20499999999"/>
    <n v="0.1129129661296317"/>
  </r>
  <r>
    <s v="2014-12"/>
    <n v="140625.845"/>
    <s v="0"/>
    <n v="755.95"/>
    <n v="15.615"/>
    <n v="131968.568"/>
    <n v="7885.7120000000004"/>
    <n v="143204.27499999999"/>
    <n v="31492.07"/>
    <n v="275627.58"/>
    <n v="9462.1990000000005"/>
    <n v="75551.293999999994"/>
    <n v="55532.235999999997"/>
    <x v="97"/>
    <n v="32596.192999999999"/>
    <n v="53.246000000000002"/>
    <x v="9"/>
    <n v="12"/>
    <n v="0.27410643738917562"/>
    <n v="0.20147561430536085"/>
    <n v="0.49008829595354714"/>
    <n v="0.11826172475192794"/>
    <n v="102130.23699999999"/>
    <n v="0.11826172475192794"/>
  </r>
  <r>
    <s v="2014-11"/>
    <n v="122772.621"/>
    <n v="80.072999999999993"/>
    <n v="755.95"/>
    <n v="9.6649999999999991"/>
    <n v="115390.43700000001"/>
    <n v="6536.4970000000003"/>
    <n v="132491.533"/>
    <n v="30361.295999999998"/>
    <n v="228981.402"/>
    <n v="8932.2780000000002"/>
    <n v="64155.894999999997"/>
    <n v="39777.811999999998"/>
    <x v="98"/>
    <n v="26303.717000000001"/>
    <n v="53.186999999999998"/>
    <x v="9"/>
    <n v="11"/>
    <n v="0.28017950121556157"/>
    <n v="0.17371634400247055"/>
    <n v="0.50709540594043534"/>
    <n v="0.11487272228335819"/>
    <n v="106081.07699999999"/>
    <n v="0.11487272228335819"/>
  </r>
  <r>
    <s v="2014-10"/>
    <n v="110819.185"/>
    <n v="155.435"/>
    <n v="755.95"/>
    <n v="21.518000000000001"/>
    <n v="104464.23"/>
    <n v="5422.0519999999997"/>
    <n v="135095.223"/>
    <n v="29014.146000000001"/>
    <n v="216205.5"/>
    <n v="9208.5529999999999"/>
    <n v="75658.778999999995"/>
    <n v="25759.611000000001"/>
    <x v="99"/>
    <n v="26081.737000000001"/>
    <n v="52.713999999999999"/>
    <x v="9"/>
    <n v="10"/>
    <n v="0.34993919673643825"/>
    <n v="0.11914410595475139"/>
    <n v="0.48832502873423667"/>
    <n v="0.12063401254824693"/>
    <n v="103709.349"/>
    <n v="0.12063401254824693"/>
  </r>
  <r>
    <s v="2014-09"/>
    <n v="107488.21"/>
    <n v="122.464"/>
    <n v="755.95"/>
    <n v="9.9359999999999999"/>
    <n v="101569.77099999999"/>
    <n v="5030.0889999999999"/>
    <n v="134748.342"/>
    <n v="31038.992999999999"/>
    <n v="201161.44699999999"/>
    <n v="8006.4030000000002"/>
    <n v="74306.535999999993"/>
    <n v="17586.829000000002"/>
    <x v="100"/>
    <n v="23318.945"/>
    <n v="52.481000000000002"/>
    <x v="9"/>
    <n v="9"/>
    <n v="0.36938755963512232"/>
    <n v="8.7426439122800723E-2"/>
    <n v="0.50338511931662533"/>
    <n v="0.11592154136771546"/>
    <n v="108010.40900000001"/>
    <n v="0.11592154136771546"/>
  </r>
  <r>
    <s v="2014-08"/>
    <n v="106867.825"/>
    <n v="103.623"/>
    <n v="755.95"/>
    <n v="23.372"/>
    <n v="99057.198000000004"/>
    <n v="6927.6819999999998"/>
    <n v="136365.47700000001"/>
    <n v="28355.067999999999"/>
    <n v="188488.821"/>
    <n v="6473.1750000000002"/>
    <n v="69717.430999999997"/>
    <n v="14111.088"/>
    <x v="101"/>
    <n v="20527.331999999999"/>
    <n v="52.320999999999998"/>
    <x v="9"/>
    <n v="8"/>
    <n v="0.36987568085005951"/>
    <n v="7.486432312078603E-2"/>
    <n v="0.5209175084181783"/>
    <n v="0.10890477159916025"/>
    <n v="114049.07399999999"/>
    <n v="0.10890477159916025"/>
  </r>
  <r>
    <s v="2014-07"/>
    <n v="115274.367"/>
    <n v="103.623"/>
    <n v="721.06"/>
    <n v="5.31"/>
    <n v="106619.163"/>
    <n v="7825.21"/>
    <n v="142409.78899999999"/>
    <n v="28360.715"/>
    <n v="207141.87400000001"/>
    <n v="7136.6450000000004"/>
    <n v="78204.376999999993"/>
    <n v="15523.199000000001"/>
    <x v="102"/>
    <n v="22638.643"/>
    <n v="52.118000000000002"/>
    <x v="9"/>
    <n v="7"/>
    <n v="0.37754016360786613"/>
    <n v="7.4939937059756448E-2"/>
    <n v="0.51306696684611441"/>
    <n v="0.10929051940507209"/>
    <n v="101043.455"/>
    <n v="0.10929051940507209"/>
  </r>
  <r>
    <s v="2014-06"/>
    <n v="106443.38400000001"/>
    <n v="122.464"/>
    <n v="721.06"/>
    <n v="10.028"/>
    <n v="98890.501000000004"/>
    <n v="6699.3310000000001"/>
    <n v="125264.36500000001"/>
    <n v="24220.91"/>
    <n v="194953.448"/>
    <n v="6868.799"/>
    <n v="72485.823999999993"/>
    <n v="16161.47"/>
    <x v="103"/>
    <n v="21551.275000000001"/>
    <n v="51.878"/>
    <x v="9"/>
    <n v="6"/>
    <n v="0.37181093611640043"/>
    <n v="8.2899123692339108E-2"/>
    <n v="0.5100569188188967"/>
    <n v="0.11054574936268889"/>
    <n v="112270.57800000001"/>
    <n v="0.11054574936268889"/>
  </r>
  <r>
    <s v="2014-05"/>
    <n v="108481.515"/>
    <n v="103.623"/>
    <n v="767.58"/>
    <n v="22.369"/>
    <n v="99269.357000000004"/>
    <n v="8318.5849999999991"/>
    <n v="135004.19200000001"/>
    <n v="22733.614000000001"/>
    <n v="198943.91800000001"/>
    <n v="7012.6229999999996"/>
    <n v="68661.02"/>
    <n v="22125.073"/>
    <x v="104"/>
    <n v="22074.537"/>
    <n v="51.8"/>
    <x v="9"/>
    <n v="5"/>
    <n v="0.34512751478032117"/>
    <n v="0.11121261319484016"/>
    <n v="0.50841063158311772"/>
    <n v="0.11095859185803307"/>
    <n v="116735.91300000002"/>
    <n v="0.11095859185803307"/>
  </r>
  <r>
    <s v="2014-04"/>
    <n v="107665.414"/>
    <n v="136.59399999999999"/>
    <n v="732.69"/>
    <n v="16.896999999999998"/>
    <n v="99323.913"/>
    <n v="7455.32"/>
    <n v="139191.74600000001"/>
    <n v="22455.832999999999"/>
    <n v="208273.016"/>
    <n v="8255.9470000000001"/>
    <n v="71018.467000000004"/>
    <n v="26240.123"/>
    <x v="105"/>
    <n v="24171.286"/>
    <n v="51.606999999999999"/>
    <x v="9"/>
    <n v="4"/>
    <n v="0.34098736535317664"/>
    <n v="0.12598906715788857"/>
    <n v="0.49338354518282868"/>
    <n v="0.11605577363896243"/>
    <n v="110591.82800000001"/>
    <n v="0.11605577363896243"/>
  </r>
  <r>
    <s v="2014-03"/>
    <n v="123416.80499999999"/>
    <n v="174.27600000000001"/>
    <n v="755.95"/>
    <n v="14.753"/>
    <n v="113702.254"/>
    <n v="8769.5720000000001"/>
    <n v="136840.78700000001"/>
    <n v="26248.958999999999"/>
    <n v="239532.91500000001"/>
    <n v="9084.9"/>
    <n v="71281.898000000001"/>
    <n v="41260.082000000002"/>
    <x v="106"/>
    <n v="27688.644"/>
    <n v="51.366"/>
    <x v="9"/>
    <n v="3"/>
    <n v="0.29758706856633876"/>
    <n v="0.17225224349647314"/>
    <n v="0.49223312378593148"/>
    <n v="0.1155943182171853"/>
    <n v="94771.289000000004"/>
    <n v="0.1155943182171853"/>
  </r>
  <r>
    <s v="2014-02"/>
    <n v="126026.12699999999"/>
    <n v="174.27600000000001"/>
    <n v="662.91"/>
    <n v="14.038"/>
    <n v="115457.11500000001"/>
    <n v="9717.7880000000005"/>
    <n v="119276.004"/>
    <n v="24504.715"/>
    <n v="240638.73800000001"/>
    <n v="7629.4620000000004"/>
    <n v="65506.673000000003"/>
    <n v="46647.538"/>
    <x v="107"/>
    <n v="26961.569"/>
    <n v="50.936"/>
    <x v="9"/>
    <n v="2"/>
    <n v="0.2722199823039298"/>
    <n v="0.19384883077304035"/>
    <n v="0.50222614614942007"/>
    <n v="0.11204168216673409"/>
    <n v="125770.842"/>
    <n v="0.11204168216673409"/>
  </r>
  <r>
    <s v="2014-01"/>
    <n v="145593.95000000001"/>
    <n v="136.59399999999999"/>
    <n v="744.32"/>
    <n v="9.6989999999999998"/>
    <n v="135384.93900000001"/>
    <n v="9318.3979999999992"/>
    <n v="153932.16500000001"/>
    <n v="28161.323"/>
    <n v="269666.71899999998"/>
    <n v="9106.1010000000006"/>
    <n v="69147.827999999994"/>
    <n v="52592.432000000001"/>
    <x v="108"/>
    <n v="29659.39"/>
    <n v="50.466999999999999"/>
    <x v="9"/>
    <n v="1"/>
    <n v="0.25641958435367768"/>
    <n v="0.19502752210219906"/>
    <n v="0.51478491493049239"/>
    <n v="0.10998535566415224"/>
    <n v="124614.72400000002"/>
    <n v="0.10998535566415224"/>
  </r>
  <r>
    <s v="2013-12"/>
    <n v="136847.64799999999"/>
    <n v="80.072999999999993"/>
    <n v="767.58"/>
    <n v="7.1609999999999996"/>
    <n v="128204.861"/>
    <n v="7787.973"/>
    <n v="149239.16200000001"/>
    <n v="24624.437999999998"/>
    <n v="271486.81400000001"/>
    <n v="9971.23"/>
    <n v="71245.38"/>
    <n v="57072.642999999996"/>
    <x v="109"/>
    <n v="32071.77"/>
    <n v="50.067"/>
    <x v="10"/>
    <n v="12"/>
    <n v="0.2624266679854293"/>
    <n v="0.21022252299885177"/>
    <n v="0.49062257955555799"/>
    <n v="0.11813380372867759"/>
    <n v="123923.579"/>
    <n v="0.11813380372867759"/>
  </r>
  <r>
    <s v="2013-11"/>
    <n v="119204.2"/>
    <n v="122.464"/>
    <n v="732.69"/>
    <n v="7.8570000000000002"/>
    <n v="110128.88499999999"/>
    <n v="8212.3050000000003"/>
    <n v="146518.804"/>
    <n v="22595.224999999999"/>
    <n v="246129.698"/>
    <n v="11710.476000000001"/>
    <n v="68342.532000000007"/>
    <n v="50326.766000000003"/>
    <x v="110"/>
    <n v="30515.75"/>
    <n v="50.128"/>
    <x v="10"/>
    <n v="11"/>
    <n v="0.27766877607756218"/>
    <n v="0.20447254601515011"/>
    <n v="0.47028019755665568"/>
    <n v="0.12398239728064023"/>
    <n v="123150.861"/>
    <n v="0.12398239728064023"/>
  </r>
  <r>
    <s v="2013-10"/>
    <n v="106865.694"/>
    <n v="141.30500000000001"/>
    <n v="789.67700000000002"/>
    <n v="96.555000000000007"/>
    <n v="99163.126000000004"/>
    <n v="6675.0309999999999"/>
    <n v="145487.973"/>
    <n v="22337.112000000001"/>
    <n v="220597.046"/>
    <n v="11331.168"/>
    <n v="79831.808999999994"/>
    <n v="27699.02"/>
    <x v="111"/>
    <n v="28289.458999999999"/>
    <n v="50.247"/>
    <x v="10"/>
    <n v="10"/>
    <n v="0.36188974624800729"/>
    <n v="0.12556387541109684"/>
    <n v="0.46118046839122223"/>
    <n v="0.12824042530469787"/>
    <n v="107921.74400000001"/>
    <n v="0.12824042530469787"/>
  </r>
  <r>
    <s v="2013-09"/>
    <n v="101475.359"/>
    <n v="160.14500000000001"/>
    <n v="803.07500000000005"/>
    <n v="260.375"/>
    <n v="94817.042000000001"/>
    <n v="5434.7219999999998"/>
    <n v="130294.52800000001"/>
    <n v="22372.784"/>
    <n v="197873.15900000001"/>
    <n v="10934.513000000001"/>
    <n v="73155.025999999998"/>
    <n v="18436.759999999998"/>
    <x v="112"/>
    <n v="24284.292000000001"/>
    <n v="50.277999999999999"/>
    <x v="10"/>
    <n v="9"/>
    <n v="0.36970666648122796"/>
    <n v="9.3174638203456367E-2"/>
    <n v="0.48185848693101424"/>
    <n v="0.12272655939151403"/>
    <n v="109355.68299999999"/>
    <n v="0.12272655939151403"/>
  </r>
  <r>
    <s v="2013-08"/>
    <n v="102357.348"/>
    <n v="9.891"/>
    <n v="878.92600000000004"/>
    <n v="297.00400000000002"/>
    <n v="95377.111999999994"/>
    <n v="5794.415"/>
    <n v="133787.03099999999"/>
    <n v="24431.348000000002"/>
    <n v="190297.90700000001"/>
    <n v="9425.9570000000003"/>
    <n v="72283.566999999995"/>
    <n v="13673.541999999999"/>
    <x v="113"/>
    <n v="22093.149000000001"/>
    <n v="50.308999999999997"/>
    <x v="10"/>
    <n v="8"/>
    <n v="0.37984425651092418"/>
    <n v="7.1853349390752885E-2"/>
    <n v="0.49876975788283368"/>
    <n v="0.11609769833149032"/>
    <n v="125921.85400000002"/>
    <n v="0.11609769833149032"/>
  </r>
  <r>
    <s v="2013-07"/>
    <n v="107251.36199999999"/>
    <n v="98.912999999999997"/>
    <n v="843.17499999999995"/>
    <n v="348.37599999999998"/>
    <n v="98138.305999999997"/>
    <n v="7822.5919999999996"/>
    <n v="150371.63200000001"/>
    <n v="24449.777999999998"/>
    <n v="204102.37899999999"/>
    <n v="8260.4699999999993"/>
    <n v="80283.053"/>
    <n v="15186.954"/>
    <x v="114"/>
    <n v="23578.039000000001"/>
    <n v="50.176000000000002"/>
    <x v="10"/>
    <n v="7"/>
    <n v="0.39334697318741202"/>
    <n v="7.4408510446612675E-2"/>
    <n v="0.49177232765131074"/>
    <n v="0.11552064760597426"/>
    <n v="108937.53800000002"/>
    <n v="0.11552064760597426"/>
  </r>
  <r>
    <s v="2013-06"/>
    <n v="101752.34"/>
    <n v="150.72499999999999"/>
    <n v="780.37300000000005"/>
    <n v="378.40100000000001"/>
    <n v="91415.824999999997"/>
    <n v="9027.0159999999996"/>
    <n v="132361.37100000001"/>
    <n v="23423.832999999999"/>
    <n v="189921.34099999999"/>
    <n v="6820.049"/>
    <n v="70853.448999999993"/>
    <n v="17555.578000000001"/>
    <x v="115"/>
    <n v="21430.760999999999"/>
    <n v="49.985999999999997"/>
    <x v="10"/>
    <n v="6"/>
    <n v="0.37306733738785047"/>
    <n v="9.2436046984314429E-2"/>
    <n v="0.49858675966278065"/>
    <n v="0.11284019419386893"/>
    <n v="133239.92600000001"/>
    <n v="0.11284019419386893"/>
  </r>
  <r>
    <s v="2013-05"/>
    <n v="110781.257"/>
    <n v="141.30500000000001"/>
    <n v="789.67700000000002"/>
    <n v="399.89800000000002"/>
    <n v="99269.63"/>
    <n v="10180.748"/>
    <n v="159652.272"/>
    <n v="26412.346000000001"/>
    <n v="213417.38399999999"/>
    <n v="7664.0079999999998"/>
    <n v="74709.956999999995"/>
    <n v="27441.113000000001"/>
    <x v="116"/>
    <n v="24945.679"/>
    <n v="49.725999999999999"/>
    <x v="10"/>
    <n v="5"/>
    <n v="0.35006500220244474"/>
    <n v="0.12857955844871569"/>
    <n v="0.48544454560458861"/>
    <n v="0.11688681836714858"/>
    <n v="126708.43000000001"/>
    <n v="0.11688681836714858"/>
  </r>
  <r>
    <s v="2013-04"/>
    <n v="110585.302"/>
    <n v="150.72499999999999"/>
    <n v="764.09100000000001"/>
    <n v="387.173"/>
    <n v="100186.098"/>
    <n v="9097.2150000000001"/>
    <n v="151625.82"/>
    <n v="24917.39"/>
    <n v="226626.397"/>
    <n v="9972.027"/>
    <n v="74462.237999999998"/>
    <n v="36200.991999999998"/>
    <x v="117"/>
    <n v="27771.616000000002"/>
    <n v="49.701999999999998"/>
    <x v="10"/>
    <n v="4"/>
    <n v="0.32856824706082233"/>
    <n v="0.15973863803694499"/>
    <n v="0.46769106071963895"/>
    <n v="0.12254360642727777"/>
    <n v="126126.73800000001"/>
    <n v="0.12254360642727777"/>
  </r>
  <r>
    <s v="2013-03"/>
    <n v="126132.56"/>
    <n v="155.435"/>
    <n v="787.351"/>
    <n v="377.42399999999998"/>
    <n v="116706.88499999999"/>
    <n v="8105.4650000000001"/>
    <n v="146155.18900000001"/>
    <n v="20028.451000000001"/>
    <n v="267716.43300000002"/>
    <n v="13782.897000000001"/>
    <n v="74345.937999999995"/>
    <n v="56580.112999999998"/>
    <x v="118"/>
    <n v="33103.203999999998"/>
    <n v="49.817"/>
    <x v="10"/>
    <n v="3"/>
    <n v="0.2777040511368235"/>
    <n v="0.21134344412843717"/>
    <n v="0.45946931094812543"/>
    <n v="0.12365025048723848"/>
    <n v="114052.68800000001"/>
    <n v="0.12365025048723848"/>
  </r>
  <r>
    <s v="2013-02"/>
    <n v="126081.03"/>
    <n v="117.754"/>
    <n v="725.71199999999999"/>
    <n v="364.95"/>
    <n v="116396.587"/>
    <n v="8476.027"/>
    <n v="139968.75700000001"/>
    <n v="25916.069"/>
    <n v="266185.33199999999"/>
    <n v="12943.653"/>
    <n v="69018.235000000001"/>
    <n v="61543.925000000003"/>
    <x v="119"/>
    <n v="32853.836000000003"/>
    <n v="50.162999999999997"/>
    <x v="10"/>
    <n v="2"/>
    <n v="0.25928639448848367"/>
    <n v="0.23120704862881025"/>
    <n v="0.46088009086841797"/>
    <n v="0.12342466714131342"/>
    <n v="121074.43100000001"/>
    <n v="0.12342466714131342"/>
  </r>
  <r>
    <s v="2013-01"/>
    <n v="143981.753"/>
    <n v="146.01499999999999"/>
    <n v="800.14400000000001"/>
    <n v="423.26400000000001"/>
    <n v="134319.11199999999"/>
    <n v="8293.2189999999991"/>
    <n v="145932.27900000001"/>
    <n v="24857.848000000002"/>
    <n v="288543.33100000001"/>
    <n v="13109.371999999999"/>
    <n v="72081.577000000005"/>
    <n v="64306.572999999997"/>
    <x v="120"/>
    <n v="34097.023000000001"/>
    <n v="49.850999999999999"/>
    <x v="10"/>
    <n v="1"/>
    <n v="0.24981196671636124"/>
    <n v="0.22286625990326561"/>
    <n v="0.48188883284223266"/>
    <n v="0.11816950640248899"/>
    <n v="125627.99799999999"/>
    <n v="0.11816950640248899"/>
  </r>
  <r>
    <s v="2012-12"/>
    <n v="136762.54300000001"/>
    <n v="108.333"/>
    <n v="798.98099999999999"/>
    <n v="422.86"/>
    <n v="126634.73"/>
    <n v="8797.6389999999992"/>
    <n v="151500.965"/>
    <n v="25872.967000000001"/>
    <n v="267959.598"/>
    <n v="9970.1919999999991"/>
    <n v="69660.210999999996"/>
    <n v="57364.58"/>
    <x v="121"/>
    <n v="31567.815999999999"/>
    <n v="50.033999999999999"/>
    <x v="11"/>
    <n v="12"/>
    <n v="0.25996535119447373"/>
    <n v="0.21407921353875148"/>
    <n v="0.48874761709412629"/>
    <n v="0.11780811822235977"/>
    <n v="118387.47900000001"/>
    <n v="0.11780811822235977"/>
  </r>
  <r>
    <s v="2012-11"/>
    <n v="125633.671"/>
    <n v="122.464"/>
    <n v="787.351"/>
    <n v="392.32299999999998"/>
    <n v="118091.255"/>
    <n v="6240.2780000000002"/>
    <n v="144997.304"/>
    <n v="26609.825000000001"/>
    <n v="252343.23499999999"/>
    <n v="10765.725"/>
    <n v="72678.195999999996"/>
    <n v="48980.815000000002"/>
    <x v="122"/>
    <n v="30917.565999999999"/>
    <n v="50.076999999999998"/>
    <x v="11"/>
    <n v="11"/>
    <n v="0.28801325305986508"/>
    <n v="0.19410393545917728"/>
    <n v="0.47521978942688914"/>
    <n v="0.1225218738279233"/>
    <n v="123932.26400000001"/>
    <n v="0.1225218738279233"/>
  </r>
  <r>
    <s v="2012-10"/>
    <n v="112192.671"/>
    <n v="98.912999999999997"/>
    <n v="805.95899999999995"/>
    <n v="428.14299999999997"/>
    <n v="104797.89599999999"/>
    <n v="6061.759"/>
    <n v="151285.30900000001"/>
    <n v="27353.044999999998"/>
    <n v="229471.72500000001"/>
    <n v="11422.69"/>
    <n v="79663.173999999999"/>
    <n v="31197.776999999998"/>
    <x v="123"/>
    <n v="29059.444"/>
    <n v="49.957999999999998"/>
    <x v="11"/>
    <n v="10"/>
    <n v="0.34715899747561491"/>
    <n v="0.13595477612764709"/>
    <n v="0.46710802387527267"/>
    <n v="0.12663627294386703"/>
    <n v="109212.54700000001"/>
    <n v="0.12663627294386703"/>
  </r>
  <r>
    <s v="2012-09"/>
    <n v="102515.32"/>
    <n v="89.492999999999995"/>
    <n v="789.67700000000002"/>
    <n v="440.86"/>
    <n v="96273.91"/>
    <n v="4921.3810000000003"/>
    <n v="130879.455"/>
    <n v="21666.907999999999"/>
    <n v="198201.89600000001"/>
    <n v="9309.32"/>
    <n v="73701.635999999999"/>
    <n v="18098.257000000001"/>
    <x v="124"/>
    <n v="23525.710999999999"/>
    <n v="49.994999999999997"/>
    <x v="11"/>
    <n v="9"/>
    <n v="0.37185131669981603"/>
    <n v="9.1312229424889063E-2"/>
    <n v="0.48986757422340699"/>
    <n v="0.11869569098370279"/>
    <n v="134426.71600000001"/>
    <n v="0.11869569098370279"/>
  </r>
  <r>
    <s v="2012-08"/>
    <n v="97210.593999999997"/>
    <n v="160.14500000000001"/>
    <n v="826.89300000000003"/>
    <n v="449.27699999999999"/>
    <n v="90827.354999999996"/>
    <n v="4946.9229999999998"/>
    <n v="160610.79500000001"/>
    <n v="26184.079000000002"/>
    <n v="187456.67499999999"/>
    <n v="8786.2170000000006"/>
    <n v="72187.41"/>
    <n v="14331.742"/>
    <x v="125"/>
    <n v="21830.271000000001"/>
    <n v="49.936"/>
    <x v="11"/>
    <n v="8"/>
    <n v="0.38508850111632464"/>
    <n v="7.6453623217204725E-2"/>
    <n v="0.49158722142062961"/>
    <n v="0.11645502087348984"/>
    <n v="120260.93000000001"/>
    <n v="0.11645502087348984"/>
  </r>
  <r>
    <s v="2012-07"/>
    <n v="99907.206000000006"/>
    <n v="141.30500000000001"/>
    <n v="811.774"/>
    <n v="462.08300000000003"/>
    <n v="92115.646999999997"/>
    <n v="6376.3969999999999"/>
    <n v="143123.75200000001"/>
    <n v="22862.822"/>
    <n v="199998.35200000001"/>
    <n v="9649.8520000000008"/>
    <n v="78744.403999999995"/>
    <n v="16382.46"/>
    <x v="126"/>
    <n v="24267.831999999999"/>
    <n v="50.045999999999999"/>
    <x v="11"/>
    <n v="7"/>
    <n v="0.39372526429617777"/>
    <n v="8.1912974962913679E-2"/>
    <n v="0.47611210316373004"/>
    <n v="0.12134015984291709"/>
    <n v="114928.72900000001"/>
    <n v="0.12134015984291709"/>
  </r>
  <r>
    <s v="2012-06"/>
    <n v="94743.801000000007"/>
    <n v="103.623"/>
    <n v="805.95899999999995"/>
    <n v="468.35199999999998"/>
    <n v="84994.337"/>
    <n v="8371.5300000000007"/>
    <n v="138417.47500000001"/>
    <n v="23488.745999999999"/>
    <n v="190427.07"/>
    <n v="8424.5550000000003"/>
    <n v="74498.290999999997"/>
    <n v="17837.664000000001"/>
    <x v="127"/>
    <n v="22981.245999999999"/>
    <n v="50.399000000000001"/>
    <x v="11"/>
    <n v="6"/>
    <n v="0.39121691574627493"/>
    <n v="9.3671892341776822E-2"/>
    <n v="0.47087087460832117"/>
    <n v="0.12068266344695636"/>
    <n v="113430.41700000002"/>
    <n v="0.12068266344695636"/>
  </r>
  <r>
    <s v="2012-05"/>
    <n v="103473.38400000001"/>
    <n v="122.464"/>
    <n v="846.66399999999999"/>
    <n v="462.88900000000001"/>
    <n v="92837.989000000001"/>
    <n v="9203.3770000000004"/>
    <n v="137323.72200000001"/>
    <n v="23893.305"/>
    <n v="200073.761"/>
    <n v="8702.1020000000008"/>
    <n v="71621.028999999995"/>
    <n v="22197.901999999998"/>
    <x v="128"/>
    <n v="23131.576000000001"/>
    <n v="50.753999999999998"/>
    <x v="11"/>
    <n v="5"/>
    <n v="0.35797312272247434"/>
    <n v="0.11094859160467323"/>
    <n v="0.48758382164865688"/>
    <n v="0.11561524052121958"/>
    <n v="115977.16899999999"/>
    <n v="0.11561524052121958"/>
  </r>
  <r>
    <s v="2012-04"/>
    <n v="113938.07"/>
    <n v="113.044"/>
    <n v="836.197"/>
    <n v="425.72500000000002"/>
    <n v="105259.43399999999"/>
    <n v="7303.67"/>
    <n v="137309.45499999999"/>
    <n v="21332.286"/>
    <n v="226911.49"/>
    <n v="10976.125"/>
    <n v="70298.698000000004"/>
    <n v="36621.881000000001"/>
    <x v="129"/>
    <n v="26889.206999999999"/>
    <n v="50.886000000000003"/>
    <x v="11"/>
    <n v="4"/>
    <n v="0.309806691587103"/>
    <n v="0.16139280121954161"/>
    <n v="0.48042867287152358"/>
    <n v="0.11850086128296103"/>
    <n v="118857.41199999998"/>
    <n v="0.11850086128296103"/>
  </r>
  <r>
    <s v="2012-03"/>
    <n v="125838.06200000001"/>
    <n v="108.333"/>
    <n v="855.96799999999996"/>
    <n v="388.11399999999998"/>
    <n v="119245.978"/>
    <n v="5239.6679999999997"/>
    <n v="144011.72099999999"/>
    <n v="25154.309000000001"/>
    <n v="248012.10699999999"/>
    <n v="10225.482"/>
    <n v="74211.03"/>
    <n v="44111.031999999999"/>
    <x v="130"/>
    <n v="29033.759999999998"/>
    <n v="51.070999999999998"/>
    <x v="11"/>
    <n v="3"/>
    <n v="0.29922341654070944"/>
    <n v="0.17785838172811461"/>
    <n v="0.48168843225060781"/>
    <n v="0.11706589791602391"/>
    <n v="117455.70300000001"/>
    <n v="0.11706589791602391"/>
  </r>
  <r>
    <s v="2012-02"/>
    <n v="130381.27"/>
    <n v="113.044"/>
    <n v="766.41700000000003"/>
    <n v="421.06900000000002"/>
    <n v="122565.787"/>
    <n v="6514.9539999999997"/>
    <n v="145729.258"/>
    <n v="28273.555"/>
    <n v="292046.30800000002"/>
    <n v="12635.246999999999"/>
    <n v="77645.369000000006"/>
    <n v="72136.913"/>
    <x v="131"/>
    <n v="36820.063999999998"/>
    <n v="50.884"/>
    <x v="11"/>
    <n v="2"/>
    <n v="0.26586663441059494"/>
    <n v="0.24700505030866543"/>
    <n v="0.44386378614996902"/>
    <n v="0.12607611529881074"/>
    <n v="128829.81200000001"/>
    <n v="0.12607611529881074"/>
  </r>
  <r>
    <s v="2012-01"/>
    <n v="145495.777"/>
    <n v="84.783000000000001"/>
    <n v="793.16600000000005"/>
    <n v="467.27699999999999"/>
    <n v="135687.63"/>
    <n v="8462.9210000000003"/>
    <n v="159189.21100000001"/>
    <n v="30359.399000000001"/>
    <n v="281401.12"/>
    <n v="7779.2049999999999"/>
    <n v="74457.585999999996"/>
    <n v="60512.296999999999"/>
    <x v="132"/>
    <n v="31869.597000000002"/>
    <n v="51.334000000000003"/>
    <x v="11"/>
    <n v="1"/>
    <n v="0.26459591205607141"/>
    <n v="0.21503928982230064"/>
    <n v="0.49272025640836115"/>
    <n v="0.1132532699230195"/>
    <n v="114049.539"/>
    <n v="0.1132532699230195"/>
  </r>
  <r>
    <s v="2011-12"/>
    <n v="135891.03899999999"/>
    <n v="117.754"/>
    <n v="852.47900000000004"/>
    <n v="481.96300000000002"/>
    <n v="126664.766"/>
    <n v="7774.0770000000002"/>
    <n v="143261.068"/>
    <n v="29211.528999999999"/>
    <n v="263859.37800000003"/>
    <n v="8349.6530000000002"/>
    <n v="70312.653999999995"/>
    <n v="55586.097000000002"/>
    <x v="133"/>
    <n v="30824.053"/>
    <n v="51.174999999999997"/>
    <x v="12"/>
    <n v="12"/>
    <n v="0.26647775240340327"/>
    <n v="0.2106656106799433"/>
    <n v="0.49121230779222103"/>
    <n v="0.11682000175108423"/>
    <n v="122431.33800000002"/>
    <n v="0.11682000175108423"/>
  </r>
  <r>
    <s v="2011-11"/>
    <n v="113819.876"/>
    <n v="164.85499999999999"/>
    <n v="851.31600000000003"/>
    <n v="491.27699999999999"/>
    <n v="107339.353"/>
    <n v="4973.0749999999998"/>
    <n v="150811.51800000001"/>
    <n v="28380.18"/>
    <n v="235282.772"/>
    <n v="11505.388000000001"/>
    <n v="68708.876999999993"/>
    <n v="46615.773000000001"/>
    <x v="134"/>
    <n v="29445.481"/>
    <n v="50.552999999999997"/>
    <x v="12"/>
    <n v="11"/>
    <n v="0.29202680849067858"/>
    <n v="0.19812658871598129"/>
    <n v="0.46094634587185157"/>
    <n v="0.12514932882548663"/>
    <n v="122701.74300000002"/>
    <n v="0.12514932882548663"/>
  </r>
  <r>
    <s v="2011-10"/>
    <n v="110444.205"/>
    <n v="98.912999999999997"/>
    <n v="888.53200000000004"/>
    <n v="510.262"/>
    <n v="104447.591"/>
    <n v="4498.9080000000004"/>
    <n v="149743.40900000001"/>
    <n v="27041.666000000001"/>
    <n v="223901.64199999999"/>
    <n v="10573.324000000001"/>
    <n v="76068.341"/>
    <n v="32137.167000000001"/>
    <x v="135"/>
    <n v="27887.870999999999"/>
    <n v="50.408999999999999"/>
    <x v="12"/>
    <n v="10"/>
    <n v="0.33973998725744048"/>
    <n v="0.14353252040911788"/>
    <n v="0.46950441747988608"/>
    <n v="0.12455411559688338"/>
    <n v="114338.33499999999"/>
    <n v="0.12455411559688338"/>
  </r>
  <r>
    <s v="2011-09"/>
    <n v="105985.55"/>
    <n v="18.841000000000001"/>
    <n v="894.34699999999998"/>
    <n v="505.42599999999999"/>
    <n v="100278.478"/>
    <n v="4288.4579999999996"/>
    <n v="140924.57199999999"/>
    <n v="26586.237000000001"/>
    <n v="208415.07800000001"/>
    <n v="8157.2460000000001"/>
    <n v="80490.066999999995"/>
    <n v="19466.596000000001"/>
    <x v="136"/>
    <n v="24927.702000000001"/>
    <n v="50.209000000000003"/>
    <x v="12"/>
    <n v="9"/>
    <n v="0.38620078629819665"/>
    <n v="9.3403011849267456E-2"/>
    <n v="0.48125677836034486"/>
    <n v="0.11960603925211208"/>
    <n v="111361.74899999998"/>
    <n v="0.11960603925211208"/>
  </r>
  <r>
    <s v="2011-08"/>
    <n v="106584.087"/>
    <n v="42.390999999999998"/>
    <n v="911.79200000000003"/>
    <n v="504.709"/>
    <n v="100293.784"/>
    <n v="4831.4110000000001"/>
    <n v="140842.85999999999"/>
    <n v="29481.111000000001"/>
    <n v="200101.74900000001"/>
    <n v="6902.2969999999996"/>
    <n v="77815.167000000001"/>
    <n v="15606.053"/>
    <x v="137"/>
    <n v="22816.170999999998"/>
    <n v="50.170999999999999"/>
    <x v="12"/>
    <n v="8"/>
    <n v="0.38887799526429923"/>
    <n v="7.7990587678471515E-2"/>
    <n v="0.49863748067489405"/>
    <n v="0.11402284644698432"/>
    <n v="117319.887"/>
    <n v="0.11402284644698432"/>
  </r>
  <r>
    <s v="2011-07"/>
    <n v="113554.014"/>
    <n v="18.841000000000001"/>
    <n v="900.16200000000003"/>
    <n v="523.69399999999996"/>
    <n v="106785.193"/>
    <n v="5326.1239999999998"/>
    <n v="143069.962"/>
    <n v="25750.075000000001"/>
    <n v="207672.29300000001"/>
    <n v="6848.3010000000004"/>
    <n v="77497.668000000005"/>
    <n v="17388.117999999999"/>
    <x v="138"/>
    <n v="22639.427"/>
    <n v="50.338999999999999"/>
    <x v="12"/>
    <n v="7"/>
    <n v="0.37317288156489897"/>
    <n v="8.3728636828794487E-2"/>
    <n v="0.51012200264962648"/>
    <n v="0.10901515398590027"/>
    <n v="112368.15900000001"/>
    <n v="0.10901515398590027"/>
  </r>
  <r>
    <s v="2011-06"/>
    <n v="110796.144"/>
    <n v="23.550999999999998"/>
    <n v="888.53200000000004"/>
    <n v="510.79899999999998"/>
    <n v="103918.02899999999"/>
    <n v="5455.2330000000002"/>
    <n v="142716.93400000001"/>
    <n v="30348.775000000001"/>
    <n v="202641.88"/>
    <n v="7195.6040000000003"/>
    <n v="74054.024999999994"/>
    <n v="18074.078000000001"/>
    <x v="139"/>
    <n v="22069.782999999999"/>
    <n v="50.177999999999997"/>
    <x v="12"/>
    <n v="6"/>
    <n v="0.36544284429260127"/>
    <n v="8.9192214363585653E-2"/>
    <n v="0.50985597350360146"/>
    <n v="0.10891027560541779"/>
    <n v="121552.226"/>
    <n v="0.10891027560541779"/>
  </r>
  <r>
    <s v="2011-05"/>
    <n v="111455.164"/>
    <n v="28.260999999999999"/>
    <n v="945.51900000000001"/>
    <n v="500.76900000000001"/>
    <n v="105566.541"/>
    <n v="4414.0739999999996"/>
    <n v="151810.74"/>
    <n v="30258.513999999999"/>
    <n v="208519.47899999999"/>
    <n v="9395.2860000000001"/>
    <n v="73794.676000000007"/>
    <n v="20689.863000000001"/>
    <x v="140"/>
    <n v="23690.069"/>
    <n v="49.984999999999999"/>
    <x v="12"/>
    <n v="5"/>
    <n v="0.35389823700835166"/>
    <n v="9.9222687008536037E-2"/>
    <n v="0.50182196167869764"/>
    <n v="0.11361082002319793"/>
    <n v="127660.91400000002"/>
    <n v="0.11361082002319793"/>
  </r>
  <r>
    <s v="2011-04"/>
    <n v="110975.645"/>
    <n v="37.680999999999997"/>
    <n v="901.32500000000005"/>
    <n v="334.11500000000001"/>
    <n v="104735.57"/>
    <n v="4966.9539999999997"/>
    <n v="152414.19200000001"/>
    <n v="24753.277999999998"/>
    <n v="210955.83"/>
    <n v="8455.2330000000002"/>
    <n v="72531.657999999996"/>
    <n v="25382.334999999999"/>
    <x v="141"/>
    <n v="24195.620999999999"/>
    <n v="49.682000000000002"/>
    <x v="12"/>
    <n v="4"/>
    <n v="0.34382390854047507"/>
    <n v="0.12032061403564907"/>
    <n v="0.49577489278205783"/>
    <n v="0.114695199464267"/>
    <n v="128201.60700000002"/>
    <n v="0.114695199464267"/>
  </r>
  <r>
    <s v="2011-03"/>
    <n v="126710.96400000001"/>
    <n v="80.072999999999993"/>
    <n v="940.86699999999996"/>
    <n v="358.47300000000001"/>
    <n v="119591.671"/>
    <n v="5739.8819999999996"/>
    <n v="158694.51800000001"/>
    <n v="30492.911"/>
    <n v="259982.32399999999"/>
    <n v="10055.058000000001"/>
    <n v="79435.225999999995"/>
    <n v="49816.326000000001"/>
    <x v="142"/>
    <n v="31493.013999999999"/>
    <n v="49.383000000000003"/>
    <x v="12"/>
    <n v="3"/>
    <n v="0.30554087207867253"/>
    <n v="0.19161428066932737"/>
    <n v="0.46416891788381742"/>
    <n v="0.12113521225389154"/>
    <n v="115729.16800000001"/>
    <n v="0.12113521225389154"/>
  </r>
  <r>
    <s v="2011-02"/>
    <n v="127804.92600000001"/>
    <n v="51.811999999999998"/>
    <n v="840.84900000000005"/>
    <n v="500.94799999999998"/>
    <n v="121352.736"/>
    <n v="5058.5810000000001"/>
    <n v="146696.02600000001"/>
    <n v="30966.858"/>
    <n v="262507.201"/>
    <n v="9812.3080000000009"/>
    <n v="75483.351999999999"/>
    <n v="54721.93"/>
    <x v="143"/>
    <n v="31871.526999999998"/>
    <n v="49.125"/>
    <x v="12"/>
    <n v="2"/>
    <n v="0.28754773854756083"/>
    <n v="0.20845877671751945"/>
    <n v="0.46661428918287084"/>
    <n v="0.12141201033186133"/>
    <n v="146402.29799999998"/>
    <n v="0.12141201033186133"/>
  </r>
  <r>
    <s v="2011-01"/>
    <n v="147820.75899999999"/>
    <n v="18.841000000000001"/>
    <n v="940.86699999999996"/>
    <n v="630.68600000000004"/>
    <n v="138909.815"/>
    <n v="7320.55"/>
    <n v="175831.83"/>
    <n v="29429.531999999999"/>
    <n v="294545.58799999999"/>
    <n v="9132.7790000000005"/>
    <n v="76873.137000000002"/>
    <n v="66059.982000000004"/>
    <x v="144"/>
    <n v="34253.938000000002"/>
    <n v="48.865000000000002"/>
    <x v="12"/>
    <n v="1"/>
    <n v="0.26098892711983179"/>
    <n v="0.22427761504952506"/>
    <n v="0.48372712342240215"/>
    <n v="0.11629418125930308"/>
    <n v="128425.212"/>
    <n v="0.11629418125930308"/>
  </r>
  <r>
    <s v="2010-12"/>
    <n v="142525.71599999999"/>
    <n v="117.754"/>
    <n v="945.51900000000001"/>
    <n v="606.26"/>
    <n v="132842.122"/>
    <n v="8014.0609999999997"/>
    <n v="159229.736"/>
    <n v="30804.524000000001"/>
    <n v="311197.84700000001"/>
    <n v="13337.896000000001"/>
    <n v="83451.065000000002"/>
    <n v="74382.851999999999"/>
    <x v="145"/>
    <n v="39289.904999999999"/>
    <n v="48.438000000000002"/>
    <x v="13"/>
    <n v="12"/>
    <n v="0.26816080446726226"/>
    <n v="0.23902110093968612"/>
    <n v="0.44995823509023186"/>
    <n v="0.12625378156938213"/>
    <n v="153622.13200000001"/>
    <n v="0.12625378156938213"/>
  </r>
  <r>
    <s v="2010-11"/>
    <n v="120812.602"/>
    <n v="103.623"/>
    <n v="922.25900000000001"/>
    <n v="537.30600000000004"/>
    <n v="112760.29700000001"/>
    <n v="6489.1170000000002"/>
    <n v="181507.37400000001"/>
    <n v="27885.241999999998"/>
    <n v="257209.33499999999"/>
    <n v="11387.513999999999"/>
    <n v="74928.600999999995"/>
    <n v="53965.224000000002"/>
    <x v="146"/>
    <n v="32017.216"/>
    <n v="48.372999999999998"/>
    <x v="13"/>
    <n v="11"/>
    <n v="0.2913136920166603"/>
    <n v="0.20981051873564388"/>
    <n v="0.45460245834390112"/>
    <n v="0.12447921456660972"/>
    <n v="103794.34600000001"/>
    <n v="0.12447921456660972"/>
  </r>
  <r>
    <s v="2010-10"/>
    <n v="108452.93399999999"/>
    <n v="160.14500000000001"/>
    <n v="955.98599999999999"/>
    <n v="545.36599999999999"/>
    <n v="101708.371"/>
    <n v="5083.0659999999998"/>
    <n v="119898.573"/>
    <n v="16104.227000000001"/>
    <n v="231261.07"/>
    <n v="11375.406999999999"/>
    <n v="77277.861000000004"/>
    <n v="36385.466999999997"/>
    <x v="147"/>
    <n v="29187.666000000001"/>
    <n v="48.298999999999999"/>
    <x v="13"/>
    <n v="10"/>
    <n v="0.33415853779453675"/>
    <n v="0.15733502832967086"/>
    <n v="0.45931783935791703"/>
    <n v="0.12621089230452839"/>
    <n v="112849.75100000002"/>
    <n v="0.12621089230452839"/>
  </r>
  <r>
    <s v="2010-09"/>
    <n v="106770.304"/>
    <n v="108.333"/>
    <n v="923.42200000000003"/>
    <n v="710.13900000000001"/>
    <n v="100872.091"/>
    <n v="4156.3180000000002"/>
    <n v="138419.55300000001"/>
    <n v="25569.802"/>
    <n v="212154.519"/>
    <n v="8920.82"/>
    <n v="81546.070999999996"/>
    <n v="20269.868999999999"/>
    <x v="148"/>
    <n v="25494.594000000001"/>
    <n v="48.188000000000002"/>
    <x v="13"/>
    <n v="9"/>
    <n v="0.38437112433131815"/>
    <n v="9.554295188027552E-2"/>
    <n v="0.47803723191020037"/>
    <n v="0.12016993142625447"/>
    <n v="122452.23700000001"/>
    <n v="0.12016993142625447"/>
  </r>
  <r>
    <s v="2010-08"/>
    <n v="110269.231"/>
    <n v="103.623"/>
    <n v="932.726"/>
    <n v="710.13900000000001"/>
    <n v="103451.927"/>
    <n v="5070.8149999999996"/>
    <n v="153277.17600000001"/>
    <n v="30824.938999999998"/>
    <n v="197875.429"/>
    <n v="5944.8040000000001"/>
    <n v="74578.538"/>
    <n v="14737.407999999999"/>
    <x v="149"/>
    <n v="21713.024000000001"/>
    <n v="48.005000000000003"/>
    <x v="13"/>
    <n v="8"/>
    <n v="0.37689640586957363"/>
    <n v="7.4478211238647521E-2"/>
    <n v="0.51858221871498766"/>
    <n v="0.10973077410232678"/>
    <n v="123894.239"/>
    <n v="0.10973077410232678"/>
  </r>
  <r>
    <s v="2010-07"/>
    <n v="109001.159"/>
    <n v="75.361999999999995"/>
    <n v="946.68200000000002"/>
    <n v="692.22900000000004"/>
    <n v="101295.785"/>
    <n v="5991.1"/>
    <n v="151848.231"/>
    <n v="27953.991999999998"/>
    <n v="207789.36300000001"/>
    <n v="9227.4699999999993"/>
    <n v="79188.67"/>
    <n v="16719.171999999999"/>
    <x v="150"/>
    <n v="23980.41"/>
    <n v="47.728999999999999"/>
    <x v="13"/>
    <n v="7"/>
    <n v="0.38110069185784062"/>
    <n v="8.0462116821639215E-2"/>
    <n v="0.49402938397765817"/>
    <n v="0.11540730311589625"/>
    <n v="115709.15499999998"/>
    <n v="0.11540730311589625"/>
  </r>
  <r>
    <s v="2010-06"/>
    <n v="103831.497"/>
    <n v="94.203000000000003"/>
    <n v="917.60699999999997"/>
    <n v="510.44099999999997"/>
    <n v="94335.046000000002"/>
    <n v="7974.2"/>
    <n v="141966.56899999999"/>
    <n v="26257.414000000001"/>
    <n v="199746.15299999999"/>
    <n v="8376.0879999999997"/>
    <n v="76132.305999999997"/>
    <n v="18216.464"/>
    <x v="151"/>
    <n v="23194.507000000001"/>
    <n v="47.534999999999997"/>
    <x v="13"/>
    <n v="6"/>
    <n v="0.38114529294589217"/>
    <n v="9.1198071784641579E-2"/>
    <n v="0.48572297159585348"/>
    <n v="0.11611991846471258"/>
    <n v="128937.39599999999"/>
    <n v="0.11611991846471258"/>
  </r>
  <r>
    <s v="2010-05"/>
    <n v="102154.599"/>
    <n v="71.593999999999994"/>
    <n v="843.17499999999995"/>
    <n v="577.60400000000004"/>
    <n v="93362.235000000001"/>
    <n v="7299.991"/>
    <n v="153997.76699999999"/>
    <n v="25060.370999999999"/>
    <n v="207166.40400000001"/>
    <n v="9748.1830000000009"/>
    <n v="71639.637000000002"/>
    <n v="27255.741999999998"/>
    <x v="152"/>
    <n v="24569.437000000002"/>
    <n v="47.332999999999998"/>
    <x v="13"/>
    <n v="5"/>
    <n v="0.34580721399209113"/>
    <n v="0.13156448861273856"/>
    <n v="0.47557344771017984"/>
    <n v="0.11859759365229895"/>
    <n v="126891.93100000001"/>
    <n v="0.11859759365229895"/>
  </r>
  <r>
    <s v="2010-04"/>
    <n v="107658.424"/>
    <n v="84.783000000000001"/>
    <n v="860.62"/>
    <n v="503.27699999999999"/>
    <n v="99668.426000000007"/>
    <n v="6541.3180000000002"/>
    <n v="156901.78400000001"/>
    <n v="30009.852999999999"/>
    <n v="221499.166"/>
    <n v="10884.946"/>
    <n v="74383.153999999995"/>
    <n v="32611.788"/>
    <x v="153"/>
    <n v="27179.276999999998"/>
    <n v="47.639000000000003"/>
    <x v="13"/>
    <n v="4"/>
    <n v="0.33581685810952444"/>
    <n v="0.1472321028964958"/>
    <n v="0.46780888556483324"/>
    <n v="0.12270600152056554"/>
    <n v="147284.576"/>
    <n v="0.12270600152056554"/>
  </r>
  <r>
    <s v="2010-03"/>
    <n v="123488.53599999999"/>
    <n v="94.438999999999993"/>
    <n v="886.20600000000002"/>
    <n v="665.36400000000003"/>
    <n v="114382.671"/>
    <n v="7459.857"/>
    <n v="177394.45499999999"/>
    <n v="30109.879000000001"/>
    <n v="268508.32199999999"/>
    <n v="12538.807000000001"/>
    <n v="80113.255000000005"/>
    <n v="56160.118999999999"/>
    <x v="154"/>
    <n v="34317.368000000002"/>
    <n v="47.732999999999997"/>
    <x v="13"/>
    <n v="3"/>
    <n v="0.29836414157770502"/>
    <n v="0.20915597170951"/>
    <n v="0.44578186667897768"/>
    <n v="0.12780746512579227"/>
    <n v="115536.171"/>
    <n v="0.12780746512579227"/>
  </r>
  <r>
    <s v="2010-02"/>
    <n v="123456.59299999999"/>
    <n v="98.912999999999997"/>
    <n v="755.95"/>
    <n v="552.53"/>
    <n v="115196.484"/>
    <n v="6852.7160000000003"/>
    <n v="142095.283"/>
    <n v="26559.112000000001"/>
    <n v="268886.75"/>
    <n v="11035.633"/>
    <n v="74991.403000000006"/>
    <n v="61905.711000000003"/>
    <x v="155"/>
    <n v="34036.552000000003"/>
    <n v="47.860999999999997"/>
    <x v="13"/>
    <n v="2"/>
    <n v="0.27889586601050442"/>
    <n v="0.23022968219891832"/>
    <n v="0.44983251499004689"/>
    <n v="0.12658322509383599"/>
    <n v="139570.18"/>
    <n v="0.12658322509383599"/>
  </r>
  <r>
    <s v="2010-01"/>
    <n v="136959.655"/>
    <n v="117.754"/>
    <n v="869.92399999999998"/>
    <n v="639.39400000000001"/>
    <n v="128292.75599999999"/>
    <n v="7039.8280000000004"/>
    <n v="161372.253"/>
    <n v="21802.073"/>
    <n v="297460.60800000001"/>
    <n v="14092.638999999999"/>
    <n v="72280.45"/>
    <n v="75376.868000000002"/>
    <x v="156"/>
    <n v="37107.428999999996"/>
    <n v="47.982999999999997"/>
    <x v="13"/>
    <n v="1"/>
    <n v="0.24299167034580926"/>
    <n v="0.25340117640047316"/>
    <n v="0.45623066500287662"/>
    <n v="0.124747371591468"/>
    <n v="129960.34999999999"/>
    <n v="0.124747371591468"/>
  </r>
  <r>
    <s v="2009-12"/>
    <n v="128152.69100000001"/>
    <n v="211.95699999999999"/>
    <n v="895.51"/>
    <n v="588.35"/>
    <n v="120193.633"/>
    <n v="6263.241"/>
    <n v="159103.78899999999"/>
    <n v="29143.438999999998"/>
    <n v="285337.038"/>
    <n v="12528.813"/>
    <n v="84365.183000000005"/>
    <n v="62783.311000000002"/>
    <x v="157"/>
    <n v="37100.161999999997"/>
    <n v="48.021999999999998"/>
    <x v="14"/>
    <n v="12"/>
    <n v="0.29566853147189398"/>
    <n v="0.22003211163914865"/>
    <n v="0.44039053563035863"/>
    <n v="0.13002224408034962"/>
    <n v="141610.20699999999"/>
    <n v="0.13002224408034962"/>
  </r>
  <r>
    <s v="2009-11"/>
    <n v="107010.66099999999"/>
    <n v="98.912999999999997"/>
    <n v="879.22799999999995"/>
    <n v="694.91600000000005"/>
    <n v="100247.048"/>
    <n v="5090.5559999999996"/>
    <n v="163455.837"/>
    <n v="21845.63"/>
    <n v="233030.783"/>
    <n v="11700.025"/>
    <n v="71204.675000000003"/>
    <n v="45896.678999999996"/>
    <x v="158"/>
    <n v="29338.440999999999"/>
    <n v="48.259"/>
    <x v="14"/>
    <n v="11"/>
    <n v="0.30555909431072892"/>
    <n v="0.19695543399517307"/>
    <n v="0.44727740969741325"/>
    <n v="0.12589942248102046"/>
    <n v="132777.12400000001"/>
    <n v="0.12589942248102046"/>
  </r>
  <r>
    <s v="2009-10"/>
    <n v="104157.05899999999"/>
    <n v="32.970999999999997"/>
    <n v="921.096"/>
    <n v="702.97500000000002"/>
    <n v="98785.998000000007"/>
    <n v="3714.0189999999998"/>
    <n v="156408.82800000001"/>
    <n v="23631.704000000002"/>
    <n v="228883.66899999999"/>
    <n v="12809.05"/>
    <n v="81400.695999999996"/>
    <n v="31745.83"/>
    <x v="159"/>
    <n v="29423.253000000001"/>
    <n v="48.475000000000001"/>
    <x v="14"/>
    <n v="10"/>
    <n v="0.35564221927952405"/>
    <n v="0.13869853685367128"/>
    <n v="0.44969610304525481"/>
    <n v="0.1285511243705203"/>
    <n v="112073.967"/>
    <n v="0.1285511243705203"/>
  </r>
  <r>
    <s v="2009-09"/>
    <n v="96917.028999999995"/>
    <n v="14.13"/>
    <n v="883.88"/>
    <n v="678.79700000000003"/>
    <n v="91803.258000000002"/>
    <n v="3536.9639999999999"/>
    <n v="137286.74400000001"/>
    <n v="25212.776999999998"/>
    <n v="202368.77499999999"/>
    <n v="11420.579"/>
    <n v="78501.5"/>
    <n v="18368.701000000001"/>
    <x v="160"/>
    <n v="25294.499"/>
    <n v="48.508000000000003"/>
    <x v="14"/>
    <n v="9"/>
    <n v="0.38791310566563447"/>
    <n v="9.0768454767787179E-2"/>
    <n v="0.46488394763470797"/>
    <n v="0.12499210414254867"/>
    <n v="123199.32800000001"/>
    <n v="0.12499210414254867"/>
  </r>
  <r>
    <s v="2009-08"/>
    <n v="96193.024000000005"/>
    <n v="14.13"/>
    <n v="912.95500000000004"/>
    <n v="682.37900000000002"/>
    <n v="90316.490999999995"/>
    <n v="4267.0690000000004"/>
    <n v="147054.89000000001"/>
    <n v="23855.562000000002"/>
    <n v="184684.98499999999"/>
    <n v="8048.8909999999996"/>
    <n v="69693.077000000005"/>
    <n v="14433.83"/>
    <x v="161"/>
    <n v="21222.62"/>
    <n v="48.545000000000002"/>
    <x v="14"/>
    <n v="8"/>
    <n v="0.37736190086053834"/>
    <n v="7.8153781694814017E-2"/>
    <n v="0.50090258284938549"/>
    <n v="0.11491253606783465"/>
    <n v="129068.644"/>
    <n v="0.11491253606783465"/>
  </r>
  <r>
    <s v="2009-07"/>
    <n v="99477.119999999995"/>
    <n v="9.42"/>
    <n v="830.38199999999995"/>
    <n v="677.00599999999997"/>
    <n v="92456.012000000002"/>
    <n v="5504.3"/>
    <n v="157032.09"/>
    <n v="27963.446"/>
    <n v="199239.823"/>
    <n v="8354.5660000000007"/>
    <n v="78401.319000000003"/>
    <n v="15881.87"/>
    <x v="162"/>
    <n v="23392.973000000002"/>
    <n v="48.707999999999998"/>
    <x v="14"/>
    <n v="7"/>
    <n v="0.39350225180635701"/>
    <n v="7.9712327389489801E-2"/>
    <n v="0.4848532112980245"/>
    <n v="0.1174111312074394"/>
    <n v="120848.24"/>
    <n v="0.1174111312074394"/>
  </r>
  <r>
    <s v="2009-06"/>
    <n v="95266.205000000002"/>
    <s v="0"/>
    <n v="937.37800000000004"/>
    <n v="676.11"/>
    <n v="86803.48"/>
    <n v="6849.2370000000001"/>
    <n v="149930.29800000001"/>
    <n v="29082.058000000001"/>
    <n v="193584.96100000001"/>
    <n v="7635.2259999999997"/>
    <n v="77684.910999999993"/>
    <n v="16562.456999999999"/>
    <x v="163"/>
    <n v="23051.580999999998"/>
    <n v="48.76"/>
    <x v="14"/>
    <n v="6"/>
    <n v="0.40129620916161968"/>
    <n v="8.5556527296559978E-2"/>
    <n v="0.47370604372516306"/>
    <n v="0.1190773336984581"/>
    <n v="130961.32799999999"/>
    <n v="0.1190773336984581"/>
  </r>
  <r>
    <s v="2009-05"/>
    <n v="105074.11"/>
    <n v="9.42"/>
    <n v="931.56299999999999"/>
    <n v="745.96"/>
    <n v="95638.402000000002"/>
    <n v="7748.7650000000003"/>
    <n v="155784.05499999999"/>
    <n v="24822.726999999999"/>
    <n v="195367.21900000001"/>
    <n v="6218.3149999999996"/>
    <n v="70166.115999999995"/>
    <n v="20136.437999999998"/>
    <x v="164"/>
    <n v="21514.344000000001"/>
    <n v="48.826999999999998"/>
    <x v="14"/>
    <n v="5"/>
    <n v="0.35914989402597775"/>
    <n v="0.10306968642472204"/>
    <n v="0.50595156396222229"/>
    <n v="0.11012258919445436"/>
    <n v="130768.75100000002"/>
    <n v="0.11012258919445436"/>
  </r>
  <r>
    <s v="2009-04"/>
    <n v="107399.69100000001"/>
    <n v="9.42"/>
    <n v="908.303"/>
    <n v="729.84100000000001"/>
    <n v="98544.985000000001"/>
    <n v="7207.1419999999998"/>
    <n v="152123.92000000001"/>
    <n v="21355.169000000002"/>
    <n v="215461.29800000001"/>
    <n v="6983.451"/>
    <n v="76852.900999999998"/>
    <n v="28656.32"/>
    <x v="165"/>
    <n v="25555.638999999999"/>
    <n v="48.77"/>
    <x v="14"/>
    <n v="4"/>
    <n v="0.3566900492727933"/>
    <n v="0.13299984853892413"/>
    <n v="0.47789847622657505"/>
    <n v="0.11860895314944217"/>
    <n v="147529.978"/>
    <n v="0.11860895314944217"/>
  </r>
  <r>
    <s v="2009-03"/>
    <n v="123165.126"/>
    <n v="65.941999999999993"/>
    <n v="942.03"/>
    <n v="753.12400000000002"/>
    <n v="114347.825"/>
    <n v="7056.2049999999999"/>
    <n v="177049.666"/>
    <n v="29519.687999999998"/>
    <n v="260434.83600000001"/>
    <n v="10254.594999999999"/>
    <n v="82383.430999999997"/>
    <n v="50842.58"/>
    <x v="166"/>
    <n v="32834.345000000001"/>
    <n v="48.625"/>
    <x v="14"/>
    <n v="3"/>
    <n v="0.31633030459872885"/>
    <n v="0.19522188652212411"/>
    <n v="0.44907291127520282"/>
    <n v="0.12607508851081659"/>
    <n v="121350.94500000001"/>
    <n v="0.12607508851081659"/>
  </r>
  <r>
    <s v="2009-02"/>
    <n v="125383.217"/>
    <n v="113.044"/>
    <n v="910.62900000000002"/>
    <n v="705.66200000000003"/>
    <n v="117351.395"/>
    <n v="6302.4880000000003"/>
    <n v="153078.99600000001"/>
    <n v="31728.050999999999"/>
    <n v="265880.58899999998"/>
    <n v="12163.392"/>
    <n v="75479.282000000007"/>
    <n v="57912.631999999998"/>
    <x v="167"/>
    <n v="33591.976999999999"/>
    <n v="48.576999999999998"/>
    <x v="14"/>
    <n v="2"/>
    <n v="0.28388413868001477"/>
    <n v="0.21781444150479148"/>
    <n v="0.45255384927705278"/>
    <n v="0.12634234460793978"/>
    <n v="133133.38500000001"/>
    <n v="0.12634234460793978"/>
  </r>
  <r>
    <s v="2009-01"/>
    <n v="145275.48699999999"/>
    <n v="113.044"/>
    <n v="883.88"/>
    <n v="922.375"/>
    <n v="136557.878"/>
    <n v="6798.31"/>
    <n v="162500.709"/>
    <n v="29367.324000000001"/>
    <n v="312495.16600000003"/>
    <n v="12173.206"/>
    <n v="87886.747000000003"/>
    <n v="71797.513999999996"/>
    <x v="168"/>
    <n v="39654.339999999997"/>
    <n v="48.66"/>
    <x v="14"/>
    <n v="1"/>
    <n v="0.28124194087533499"/>
    <n v="0.22975559884340735"/>
    <n v="0.45004759529624211"/>
    <n v="0.12689585092653879"/>
    <n v="134629.88199999998"/>
    <n v="0.12689585092653879"/>
  </r>
  <r>
    <s v="2008-12"/>
    <n v="139345.24"/>
    <n v="75.361999999999995"/>
    <n v="967.61599999999999"/>
    <n v="833.72"/>
    <n v="131144.783"/>
    <n v="6323.7579999999998"/>
    <n v="170748.83499999999"/>
    <n v="36118.953000000001"/>
    <n v="294932.80699999997"/>
    <n v="10297.734"/>
    <n v="86278.317999999999"/>
    <n v="63756.73"/>
    <x v="169"/>
    <n v="37080.360999999997"/>
    <n v="48.722000000000001"/>
    <x v="15"/>
    <n v="12"/>
    <n v="0.29253550623142444"/>
    <n v="0.21617374699180214"/>
    <n v="0.45637522108552681"/>
    <n v="0.12572477567746473"/>
    <n v="135576.91800000001"/>
    <n v="0.12572477567746473"/>
  </r>
  <r>
    <s v="2008-11"/>
    <n v="122339.443"/>
    <n v="131.88399999999999"/>
    <n v="903.65099999999995"/>
    <n v="756.70600000000002"/>
    <n v="114784.26700000001"/>
    <n v="5762.9350000000004"/>
    <n v="169610.598"/>
    <n v="34033.68"/>
    <n v="252209.068"/>
    <n v="9875.4130000000005"/>
    <n v="73674.887000000002"/>
    <n v="51540.182999999997"/>
    <x v="170"/>
    <n v="30504.717000000001"/>
    <n v="48.56"/>
    <x v="15"/>
    <n v="11"/>
    <n v="0.29211831114652864"/>
    <n v="0.20435499567366863"/>
    <n v="0.46437103125887608"/>
    <n v="0.12095011984263786"/>
    <n v="143506.90899999999"/>
    <n v="0.12095011984263786"/>
  </r>
  <r>
    <s v="2008-10"/>
    <n v="113899.266"/>
    <n v="178.98599999999999"/>
    <n v="952.49699999999996"/>
    <n v="424.47199999999998"/>
    <n v="108061.84699999999"/>
    <n v="4281.4650000000001"/>
    <n v="177119.435"/>
    <n v="33612.525999999998"/>
    <n v="247082.31299999999"/>
    <n v="14364.838"/>
    <n v="84928.074999999997"/>
    <n v="36926.355000000003"/>
    <x v="171"/>
    <n v="31905.919999999998"/>
    <n v="48.094000000000001"/>
    <x v="15"/>
    <n v="10"/>
    <n v="0.34372381401496754"/>
    <n v="0.14944960872209417"/>
    <n v="0.44868871289868489"/>
    <n v="0.12913073223496979"/>
    <n v="123857.91799999999"/>
    <n v="0.12913073223496979"/>
  </r>
  <r>
    <s v="2008-09"/>
    <n v="106530.132"/>
    <n v="141.30500000000001"/>
    <n v="930.4"/>
    <n v="488.053"/>
    <n v="99626.997000000003"/>
    <n v="5343.3770000000004"/>
    <n v="159935.72899999999"/>
    <n v="36077.811000000002"/>
    <n v="220005.916"/>
    <n v="12053.462"/>
    <n v="85406.067999999999"/>
    <n v="21265.675999999999"/>
    <x v="172"/>
    <n v="27442.848999999998"/>
    <n v="48.2"/>
    <x v="15"/>
    <n v="9"/>
    <n v="0.38819896097703116"/>
    <n v="9.6659564372805318E-2"/>
    <n v="0.46035448428577713"/>
    <n v="0.12473686843948323"/>
    <n v="119269.95300000001"/>
    <n v="0.12473686843948323"/>
  </r>
  <r>
    <s v="2008-08"/>
    <n v="109018.698"/>
    <n v="37.680999999999997"/>
    <n v="1001.343"/>
    <n v="782.67600000000004"/>
    <n v="102460.84"/>
    <n v="4736.1580000000004"/>
    <n v="149684.80900000001"/>
    <n v="30414.856"/>
    <n v="201518.08199999999"/>
    <n v="9314.5300000000007"/>
    <n v="75472.884999999995"/>
    <n v="14718.602000000001"/>
    <x v="173"/>
    <n v="22724.48"/>
    <n v="48.423999999999999"/>
    <x v="15"/>
    <n v="8"/>
    <n v="0.3745216521066333"/>
    <n v="7.3038616951505125E-2"/>
    <n v="0.50621792341195471"/>
    <n v="0.11276645636196557"/>
    <n v="141883.755"/>
    <n v="0.11276645636196557"/>
  </r>
  <r>
    <s v="2008-07"/>
    <n v="110216.52899999999"/>
    <n v="89.492999999999995"/>
    <n v="1031.5809999999999"/>
    <n v="803.27200000000005"/>
    <n v="101837.054"/>
    <n v="6455.1289999999999"/>
    <n v="177267.27799999999"/>
    <n v="35383.523000000001"/>
    <n v="218190.45300000001"/>
    <n v="11308.655000000001"/>
    <n v="85257.203999999998"/>
    <n v="18115.272000000001"/>
    <x v="174"/>
    <n v="26061.08"/>
    <n v="48.392000000000003"/>
    <x v="15"/>
    <n v="7"/>
    <n v="0.39074672071009448"/>
    <n v="8.3025044180095264E-2"/>
    <n v="0.47439895090185269"/>
    <n v="0.11944188960458321"/>
    <n v="123851.19699999999"/>
    <n v="0.11944188960458321"/>
  </r>
  <r>
    <s v="2008-06"/>
    <n v="102064.89599999999"/>
    <n v="113.044"/>
    <n v="994.36500000000001"/>
    <n v="771.03399999999999"/>
    <n v="91410.369000000006"/>
    <n v="8776.0840000000007"/>
    <n v="155695.54199999999"/>
    <n v="31844.345000000001"/>
    <n v="203578.144"/>
    <n v="11832.992"/>
    <n v="78179.186000000002"/>
    <n v="18559.445"/>
    <x v="175"/>
    <n v="24525.351999999999"/>
    <n v="48.445999999999998"/>
    <x v="15"/>
    <n v="6"/>
    <n v="0.3840254384085553"/>
    <n v="9.1166196111896955E-2"/>
    <n v="0.46668330466751867"/>
    <n v="0.12047143921304243"/>
    <n v="129400.253"/>
    <n v="0.12047143921304243"/>
  </r>
  <r>
    <s v="2008-05"/>
    <n v="111452.784"/>
    <n v="4.71"/>
    <n v="988.55"/>
    <n v="816.70500000000004"/>
    <n v="102006.213"/>
    <n v="7636.6059999999998"/>
    <n v="165612.09299999999"/>
    <n v="36211.839999999997"/>
    <n v="211847.856"/>
    <n v="9902.7279999999992"/>
    <n v="77957.053"/>
    <n v="20163.303"/>
    <x v="176"/>
    <n v="24301.884999999998"/>
    <n v="48.591999999999999"/>
    <x v="15"/>
    <n v="5"/>
    <n v="0.3679860371114636"/>
    <n v="9.5178225452515322E-2"/>
    <n v="0.49009120960846542"/>
    <n v="0.11471385860992617"/>
    <n v="131041.486"/>
    <n v="0.11471385860992617"/>
  </r>
  <r>
    <s v="2008-04"/>
    <n v="118529.398"/>
    <n v="75.361999999999995"/>
    <n v="983.89800000000002"/>
    <n v="809.54100000000005"/>
    <n v="109092.33500000001"/>
    <n v="7568.2610000000004"/>
    <n v="160390.997"/>
    <n v="29349.510999999999"/>
    <n v="246976.39"/>
    <n v="14159.634"/>
    <n v="81391.392000000007"/>
    <n v="38562.451999999997"/>
    <x v="177"/>
    <n v="30658.831999999999"/>
    <n v="48.558"/>
    <x v="15"/>
    <n v="4"/>
    <n v="0.32955130650342734"/>
    <n v="0.15613821223963956"/>
    <n v="0.45697855167451429"/>
    <n v="0.12413669177041578"/>
    <n v="146628.19199999998"/>
    <n v="0.12413669177041578"/>
  </r>
  <r>
    <s v="2008-03"/>
    <n v="126649.189"/>
    <n v="103.623"/>
    <n v="1030.4179999999999"/>
    <n v="863.27200000000005"/>
    <n v="118281.86500000001"/>
    <n v="6370.0110000000004"/>
    <n v="177978.81099999999"/>
    <n v="31350.618999999999"/>
    <n v="270502.46299999999"/>
    <n v="12900.52"/>
    <n v="80184.198000000004"/>
    <n v="55840.421999999999"/>
    <x v="178"/>
    <n v="33584.684999999998"/>
    <n v="48.677"/>
    <x v="15"/>
    <n v="3"/>
    <n v="0.2964268683941706"/>
    <n v="0.20643221278173723"/>
    <n v="0.4494499667457742"/>
    <n v="0.12415666987845504"/>
    <n v="124380.304"/>
    <n v="0.12415666987845504"/>
  </r>
  <r>
    <s v="2008-02"/>
    <n v="130114.745"/>
    <n v="117.754"/>
    <n v="946.68200000000002"/>
    <n v="747.75099999999998"/>
    <n v="123370.659"/>
    <n v="4931.8990000000003"/>
    <n v="156832.25700000001"/>
    <n v="32451.953000000001"/>
    <n v="270565.27100000001"/>
    <n v="12758.057000000001"/>
    <n v="78381.547999999995"/>
    <n v="55467.889000000003"/>
    <x v="179"/>
    <n v="33435.758999999998"/>
    <n v="48.689"/>
    <x v="15"/>
    <n v="2"/>
    <n v="0.28969552415320882"/>
    <n v="0.20500742314411816"/>
    <n v="0.45814370610779531"/>
    <n v="0.12357742320890842"/>
    <n v="154921.20899999997"/>
    <n v="0.12357742320890842"/>
  </r>
  <r>
    <s v="2008-01"/>
    <n v="138764.04"/>
    <n v="235.50800000000001"/>
    <n v="1017.625"/>
    <n v="840.88400000000001"/>
    <n v="129923.352"/>
    <n v="6746.6710000000003"/>
    <n v="189172.50099999999"/>
    <n v="34251.292000000001"/>
    <n v="295414.52600000001"/>
    <n v="14481.017"/>
    <n v="87392.471999999994"/>
    <n v="61210.794999999998"/>
    <x v="180"/>
    <n v="37410.811000000002"/>
    <n v="48.704999999999998"/>
    <x v="15"/>
    <n v="1"/>
    <n v="0.29582997553749268"/>
    <n v="0.20720306421221818"/>
    <n v="0.4479476476386946"/>
    <n v="0.12663835968580639"/>
    <n v="151813.87099999998"/>
    <n v="0.12663835968580639"/>
  </r>
  <r>
    <s v="2007-12"/>
    <n v="134399.027"/>
    <n v="362.68200000000002"/>
    <n v="1042.048"/>
    <n v="805.06299999999999"/>
    <n v="126925.84299999999"/>
    <n v="5263.3909999999996"/>
    <n v="180983.31"/>
    <n v="29169.438999999998"/>
    <n v="294506.489"/>
    <n v="15259.138000000001"/>
    <n v="82471.819000000003"/>
    <n v="66294.604999999996"/>
    <x v="181"/>
    <n v="37735.546000000002"/>
    <n v="48.777999999999999"/>
    <x v="16"/>
    <n v="12"/>
    <n v="0.28003396217188276"/>
    <n v="0.22510405534731698"/>
    <n v="0.44304941274146253"/>
    <n v="0.12813145859071379"/>
    <n v="148840.065"/>
    <n v="0.12813145859071379"/>
  </r>
  <r>
    <s v="2007-11"/>
    <n v="119738.1"/>
    <n v="141.30500000000001"/>
    <n v="957.149"/>
    <n v="728.94500000000005"/>
    <n v="114099.296"/>
    <n v="3811.4059999999999"/>
    <n v="175765.42"/>
    <n v="26925.355"/>
    <n v="275212.55499999999"/>
    <n v="14306.816999999999"/>
    <n v="87173.827999999994"/>
    <n v="56458.322999999997"/>
    <x v="182"/>
    <n v="35919.968999999997"/>
    <n v="48.993000000000002"/>
    <x v="16"/>
    <n v="11"/>
    <n v="0.31675091276268263"/>
    <n v="0.20514443100170338"/>
    <n v="0.4261200474665845"/>
    <n v="0.13051718879612886"/>
    <n v="136671.674"/>
    <n v="0.13051718879612886"/>
  </r>
  <r>
    <s v="2007-10"/>
    <n v="123573.326"/>
    <n v="103.623"/>
    <n v="1024.6030000000001"/>
    <n v="922.375"/>
    <n v="117287.747"/>
    <n v="4234.9769999999999"/>
    <n v="165332.14199999999"/>
    <n v="28660.468000000001"/>
    <n v="260656.75700000001"/>
    <n v="12925.528"/>
    <n v="92222.410999999993"/>
    <n v="37933.803999999996"/>
    <x v="183"/>
    <n v="32655.129000000001"/>
    <n v="49.503"/>
    <x v="16"/>
    <n v="10"/>
    <n v="0.35380786618165433"/>
    <n v="0.1455316349232412"/>
    <n v="0.45107218916254677"/>
    <n v="0.12528019367631432"/>
    <n v="121578.93699999999"/>
    <n v="0.12528019367631432"/>
  </r>
  <r>
    <s v="2007-09"/>
    <n v="112490.137"/>
    <n v="113.044"/>
    <n v="981.572"/>
    <n v="878.495"/>
    <n v="106219.091"/>
    <n v="4297.9340000000002"/>
    <n v="151879.36799999999"/>
    <n v="30300.431"/>
    <n v="218611.05100000001"/>
    <n v="12385.498"/>
    <n v="80089.994999999995"/>
    <n v="20924.487000000001"/>
    <x v="184"/>
    <n v="25891.115000000002"/>
    <n v="49.813000000000002"/>
    <x v="16"/>
    <n v="9"/>
    <n v="0.36635840060985753"/>
    <n v="9.5715595823195596E-2"/>
    <n v="0.48127059688304591"/>
    <n v="0.11843461198125799"/>
    <n v="130130.442"/>
    <n v="0.11843461198125799"/>
  </r>
  <r>
    <s v="2007-08"/>
    <n v="111732.963"/>
    <n v="207.24700000000001"/>
    <n v="1014.136"/>
    <n v="904.46500000000003"/>
    <n v="104203.57799999999"/>
    <n v="5403.5370000000003"/>
    <n v="162410.764"/>
    <n v="32280.322"/>
    <n v="209083.973"/>
    <n v="10327.732"/>
    <n v="81091.338000000003"/>
    <n v="15126.058999999999"/>
    <x v="185"/>
    <n v="24383.823"/>
    <n v="49.886000000000003"/>
    <x v="16"/>
    <n v="8"/>
    <n v="0.38784100395873006"/>
    <n v="7.2344421157522196E-2"/>
    <n v="0.49041943066578325"/>
    <n v="0.11662215257407607"/>
    <n v="130449.323"/>
    <n v="0.11662215257407607"/>
  </r>
  <r>
    <s v="2007-07"/>
    <n v="110337.262"/>
    <n v="183.696"/>
    <n v="1022.277"/>
    <n v="904.46500000000003"/>
    <n v="101666.758"/>
    <n v="6560.0659999999998"/>
    <n v="163557.242"/>
    <n v="33107.919000000002"/>
    <n v="215134.853"/>
    <n v="11865.772999999999"/>
    <n v="82853.282999999996"/>
    <n v="17929.006000000001"/>
    <x v="186"/>
    <n v="25546.862000000001"/>
    <n v="49.911999999999999"/>
    <x v="16"/>
    <n v="7"/>
    <n v="0.38512254915757416"/>
    <n v="8.3338453765090317E-2"/>
    <n v="0.47638394974523257"/>
    <n v="0.11874813236328564"/>
    <n v="116485.52800000001"/>
    <n v="0.11874813236328564"/>
  </r>
  <r>
    <s v="2007-06"/>
    <n v="108273.86"/>
    <n v="211.95699999999999"/>
    <n v="1056.0039999999999"/>
    <n v="880.28599999999994"/>
    <n v="98523.769"/>
    <n v="7601.8440000000001"/>
    <n v="148435.60800000001"/>
    <n v="31950.080000000002"/>
    <n v="207427.56"/>
    <n v="10852.75"/>
    <n v="78719.981"/>
    <n v="18482.431"/>
    <x v="187"/>
    <n v="24465.072"/>
    <n v="49.935000000000002"/>
    <x v="16"/>
    <n v="6"/>
    <n v="0.37950589111687955"/>
    <n v="8.9103063257360796E-2"/>
    <n v="0.47907037039822481"/>
    <n v="0.11794513708785853"/>
    <n v="122298.79800000001"/>
    <n v="0.11794513708785853"/>
  </r>
  <r>
    <s v="2007-05"/>
    <n v="110085.739"/>
    <n v="155.435"/>
    <n v="985.06100000000004"/>
    <n v="817.601"/>
    <n v="101563.709"/>
    <n v="6563.933"/>
    <n v="155256.068"/>
    <n v="32957.269999999997"/>
    <n v="211099.552"/>
    <n v="12783.992"/>
    <n v="74454.096999999994"/>
    <n v="21392.838"/>
    <x v="188"/>
    <n v="24659.645"/>
    <n v="49.933"/>
    <x v="16"/>
    <n v="5"/>
    <n v="0.35269661301791866"/>
    <n v="0.10134004453026978"/>
    <n v="0.48540427030370958"/>
    <n v="0.11681524080164794"/>
    <n v="154633.86300000001"/>
    <n v="0.11681524080164794"/>
  </r>
  <r>
    <s v="2007-04"/>
    <n v="108352.60799999999"/>
    <n v="4.71"/>
    <n v="938.54100000000005"/>
    <n v="428.94900000000001"/>
    <n v="101333.36500000001"/>
    <n v="5647.0429999999997"/>
    <n v="183519.63"/>
    <n v="28885.767"/>
    <n v="218812.08600000001"/>
    <n v="13846.51"/>
    <n v="77126.671000000002"/>
    <n v="25502.333999999999"/>
    <x v="189"/>
    <n v="26537.357"/>
    <n v="50.064"/>
    <x v="16"/>
    <n v="4"/>
    <n v="0.35247902622709787"/>
    <n v="0.11654901914330271"/>
    <n v="0.46769158811456146"/>
    <n v="0.12127921032661787"/>
    <n v="105481.33600000001"/>
    <n v="0.12127921032661787"/>
  </r>
  <r>
    <s v="2007-03"/>
    <n v="126111.58100000001"/>
    <n v="160.14500000000001"/>
    <n v="996.69100000000003"/>
    <n v="871.33100000000002"/>
    <n v="116790.68799999999"/>
    <n v="7292.7250000000004"/>
    <n v="135369.26"/>
    <n v="29887.923999999999"/>
    <n v="268657.44699999999"/>
    <n v="13602.045"/>
    <n v="83544.104999999996"/>
    <n v="53033.892999999996"/>
    <x v="190"/>
    <n v="34049.375999999997"/>
    <n v="50.26"/>
    <x v="16"/>
    <n v="3"/>
    <n v="0.31096887852135363"/>
    <n v="0.19740339823894776"/>
    <n v="0.44099803047707814"/>
    <n v="0.12673899934737337"/>
    <n v="126510.58"/>
    <n v="0.12673899934737337"/>
  </r>
  <r>
    <s v="2007-02"/>
    <n v="122525.001"/>
    <n v="174.27600000000001"/>
    <n v="815.26300000000003"/>
    <n v="817.601"/>
    <n v="114708.496"/>
    <n v="6009.366"/>
    <n v="156311.18700000001"/>
    <n v="29800.607"/>
    <n v="254002.43900000001"/>
    <n v="12300.99"/>
    <n v="75712.463000000003"/>
    <n v="50410.048999999999"/>
    <x v="191"/>
    <n v="31302.532999999999"/>
    <n v="49.859000000000002"/>
    <x v="16"/>
    <n v="2"/>
    <n v="0.29807770074207829"/>
    <n v="0.19846285413031012"/>
    <n v="0.45503081566866371"/>
    <n v="0.12323713553002535"/>
    <n v="129374.44499999998"/>
    <n v="0.12323713553002535"/>
  </r>
  <r>
    <s v="2007-01"/>
    <n v="137613.291"/>
    <n v="169.565"/>
    <n v="951.33399999999995"/>
    <n v="859.69"/>
    <n v="129735.439"/>
    <n v="5897.2629999999999"/>
    <n v="161952.93599999999"/>
    <n v="32578.491000000002"/>
    <n v="288662.217"/>
    <n v="13295.251"/>
    <n v="86312.044999999998"/>
    <n v="58260.09"/>
    <x v="192"/>
    <n v="35998.449999999997"/>
    <n v="49.317999999999998"/>
    <x v="16"/>
    <n v="1"/>
    <n v="0.29900707441736302"/>
    <n v="0.20182790323404187"/>
    <n v="0.45310686088162344"/>
    <n v="0.12470786919785902"/>
    <n v="147800.891"/>
    <n v="0.12470786919785902"/>
  </r>
  <r>
    <s v="2006-12"/>
    <n v="135909.981"/>
    <n v="113.044"/>
    <n v="1102.5239999999999"/>
    <n v="895.51"/>
    <n v="128223.046"/>
    <n v="5575.8580000000002"/>
    <n v="178957.136"/>
    <n v="31156.244999999999"/>
    <n v="284765.78200000001"/>
    <n v="13192.781000000001"/>
    <n v="80769.187000000005"/>
    <n v="60946.62"/>
    <x v="193"/>
    <n v="35428.468999999997"/>
    <n v="49.055999999999997"/>
    <x v="17"/>
    <n v="12"/>
    <n v="0.28363375133322727"/>
    <n v="0.2140236778869731"/>
    <n v="0.45601403752927028"/>
    <n v="0.12441266205221242"/>
    <n v="137572.79800000001"/>
    <n v="0.12441266205221242"/>
  </r>
  <r>
    <s v="2006-11"/>
    <n v="124998.579"/>
    <n v="141.30500000000001"/>
    <n v="1032.7439999999999"/>
    <n v="903.57"/>
    <n v="118378.853"/>
    <n v="4542.1090000000004"/>
    <n v="173524.13800000001"/>
    <n v="35951.339999999997"/>
    <n v="255848.484"/>
    <n v="12401.518"/>
    <n v="80081.854000000007"/>
    <n v="46945.321000000004"/>
    <x v="194"/>
    <n v="31483.846000000001"/>
    <n v="48.851999999999997"/>
    <x v="17"/>
    <n v="11"/>
    <n v="0.31300499712947294"/>
    <n v="0.18348875969888492"/>
    <n v="0.4550341248064616"/>
    <n v="0.12305660564320561"/>
    <n v="121300.50900000001"/>
    <n v="0.12305660564320561"/>
  </r>
  <r>
    <s v="2006-10"/>
    <n v="121162.333"/>
    <n v="150.72499999999999"/>
    <n v="1107.1759999999999"/>
    <n v="889.24099999999999"/>
    <n v="113681.039"/>
    <n v="5334.152"/>
    <n v="157907.08900000001"/>
    <n v="36606.58"/>
    <n v="237816.27600000001"/>
    <n v="11609.597"/>
    <n v="88130.976999999999"/>
    <n v="26380.829000000002"/>
    <x v="195"/>
    <n v="28988.845000000001"/>
    <n v="48.658000000000001"/>
    <x v="17"/>
    <n v="10"/>
    <n v="0.37058429507995488"/>
    <n v="0.11092945127103075"/>
    <n v="0.46966874966959787"/>
    <n v="0.12189596728863082"/>
    <n v="107031.534"/>
    <n v="0.12189596728863082"/>
  </r>
  <r>
    <s v="2006-09"/>
    <n v="114458.77"/>
    <n v="141.30500000000001"/>
    <n v="1073.4490000000001"/>
    <n v="893.71900000000005"/>
    <n v="107807.25599999999"/>
    <n v="4543.0420000000004"/>
    <n v="142411.247"/>
    <n v="35379.713000000003"/>
    <n v="218333.60200000001"/>
    <n v="11473.994000000001"/>
    <n v="83534.801000000007"/>
    <n v="17956.767"/>
    <x v="196"/>
    <n v="26196.662"/>
    <n v="48.673000000000002"/>
    <x v="17"/>
    <n v="9"/>
    <n v="0.38260167118023364"/>
    <n v="8.2244633146298748E-2"/>
    <n v="0.48260112064655991"/>
    <n v="0.11998456380525431"/>
    <n v="136610.76200000002"/>
    <n v="0.11998456380525431"/>
  </r>
  <r>
    <s v="2006-08"/>
    <n v="110901.17600000001"/>
    <n v="84.783000000000001"/>
    <n v="1075.7750000000001"/>
    <n v="936.70299999999997"/>
    <n v="104570.31"/>
    <n v="4233.6049999999996"/>
    <n v="169031.73"/>
    <n v="32420.968000000001"/>
    <n v="205959.902"/>
    <n v="9739.7669999999998"/>
    <n v="79623.631999999998"/>
    <n v="14904.868"/>
    <x v="197"/>
    <n v="23790.823"/>
    <n v="48.503999999999998"/>
    <x v="17"/>
    <n v="8"/>
    <n v="0.38659773687404453"/>
    <n v="7.2367814585578893E-2"/>
    <n v="0.49374482126137348"/>
    <n v="0.11551191648945337"/>
    <n v="141083.671"/>
    <n v="0.11551191648945337"/>
  </r>
  <r>
    <s v="2006-07"/>
    <n v="111666.245"/>
    <n v="80.072999999999993"/>
    <n v="1057.1669999999999"/>
    <n v="808.64599999999996"/>
    <n v="105161.325"/>
    <n v="4559.0349999999999"/>
    <n v="169210.19200000001"/>
    <n v="28126.521000000001"/>
    <n v="216462.47700000001"/>
    <n v="11306.918"/>
    <n v="83801.127999999997"/>
    <n v="16600.964"/>
    <x v="198"/>
    <n v="25399.378000000001"/>
    <n v="48.423000000000002"/>
    <x v="17"/>
    <n v="7"/>
    <n v="0.38713928234314715"/>
    <n v="7.6692109552086468E-2"/>
    <n v="0.48393360111092137"/>
    <n v="0.11733847986965426"/>
    <n v="122204.745"/>
    <n v="0.11733847986965426"/>
  </r>
  <r>
    <s v="2006-06"/>
    <n v="112108.36199999999"/>
    <n v="146.01499999999999"/>
    <n v="1037.431"/>
    <n v="866.85400000000004"/>
    <n v="104758.223"/>
    <n v="5299.84"/>
    <n v="154440.36499999999"/>
    <n v="32235.62"/>
    <n v="215197.37899999999"/>
    <n v="10903.089"/>
    <n v="81957.773000000001"/>
    <n v="18224.524000000001"/>
    <x v="199"/>
    <n v="25252.600999999999"/>
    <n v="48.390999999999998"/>
    <x v="17"/>
    <n v="6"/>
    <n v="0.38084930857824251"/>
    <n v="8.4687481254128116E-2"/>
    <n v="0.48379767673657403"/>
    <n v="0.11734622938878823"/>
    <n v="134784.03399999999"/>
    <n v="0.11734622938878823"/>
  </r>
  <r>
    <s v="2006-05"/>
    <n v="117520.095"/>
    <n v="131.88399999999999"/>
    <n v="1072.3440000000001"/>
    <n v="1022.672"/>
    <n v="108225.51300000001"/>
    <n v="7067.6819999999998"/>
    <n v="168405.913"/>
    <n v="33621.879000000001"/>
    <n v="218461.79800000001"/>
    <n v="8996.4230000000007"/>
    <n v="78922.540999999997"/>
    <n v="22488.942999999999"/>
    <x v="200"/>
    <n v="24578.92"/>
    <n v="48.41"/>
    <x v="17"/>
    <n v="5"/>
    <n v="0.361264723272121"/>
    <n v="0.10294222242004984"/>
    <n v="0.49461229830214987"/>
    <n v="0.1125090071812006"/>
    <n v="133636.46699999998"/>
    <n v="0.1125090071812006"/>
  </r>
  <r>
    <s v="2006-04"/>
    <n v="123736.288"/>
    <n v="174.27600000000001"/>
    <n v="1032.2560000000001"/>
    <n v="1032.5229999999999"/>
    <n v="114187.19"/>
    <n v="7310.0439999999999"/>
    <n v="163221.45499999999"/>
    <n v="29584.988000000001"/>
    <n v="238140.07"/>
    <n v="10350.01"/>
    <n v="79326.486000000004"/>
    <n v="34215.646000000001"/>
    <x v="201"/>
    <n v="27918.598999999998"/>
    <n v="48.265999999999998"/>
    <x v="17"/>
    <n v="4"/>
    <n v="0.33310851886454895"/>
    <n v="0.1436786593705125"/>
    <n v="0.47975096757131214"/>
    <n v="0.11723604095690406"/>
    <n v="151033.04"/>
    <n v="0.11723604095690406"/>
  </r>
  <r>
    <s v="2006-03"/>
    <n v="121755.28200000001"/>
    <n v="343.84100000000001"/>
    <n v="1077.4849999999999"/>
    <n v="1011.926"/>
    <n v="112414.144"/>
    <n v="6907.8860000000004"/>
    <n v="179226.821"/>
    <n v="28193.780999999999"/>
    <n v="283287.234"/>
    <n v="15349.493"/>
    <n v="90977.756999999998"/>
    <n v="60228.421000000002"/>
    <x v="202"/>
    <n v="38359.874000000003"/>
    <s v="48"/>
    <x v="17"/>
    <n v="3"/>
    <n v="0.32115021815631833"/>
    <n v="0.21260548931054196"/>
    <n v="0.41206079904045378"/>
    <n v="0.13540982224423145"/>
    <n v="133372.48300000001"/>
    <n v="0.13540982224423145"/>
  </r>
  <r>
    <s v="2006-02"/>
    <n v="118526.47199999999"/>
    <n v="320.29000000000002"/>
    <n v="1017.171"/>
    <n v="968.04600000000005"/>
    <n v="111416.995"/>
    <n v="4803.9690000000001"/>
    <n v="161844.19099999999"/>
    <n v="28471.707999999999"/>
    <n v="277897.90000000002"/>
    <n v="15248.619000000001"/>
    <n v="83243.481"/>
    <n v="64140.008000000002"/>
    <x v="203"/>
    <n v="37273.167000000001"/>
    <n v="48.151000000000003"/>
    <x v="17"/>
    <n v="2"/>
    <n v="0.29954699549726715"/>
    <n v="0.23080421982317964"/>
    <n v="0.41477748482446247"/>
    <n v="0.13412540001201881"/>
    <n v="157323.538"/>
    <n v="0.13412540001201881"/>
  </r>
  <r>
    <s v="2006-01"/>
    <n v="142423.04800000001"/>
    <n v="301.45"/>
    <n v="1111.095"/>
    <n v="995.80700000000002"/>
    <n v="135581.94500000001"/>
    <n v="4432.7520000000004"/>
    <n v="188805.209"/>
    <n v="31481.670999999998"/>
    <n v="314157.56300000002"/>
    <n v="16054.939"/>
    <n v="89251.051000000007"/>
    <n v="71644.381999999998"/>
    <x v="204"/>
    <n v="40714.197999999997"/>
    <n v="48.24"/>
    <x v="17"/>
    <n v="1"/>
    <n v="0.28409645831127101"/>
    <n v="0.22805238656629123"/>
    <n v="0.43674642013950171"/>
    <n v="0.12959801957720177"/>
    <e v="#REF!"/>
    <n v="0.12959801957720177"/>
  </r>
  <r>
    <m/>
    <m/>
    <m/>
    <m/>
    <m/>
    <m/>
    <m/>
    <m/>
    <m/>
    <m/>
    <m/>
    <m/>
    <m/>
    <x v="205"/>
    <m/>
    <m/>
    <x v="0"/>
    <m/>
    <m/>
    <m/>
    <m/>
    <m/>
    <m/>
    <m/>
  </r>
  <r>
    <m/>
    <m/>
    <m/>
    <m/>
    <m/>
    <m/>
    <m/>
    <m/>
    <m/>
    <m/>
    <m/>
    <m/>
    <m/>
    <x v="205"/>
    <m/>
    <m/>
    <x v="0"/>
    <m/>
    <m/>
    <m/>
    <m/>
    <m/>
    <m/>
    <m/>
  </r>
  <r>
    <m/>
    <m/>
    <m/>
    <m/>
    <m/>
    <m/>
    <m/>
    <m/>
    <m/>
    <m/>
    <m/>
    <m/>
    <m/>
    <x v="205"/>
    <m/>
    <m/>
    <x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PERIODE"/>
    <s v="PROD_ENER_SYNT"/>
    <s v="PROD_CMS_SYNT"/>
    <s v="PROD_PETRO_SYNT"/>
    <s v="PROD_GAZ_SYNT"/>
    <s v="PRODB_NUCL_SYNT"/>
    <s v="PRODB_ELE_SYNT"/>
    <m/>
    <s v="QIMP_ENER_SYNT"/>
    <s v="QEXP_ENER_SYNT"/>
    <s v="CP_ENER_SYNT"/>
    <s v="CI_CMS_SYNT"/>
    <s v="CONSO_PETRO_SYNT"/>
    <s v="CONSO_GAZ_SYNT"/>
    <m/>
    <s v="CONSO_ELE_SYNT"/>
    <s v="ECO2"/>
    <s v="TAUXIND_ENER_CUM"/>
    <x v="0"/>
    <m/>
    <m/>
    <m/>
    <m/>
    <m/>
    <m/>
    <m/>
  </r>
  <r>
    <s v="2022-12"/>
    <n v="100729.474"/>
    <s v="0"/>
    <n v="574.57399999999996"/>
    <n v="643.50400000000002"/>
    <n v="89307.744000000006"/>
    <n v="10203.652"/>
    <n v="99511.396000000008"/>
    <n v="130729.58900000001"/>
    <n v="26816.958999999999"/>
    <n v="224335.889"/>
    <n v="6656.9560000000001"/>
    <n v="65321.358"/>
    <n v="50955.447999999997"/>
    <n v="122933.76199999999"/>
    <n v="101402.12699999999"/>
    <n v="28473.823"/>
    <n v="44.884"/>
    <x v="1"/>
    <n v="12"/>
    <n v="0.2911765847683872"/>
    <n v="0.22713908250320125"/>
    <n v="0.4520102755382131"/>
    <n v="0.12692495671078291"/>
    <n v="103912.63"/>
    <n v="0.12692495671078291"/>
  </r>
  <r>
    <s v="2022-11"/>
    <n v="80137.476999999999"/>
    <s v="0"/>
    <n v="550.34500000000003"/>
    <n v="600.21699999999998"/>
    <n v="69562.288"/>
    <n v="9424.6270000000004"/>
    <n v="78986.915000000008"/>
    <n v="119824.842"/>
    <n v="21738.483"/>
    <n v="185934.117"/>
    <n v="5209.0200000000004"/>
    <n v="64279.273999999998"/>
    <n v="36381.572999999997"/>
    <n v="105869.867"/>
    <n v="80064.25"/>
    <n v="24742.311000000002"/>
    <n v="44.923999999999999"/>
    <x v="1"/>
    <n v="11"/>
    <n v="0.34570994843297098"/>
    <n v="0.19566916274972815"/>
    <n v="0.43060548161798623"/>
    <n v="0.13307031221171745"/>
    <n v="98086.358999999997"/>
    <n v="0.13307031221171745"/>
  </r>
  <r>
    <s v="2022-10"/>
    <n v="74126.176999999996"/>
    <s v="0"/>
    <n v="557.19500000000005"/>
    <n v="607.10799999999995"/>
    <n v="65057.226000000002"/>
    <n v="7904.6480000000001"/>
    <n v="72961.873999999996"/>
    <n v="120497.702"/>
    <n v="21895.121999999999"/>
    <n v="165831.72200000001"/>
    <n v="4562.098"/>
    <n v="64631.362000000001"/>
    <n v="23400.723000000002"/>
    <n v="92594.183000000005"/>
    <n v="73237.539000000004"/>
    <n v="21862.687000000002"/>
    <n v="45.116"/>
    <x v="1"/>
    <n v="10"/>
    <n v="0.38974064322868213"/>
    <n v="0.14111125855642986"/>
    <n v="0.44163769221427973"/>
    <n v="0.13183657949351812"/>
    <n v="98602.58"/>
    <n v="0.13183657949351812"/>
  </r>
  <r>
    <s v="2022-09"/>
    <n v="66361.959000000003"/>
    <s v="0"/>
    <n v="523.09199999999998"/>
    <n v="565.24599999999998"/>
    <n v="58600.02"/>
    <n v="6673.6"/>
    <n v="65273.619999999995"/>
    <n v="112550.966"/>
    <n v="22588.885999999999"/>
    <n v="165414.25899999999"/>
    <n v="4621.0479999999998"/>
    <n v="72503.498000000007"/>
    <n v="19697.257000000001"/>
    <n v="96821.803"/>
    <n v="68592.455000000002"/>
    <n v="22735.098999999998"/>
    <n v="45.558"/>
    <x v="1"/>
    <n v="9"/>
    <n v="0.4383146799938209"/>
    <n v="0.11907834982956338"/>
    <n v="0.41467075096591283"/>
    <n v="0.13744340504526881"/>
    <n v="89962.08"/>
    <n v="0.13744340504526881"/>
  </r>
  <r>
    <s v="2022-08"/>
    <n v="66789.792000000001"/>
    <s v="0"/>
    <n v="532.48599999999999"/>
    <n v="544.08699999999999"/>
    <n v="58554.053999999996"/>
    <n v="7159.165"/>
    <n v="65713.218999999997"/>
    <n v="122051.077"/>
    <n v="23696.690999999999"/>
    <n v="158116.21"/>
    <n v="5188.1959999999999"/>
    <n v="68438.407000000007"/>
    <n v="15562.08"/>
    <n v="89188.683000000005"/>
    <n v="68927.525999999998"/>
    <n v="20885.91"/>
    <n v="46.484999999999999"/>
    <x v="1"/>
    <n v="8"/>
    <n v="0.43283612097709662"/>
    <n v="9.8421787367658262E-2"/>
    <n v="0.43592953562446257"/>
    <n v="0.13209214918571602"/>
    <n v="98354.385999999999"/>
    <n v="0.13209214918571602"/>
  </r>
  <r>
    <s v="2022-07"/>
    <n v="69544.398000000001"/>
    <s v="0"/>
    <n v="560.08199999999999"/>
    <n v="532.22699999999998"/>
    <n v="60385.593000000001"/>
    <n v="8066.4960000000001"/>
    <n v="68452.089000000007"/>
    <n v="134363.01699999999"/>
    <n v="22052.258999999998"/>
    <n v="163971.58799999999"/>
    <n v="4928.9380000000001"/>
    <n v="70255.578999999998"/>
    <n v="17118.994999999999"/>
    <n v="92303.511999999988"/>
    <n v="71668.076000000001"/>
    <n v="20873.255000000001"/>
    <n v="47.468000000000004"/>
    <x v="1"/>
    <n v="7"/>
    <n v="0.42846190524177885"/>
    <n v="0.10440220289871194"/>
    <n v="0.4370761841984479"/>
    <n v="0.12729799872402286"/>
    <n v="112310.758"/>
    <n v="0.12729799872402286"/>
  </r>
  <r>
    <s v="2022-06"/>
    <n v="73797.804000000004"/>
    <s v="0"/>
    <n v="589.51199999999994"/>
    <n v="488.93"/>
    <n v="64482.038"/>
    <n v="8237.3240000000005"/>
    <n v="72719.361999999994"/>
    <n v="112713.85"/>
    <n v="19913.378000000001"/>
    <n v="163881.63399999999"/>
    <n v="5162.2550000000001"/>
    <n v="67846.447"/>
    <n v="17090.107"/>
    <n v="90098.809000000008"/>
    <n v="73782.823999999993"/>
    <n v="20464.407999999999"/>
    <n v="48.308"/>
    <x v="1"/>
    <n v="6"/>
    <n v="0.41399664711666229"/>
    <n v="0.10428323530140053"/>
    <n v="0.45022021198543821"/>
    <n v="0.12487310200971026"/>
    <n v="92800.472000000009"/>
    <n v="0.12487310200971026"/>
  </r>
  <r>
    <s v="2022-05"/>
    <n v="76443.365999999995"/>
    <s v="0"/>
    <n v="612.83399999999995"/>
    <n v="523.15200000000004"/>
    <n v="65809.978000000003"/>
    <n v="9497.402"/>
    <n v="75307.38"/>
    <n v="131307.204"/>
    <n v="23566.460999999999"/>
    <n v="165071.61799999999"/>
    <n v="5304.9650000000001"/>
    <n v="64846.254000000001"/>
    <n v="20233.866000000002"/>
    <n v="90385.084999999992"/>
    <n v="74686.534"/>
    <n v="21017.409"/>
    <n v="48.945"/>
    <x v="1"/>
    <n v="5"/>
    <n v="0.39283708965644237"/>
    <n v="0.12257628685750208"/>
    <n v="0.45244927568347942"/>
    <n v="0.12732297202054446"/>
    <n v="107740.743"/>
    <n v="0.12732297202054446"/>
  </r>
  <r>
    <s v="2022-04"/>
    <n v="81487.623000000007"/>
    <s v="0"/>
    <n v="602.04999999999995"/>
    <n v="512.76900000000001"/>
    <n v="69785.578999999998"/>
    <n v="10587.225"/>
    <n v="80372.804000000004"/>
    <n v="125456.01700000001"/>
    <n v="21245.204000000002"/>
    <n v="180066.351"/>
    <n v="4739.9759999999997"/>
    <n v="61794.633999999998"/>
    <n v="32071.951000000001"/>
    <n v="98606.561000000002"/>
    <n v="81459.790999999997"/>
    <n v="22794.816999999999"/>
    <n v="49.515000000000001"/>
    <x v="1"/>
    <n v="4"/>
    <n v="0.34317702145249779"/>
    <n v="0.17811185055890871"/>
    <n v="0.45238763682171801"/>
    <n v="0.12659120859288142"/>
    <n v="104210.81300000001"/>
    <n v="0.12659120859288142"/>
  </r>
  <r>
    <s v="2022-03"/>
    <n v="96469.528000000006"/>
    <s v="0"/>
    <n v="634.33299999999997"/>
    <n v="520.16399999999999"/>
    <n v="85750.866999999998"/>
    <n v="9564.1640000000007"/>
    <n v="95315.031000000003"/>
    <n v="135224.77299999999"/>
    <n v="19794.914000000001"/>
    <n v="214743.66399999999"/>
    <n v="6943.0720000000001"/>
    <n v="69098.021999999997"/>
    <n v="42392.451000000001"/>
    <n v="118433.545"/>
    <n v="96310.119000000006"/>
    <n v="27182.589"/>
    <n v="49.813000000000002"/>
    <x v="1"/>
    <n v="3"/>
    <n v="0.32176978222742814"/>
    <n v="0.19740955430470816"/>
    <n v="0.44848875727481308"/>
    <n v="0.12658156470684043"/>
    <n v="115429.85899999998"/>
    <n v="0.12658156470684043"/>
  </r>
  <r>
    <s v="2022-02"/>
    <n v="105939.717"/>
    <s v="0"/>
    <n v="563.59"/>
    <n v="442.74"/>
    <n v="94127.123999999996"/>
    <n v="10806.263999999999"/>
    <n v="104933.38799999999"/>
    <n v="107770.379"/>
    <n v="19155.971000000001"/>
    <n v="218307.497"/>
    <n v="6817.3310000000001"/>
    <n v="63052.822999999997"/>
    <n v="45348.396000000001"/>
    <n v="115218.54999999999"/>
    <n v="103088.948"/>
    <n v="26121.538"/>
    <n v="50.148000000000003"/>
    <x v="1"/>
    <n v="2"/>
    <n v="0.28882573373098586"/>
    <n v="0.20772715835773611"/>
    <n v="0.47221900033969061"/>
    <n v="0.11965479133316251"/>
    <n v="88614.407999999996"/>
    <n v="0.11965479133316251"/>
  </r>
  <r>
    <s v="2022-01"/>
    <n v="122963.489"/>
    <s v="0"/>
    <n v="623.66099999999994"/>
    <n v="472.19900000000001"/>
    <n v="111862.39999999999"/>
    <n v="10005.227999999999"/>
    <n v="121867.628"/>
    <n v="128714.902"/>
    <n v="22249.813999999998"/>
    <n v="255223.163"/>
    <n v="7333.3459999999995"/>
    <n v="63972.506999999998"/>
    <n v="61053.741000000002"/>
    <n v="132359.59400000001"/>
    <n v="122863.568"/>
    <n v="29528.624"/>
    <n v="50.255000000000003"/>
    <x v="1"/>
    <n v="1"/>
    <n v="0.2506532175529852"/>
    <n v="0.23921708469697164"/>
    <n v="0.48139661994550237"/>
    <n v="0.11569727313504065"/>
    <n v="106465.088"/>
    <n v="0.11569727313504065"/>
  </r>
  <r>
    <s v="2021-12"/>
    <n v="111844.675"/>
    <s v="0"/>
    <n v="622.43399999999997"/>
    <n v="464.75900000000001"/>
    <n v="100376.851"/>
    <n v="10380.630999999999"/>
    <n v="110757.48199999999"/>
    <n v="123177.33900000001"/>
    <n v="24647.358"/>
    <n v="247069.90100000001"/>
    <n v="7143.0429999999997"/>
    <n v="71436.002999999997"/>
    <n v="55796.277999999998"/>
    <n v="134375.32399999999"/>
    <n v="112694.577"/>
    <n v="30304.5"/>
    <n v="50.454999999999998"/>
    <x v="2"/>
    <n v="12"/>
    <n v="0.2891327624727546"/>
    <n v="0.22583195190578878"/>
    <n v="0.45612426501113951"/>
    <n v="0.12265557187396937"/>
    <n v="98529.981"/>
    <n v="0.12265557187396937"/>
  </r>
  <r>
    <s v="2021-11"/>
    <n v="105192.852"/>
    <s v="0"/>
    <n v="601.67899999999997"/>
    <n v="427.161"/>
    <n v="96607.448999999993"/>
    <n v="7556.5630000000001"/>
    <n v="104164.01199999999"/>
    <n v="122144.663"/>
    <n v="20452.039000000001"/>
    <n v="231778.29300000001"/>
    <n v="7173.8829999999998"/>
    <n v="68746.3"/>
    <n v="50894.33"/>
    <n v="126814.51300000001"/>
    <n v="104963.781"/>
    <n v="28349.595000000001"/>
    <n v="50.881999999999998"/>
    <x v="2"/>
    <n v="11"/>
    <n v="0.29660370309138484"/>
    <n v="0.21958195196475971"/>
    <n v="0.45286286149324606"/>
    <n v="0.122313416985947"/>
    <n v="101692.624"/>
    <n v="0.122313416985947"/>
  </r>
  <r>
    <s v="2021-10"/>
    <n v="106390.891"/>
    <s v="0"/>
    <n v="508.113"/>
    <n v="410.76299999999998"/>
    <n v="97571.430999999997"/>
    <n v="7900.5839999999998"/>
    <n v="105472.015"/>
    <n v="121128.899"/>
    <n v="20421.863000000001"/>
    <n v="214059.101"/>
    <n v="7152.473"/>
    <n v="75978.179000000004"/>
    <n v="29761.620999999999"/>
    <n v="112892.273"/>
    <n v="101166.82799999999"/>
    <n v="25579.041000000001"/>
    <n v="51.548999999999999"/>
    <x v="2"/>
    <n v="10"/>
    <n v="0.35494019476424882"/>
    <n v="0.13903459773943458"/>
    <n v="0.47261166438328633"/>
    <n v="0.11949522762874727"/>
    <n v="100707.03600000001"/>
    <n v="0.11949522762874727"/>
  </r>
  <r>
    <s v="2021-09"/>
    <n v="100392.75199999999"/>
    <s v="0"/>
    <n v="623.32100000000003"/>
    <n v="360.97500000000002"/>
    <n v="92746.183999999994"/>
    <n v="6662.2719999999999"/>
    <n v="99408.455999999991"/>
    <n v="103646.557"/>
    <n v="20108.867999999999"/>
    <n v="191196.946"/>
    <n v="6994.0360000000001"/>
    <n v="72931.922000000006"/>
    <n v="17650.755000000001"/>
    <n v="97576.713000000018"/>
    <n v="93620.233999999997"/>
    <n v="22061.422999999999"/>
    <n v="51.512999999999998"/>
    <x v="2"/>
    <n v="9"/>
    <n v="0.38144919950761141"/>
    <n v="9.2317138789444891E-2"/>
    <n v="0.48965339645121736"/>
    <n v="0.11538585454183981"/>
    <n v="83537.688999999998"/>
    <n v="0.11538585454183981"/>
  </r>
  <r>
    <s v="2021-08"/>
    <n v="102611.946"/>
    <s v="0"/>
    <n v="650.89400000000001"/>
    <n v="355.74900000000002"/>
    <n v="93107.481"/>
    <n v="8497.8220000000001"/>
    <n v="101605.303"/>
    <n v="125146.427"/>
    <n v="23887.254000000001"/>
    <n v="183786.568"/>
    <n v="5999.5240000000003"/>
    <n v="69854.563999999998"/>
    <n v="13969.124"/>
    <n v="89823.212"/>
    <n v="93963.357000000004"/>
    <n v="20749.761999999999"/>
    <n v="51.006"/>
    <x v="2"/>
    <n v="8"/>
    <n v="0.38008525193201276"/>
    <n v="7.6007317357381629E-2"/>
    <n v="0.51126346186517835"/>
    <n v="0.11290140637481189"/>
    <n v="101259.173"/>
    <n v="0.11290140637481189"/>
  </r>
  <r>
    <s v="2021-07"/>
    <n v="101938.52099999999"/>
    <s v="0"/>
    <n v="640.62699999999995"/>
    <n v="342.03399999999999"/>
    <n v="91149.167000000001"/>
    <n v="9806.6929999999993"/>
    <n v="100955.86"/>
    <n v="116657.776"/>
    <n v="20989.695"/>
    <n v="188801.39499999999"/>
    <n v="5892.5529999999999"/>
    <n v="73058.017000000007"/>
    <n v="16216.032999999999"/>
    <n v="95166.603000000003"/>
    <n v="93634.792000000001"/>
    <n v="21535.487000000001"/>
    <n v="50.613999999999997"/>
    <x v="2"/>
    <n v="7"/>
    <n v="0.38695697666852519"/>
    <n v="8.588937067970287E-2"/>
    <n v="0.49594332711365829"/>
    <n v="0.11406423665460735"/>
    <n v="95668.081000000006"/>
    <n v="0.11406423665460735"/>
  </r>
  <r>
    <s v="2021-06"/>
    <n v="98680.767999999996"/>
    <s v="0"/>
    <n v="639.35199999999998"/>
    <n v="305.44799999999998"/>
    <n v="88324.864000000001"/>
    <n v="9411.1049999999996"/>
    <n v="97735.968999999997"/>
    <n v="113826.66800000001"/>
    <n v="18290.261999999999"/>
    <n v="182801.63699999999"/>
    <n v="6008.6940000000004"/>
    <n v="68802.858999999997"/>
    <n v="17105.574000000001"/>
    <n v="91917.127000000008"/>
    <n v="90884.509000000005"/>
    <n v="20881.253000000001"/>
    <n v="50.125999999999998"/>
    <x v="2"/>
    <n v="6"/>
    <n v="0.37637988438801562"/>
    <n v="9.3574512136343727E-2"/>
    <n v="0.4971755750743086"/>
    <n v="0.11422902629695818"/>
    <n v="95536.406000000003"/>
    <n v="0.11422902629695818"/>
  </r>
  <r>
    <s v="2021-05"/>
    <n v="100959.9"/>
    <s v="0"/>
    <n v="662.73299999999995"/>
    <n v="320.7"/>
    <n v="87953.998999999996"/>
    <n v="12022.468000000001"/>
    <n v="99976.467000000004"/>
    <n v="121479.818"/>
    <n v="17379.174999999999"/>
    <n v="186103.557"/>
    <n v="5702.9459999999999"/>
    <n v="60020.086000000003"/>
    <n v="26323.699000000001"/>
    <n v="92046.731"/>
    <n v="94056.827000000005"/>
    <n v="20758.112000000001"/>
    <n v="49.834000000000003"/>
    <x v="2"/>
    <n v="5"/>
    <n v="0.32250907488028291"/>
    <n v="0.14144651195463179"/>
    <n v="0.50540047979845981"/>
    <n v="0.11154065153091083"/>
    <n v="104100.643"/>
    <n v="0.11154065153091083"/>
  </r>
  <r>
    <s v="2021-04"/>
    <n v="96347.01"/>
    <s v="0"/>
    <n v="644.21199999999999"/>
    <n v="302.40499999999997"/>
    <n v="86700.854999999996"/>
    <n v="8699.5390000000007"/>
    <n v="95400.394"/>
    <n v="120255.156"/>
    <n v="20766.420999999998"/>
    <n v="194971.03599999999"/>
    <n v="6129.8370000000004"/>
    <n v="58223.055999999997"/>
    <n v="36663.220999999998"/>
    <n v="101016.114"/>
    <n v="93954.922000000006"/>
    <n v="22994.138999999999"/>
    <n v="49.987000000000002"/>
    <x v="2"/>
    <n v="4"/>
    <n v="0.29862412999641647"/>
    <n v="0.18804444881751564"/>
    <n v="0.48189168979950442"/>
    <n v="0.11793617899224786"/>
    <n v="99488.735000000001"/>
    <n v="0.11793617899224786"/>
  </r>
  <r>
    <s v="2021-03"/>
    <n v="112745.606"/>
    <s v="0"/>
    <n v="657.69"/>
    <n v="305.34899999999999"/>
    <n v="100674.872"/>
    <n v="11107.695"/>
    <n v="111782.56700000001"/>
    <n v="125023.22900000001"/>
    <n v="19841.107"/>
    <n v="230433.948"/>
    <n v="6903.0389999999998"/>
    <n v="67841.755000000005"/>
    <n v="47131.239000000001"/>
    <n v="121876.03300000001"/>
    <n v="108557.91499999999"/>
    <n v="27487.170999999998"/>
    <n v="50.758000000000003"/>
    <x v="2"/>
    <n v="3"/>
    <n v="0.29440868235265405"/>
    <n v="0.2045325326804712"/>
    <n v="0.47110209212750193"/>
    <n v="0.11928438165716797"/>
    <n v="105182.122"/>
    <n v="0.11928438165716797"/>
  </r>
  <r>
    <s v="2021-02"/>
    <n v="109324.545"/>
    <s v="0"/>
    <n v="601.00199999999995"/>
    <n v="250.553"/>
    <n v="96487.993000000002"/>
    <n v="11984.998"/>
    <n v="108472.99100000001"/>
    <n v="103219.91099999999"/>
    <n v="18303.243999999999"/>
    <n v="219686.34899999999"/>
    <n v="6512.8890000000001"/>
    <n v="59949.256000000001"/>
    <n v="48160.938000000002"/>
    <n v="114623.08300000001"/>
    <n v="105063.266"/>
    <n v="25494.646000000001"/>
    <n v="51.033999999999999"/>
    <x v="2"/>
    <n v="2"/>
    <n v="0.27288566755688587"/>
    <n v="0.21922590192438404"/>
    <n v="0.47824212327366783"/>
    <n v="0.11605020574127708"/>
    <n v="84916.666999999987"/>
    <n v="0.11605020574127708"/>
  </r>
  <r>
    <s v="2021-01"/>
    <n v="130964.128"/>
    <s v="0"/>
    <n v="673.49099999999999"/>
    <n v="270.392"/>
    <n v="118085.182"/>
    <n v="11935.063"/>
    <n v="130020.245"/>
    <n v="120975.16899999999"/>
    <n v="17818.775000000001"/>
    <n v="261040.98300000001"/>
    <n v="7940.6959999999999"/>
    <n v="62260.815999999999"/>
    <n v="62809.237999999998"/>
    <n v="133010.75"/>
    <n v="128030.23299999999"/>
    <n v="29592.929"/>
    <n v="51.203000000000003"/>
    <x v="2"/>
    <n v="1"/>
    <n v="0.23850973622789337"/>
    <n v="0.2406106400541711"/>
    <n v="0.49046027764919958"/>
    <n v="0.11336506880990407"/>
    <n v="103156.394"/>
    <n v="0.11336506880990407"/>
  </r>
  <r>
    <s v="2020-12"/>
    <n v="121073.148"/>
    <s v="0"/>
    <n v="658.07899999999995"/>
    <n v="262.67700000000002"/>
    <n v="109533.554"/>
    <n v="10618.838"/>
    <n v="120152.39200000001"/>
    <n v="102095.609"/>
    <n v="20806.877"/>
    <n v="243962.53599999999"/>
    <n v="7112.5990000000002"/>
    <n v="64592.694000000003"/>
    <n v="54549.171999999999"/>
    <n v="126254.465"/>
    <n v="117708.071"/>
    <n v="28208.703000000001"/>
    <n v="51.173999999999999"/>
    <x v="3"/>
    <n v="12"/>
    <n v="0.26476480798674762"/>
    <n v="0.22359651155618418"/>
    <n v="0.48248420814907417"/>
    <n v="0.11562719203738726"/>
    <n v="81288.731999999989"/>
    <n v="0.11562719203738726"/>
  </r>
  <r>
    <s v="2020-11"/>
    <n v="109782.902"/>
    <s v="0"/>
    <n v="646.97299999999996"/>
    <n v="232.553"/>
    <n v="100429.253"/>
    <n v="8474.1219999999994"/>
    <n v="108903.375"/>
    <n v="109894.632"/>
    <n v="22458.284"/>
    <n v="207991.033"/>
    <n v="5715.4859999999999"/>
    <n v="54313.169000000002"/>
    <n v="43837.822"/>
    <n v="103866.477"/>
    <n v="104124.556"/>
    <n v="22663.078000000001"/>
    <n v="51.088000000000001"/>
    <x v="3"/>
    <n v="11"/>
    <n v="0.26113226237017634"/>
    <n v="0.21076784593881986"/>
    <n v="0.50062040895772653"/>
    <n v="0.10896180317542825"/>
    <n v="87436.347999999998"/>
    <n v="0.10896180317542825"/>
  </r>
  <r>
    <s v="2020-10"/>
    <n v="101525.16800000001"/>
    <s v="0"/>
    <n v="694.01700000000005"/>
    <n v="214.19900000000001"/>
    <n v="90211.445999999996"/>
    <n v="10405.507"/>
    <n v="100616.95299999999"/>
    <n v="116933.198"/>
    <n v="18449.420999999998"/>
    <n v="206368.32699999999"/>
    <s v="5286"/>
    <n v="68990.521999999997"/>
    <n v="34313.529000000002"/>
    <n v="103304.05100000001"/>
    <n v="97778.277000000002"/>
    <n v="24319.416000000001"/>
    <n v="50.396000000000001"/>
    <x v="3"/>
    <n v="10"/>
    <n v="0.33430770604638377"/>
    <n v="0.16627323339206024"/>
    <n v="0.47380466964777984"/>
    <n v="0.11784471170326444"/>
    <n v="98483.777000000002"/>
    <n v="0.11784471170326444"/>
  </r>
  <r>
    <s v="2020-09"/>
    <n v="77602.293999999994"/>
    <s v="0"/>
    <n v="670.59799999999996"/>
    <n v="169.381"/>
    <n v="69877.497000000003"/>
    <n v="6884.8180000000002"/>
    <n v="76762.315000000002"/>
    <n v="107135.68799999999"/>
    <n v="19728.939999999999"/>
    <n v="171334.57500000001"/>
    <n v="5521.9369999999999"/>
    <n v="67821.017000000007"/>
    <n v="20677.267"/>
    <n v="94020.22100000002"/>
    <n v="77314.354000000007"/>
    <n v="21216.001"/>
    <n v="50.331000000000003"/>
    <x v="3"/>
    <n v="9"/>
    <n v="0.39583964299091412"/>
    <n v="0.12068356313954727"/>
    <n v="0.45124782315536721"/>
    <n v="0.12382790221996931"/>
    <n v="87406.747999999992"/>
    <n v="0.12382790221996931"/>
  </r>
  <r>
    <s v="2020-08"/>
    <n v="81972.312999999995"/>
    <s v="0"/>
    <n v="686.45399999999995"/>
    <n v="170.565"/>
    <n v="73715.968999999997"/>
    <n v="7399.3249999999998"/>
    <n v="81115.293999999994"/>
    <n v="109287.552"/>
    <n v="20941.083999999999"/>
    <n v="162187.94399999999"/>
    <n v="4574.6620000000003"/>
    <n v="61741.955999999998"/>
    <n v="16497.511999999999"/>
    <n v="82814.13"/>
    <n v="79373.815000000002"/>
    <n v="18754.808000000001"/>
    <n v="50.631999999999998"/>
    <x v="3"/>
    <n v="8"/>
    <n v="0.38068153820360412"/>
    <n v="0.10171848531479011"/>
    <n v="0.48939405138522507"/>
    <n v="0.11563626455490429"/>
    <n v="88346.467999999993"/>
    <n v="0.11563626455490429"/>
  </r>
  <r>
    <s v="2020-07"/>
    <n v="81744.634000000005"/>
    <s v="0"/>
    <n v="659.14599999999996"/>
    <n v="170.733"/>
    <n v="72325.808000000005"/>
    <n v="8588.9470000000001"/>
    <n v="80914.755000000005"/>
    <n v="109687.436"/>
    <n v="23761.375"/>
    <n v="172399.22899999999"/>
    <n v="4697.799"/>
    <n v="69557.301000000007"/>
    <n v="18530.294999999998"/>
    <n v="92785.395000000004"/>
    <n v="79613.834000000003"/>
    <n v="20644.256000000001"/>
    <n v="50.764000000000003"/>
    <x v="3"/>
    <n v="7"/>
    <n v="0.40346642733535665"/>
    <n v="0.10748479043372056"/>
    <n v="0.46179924621356633"/>
    <n v="0.1197468000277426"/>
    <n v="85926.061000000002"/>
    <n v="0.1197468000277426"/>
  </r>
  <r>
    <s v="2020-06"/>
    <n v="79671.085000000006"/>
    <s v="0"/>
    <n v="597.65800000000002"/>
    <n v="162.06299999999999"/>
    <n v="68777.752999999997"/>
    <n v="10133.611000000001"/>
    <n v="78911.364000000001"/>
    <n v="109907.022"/>
    <n v="21176.344000000001"/>
    <n v="158949.21400000001"/>
    <n v="3649.5439999999999"/>
    <n v="60431.925999999999"/>
    <n v="19277.864000000001"/>
    <n v="83359.334000000003"/>
    <n v="75589.879000000001"/>
    <n v="18535.758000000002"/>
    <n v="50.957999999999998"/>
    <x v="3"/>
    <n v="6"/>
    <n v="0.38019644438128519"/>
    <n v="0.12128316658426509"/>
    <n v="0.47555994205797075"/>
    <n v="0.11661434198724632"/>
    <n v="88730.678"/>
    <n v="0.11661434198724632"/>
  </r>
  <r>
    <s v="2020-05"/>
    <n v="91285.304999999993"/>
    <s v="0"/>
    <n v="401.08499999999998"/>
    <n v="166.68899999999999"/>
    <n v="79563.073000000004"/>
    <n v="11154.458000000001"/>
    <n v="90717.531000000003"/>
    <n v="119653.34699999999"/>
    <n v="21358.335999999999"/>
    <n v="159352.361"/>
    <n v="4394.0529999999999"/>
    <n v="50712.504999999997"/>
    <n v="19922.374"/>
    <n v="75028.932000000001"/>
    <n v="84323.429000000004"/>
    <n v="16738.677"/>
    <n v="51.164999999999999"/>
    <x v="3"/>
    <n v="5"/>
    <n v="0.31824131554599305"/>
    <n v="0.12502089002622307"/>
    <n v="0.52916334888819128"/>
    <n v="0.10504191400088511"/>
    <n v="98295.010999999999"/>
    <n v="0.10504191400088511"/>
  </r>
  <r>
    <s v="2020-04"/>
    <n v="95343.116999999998"/>
    <s v="0"/>
    <n v="452.63600000000002"/>
    <n v="161.06"/>
    <n v="85870.558999999994"/>
    <n v="8858.8610000000008"/>
    <n v="94729.42"/>
    <n v="104086.103"/>
    <n v="24033.742999999999"/>
    <n v="156717.94500000001"/>
    <n v="4122.1180000000004"/>
    <n v="42171.218000000001"/>
    <n v="21388.562999999998"/>
    <n v="67681.899000000005"/>
    <n v="89036.046000000002"/>
    <n v="14804.465"/>
    <n v="50.948"/>
    <x v="3"/>
    <n v="4"/>
    <n v="0.26908991181577835"/>
    <n v="0.13647807211867152"/>
    <n v="0.56812923370070989"/>
    <n v="9.4465665690039516E-2"/>
    <n v="80052.36"/>
    <n v="9.4465665690039516E-2"/>
  </r>
  <r>
    <s v="2020-03"/>
    <n v="111681.276"/>
    <s v="0"/>
    <n v="695.81200000000001"/>
    <n v="162.00399999999999"/>
    <n v="97714.37"/>
    <n v="13109.09"/>
    <n v="110823.45999999999"/>
    <n v="122199.761"/>
    <n v="25216.644"/>
    <n v="215638.785"/>
    <n v="5403.9319999999998"/>
    <n v="61447.275999999998"/>
    <n v="43957.514999999999"/>
    <n v="110808.723"/>
    <n v="104830.06200000001"/>
    <n v="24593.407999999999"/>
    <n v="50.317999999999998"/>
    <x v="3"/>
    <n v="3"/>
    <n v="0.28495465692778782"/>
    <n v="0.20384790704510786"/>
    <n v="0.48613732450774105"/>
    <n v="0.11404909371938818"/>
    <n v="96983.116999999998"/>
    <n v="0.11404909371938818"/>
  </r>
  <r>
    <s v="2020-02"/>
    <n v="119587.17"/>
    <s v="0"/>
    <n v="684.779"/>
    <n v="141.43700000000001"/>
    <n v="105638.334"/>
    <n v="13122.62"/>
    <n v="118760.954"/>
    <n v="111452.60799999999"/>
    <n v="26185.581999999999"/>
    <n v="232012.85699999999"/>
    <n v="6175.2190000000001"/>
    <n v="67059.142999999996"/>
    <n v="46768.671999999999"/>
    <n v="120003.03399999999"/>
    <n v="112009.82399999999"/>
    <n v="27227.206999999999"/>
    <n v="50.393000000000001"/>
    <x v="3"/>
    <n v="2"/>
    <n v="0.28903201256644151"/>
    <n v="0.20157793238156627"/>
    <n v="0.48277421108606927"/>
    <n v="0.11735214742862289"/>
    <n v="85267.025999999998"/>
    <n v="0.11735214742862289"/>
  </r>
  <r>
    <s v="2020-01"/>
    <n v="130780.026"/>
    <s v="0"/>
    <n v="708.49099999999999"/>
    <n v="144.30199999999999"/>
    <n v="118755.94100000001"/>
    <n v="11171.290999999999"/>
    <n v="129927.232"/>
    <n v="117276.77"/>
    <n v="24221.929"/>
    <n v="262024.66500000001"/>
    <n v="6829.4470000000001"/>
    <n v="71479.834000000003"/>
    <n v="58305.58"/>
    <n v="136614.861"/>
    <n v="125409.804"/>
    <n v="30979.055"/>
    <n v="50.381"/>
    <x v="3"/>
    <n v="1"/>
    <n v="0.27279811234564499"/>
    <n v="0.22251943342814692"/>
    <n v="0.47861831633292995"/>
    <n v="0.11822953766585294"/>
    <n v="93054.841"/>
    <n v="0.11822953766585294"/>
  </r>
  <r>
    <s v="2019-12"/>
    <n v="119523.961"/>
    <s v="0"/>
    <n v="711.07"/>
    <n v="141.767"/>
    <n v="105413.8"/>
    <n v="13257.324000000001"/>
    <n v="118671.12400000001"/>
    <n v="127542.967"/>
    <n v="23163.775000000001"/>
    <n v="244893.78700000001"/>
    <n v="6347.9780000000001"/>
    <n v="69780.582999999999"/>
    <n v="53663.805999999997"/>
    <n v="129792.367"/>
    <n v="115101.421"/>
    <n v="29575.141"/>
    <n v="50.213999999999999"/>
    <x v="4"/>
    <n v="12"/>
    <n v="0.28494223497797433"/>
    <n v="0.21913094103934941"/>
    <n v="0.47000547629246303"/>
    <n v="0.1207672165239537"/>
    <n v="104379.19200000001"/>
    <n v="0.1207672165239537"/>
  </r>
  <r>
    <s v="2019-11"/>
    <n v="104563.239"/>
    <s v="0"/>
    <n v="717.65200000000004"/>
    <n v="124.2"/>
    <n v="93100.702000000005"/>
    <n v="10620.684999999999"/>
    <n v="103721.387"/>
    <n v="137799.97899999999"/>
    <n v="22131.825000000001"/>
    <n v="229887.70699999999"/>
    <n v="6786.1450000000004"/>
    <n v="70062.366999999998"/>
    <n v="50705.944000000003"/>
    <n v="127554.45600000001"/>
    <n v="102333.251"/>
    <n v="28744.403999999999"/>
    <n v="50.497999999999998"/>
    <x v="4"/>
    <n v="11"/>
    <n v="0.30476778386414544"/>
    <n v="0.22056831425092255"/>
    <n v="0.44514451135919159"/>
    <n v="0.12503671629557817"/>
    <n v="115668.15399999999"/>
    <n v="0.12503671629557817"/>
  </r>
  <r>
    <s v="2019-10"/>
    <n v="102025.173"/>
    <s v="0"/>
    <n v="768.74300000000005"/>
    <n v="122.7"/>
    <n v="92959.701000000001"/>
    <n v="8174.03"/>
    <n v="101133.731"/>
    <n v="136373.682"/>
    <n v="26100.488000000001"/>
    <n v="210440.198"/>
    <n v="5924.7780000000002"/>
    <n v="77481.474000000002"/>
    <n v="30182.708999999999"/>
    <n v="113588.96100000001"/>
    <n v="96851.236999999994"/>
    <n v="25740.879000000001"/>
    <n v="50.636000000000003"/>
    <x v="4"/>
    <n v="10"/>
    <n v="0.36818761214052842"/>
    <n v="0.14342653773781375"/>
    <n v="0.46023163787367277"/>
    <n v="0.12231921108532696"/>
    <n v="110273.194"/>
    <n v="0.12231921108532696"/>
  </r>
  <r>
    <s v="2019-09"/>
    <n v="95436.751000000004"/>
    <s v="0"/>
    <n v="720.83900000000006"/>
    <n v="114.712"/>
    <n v="88010.441000000006"/>
    <n v="6590.759"/>
    <n v="94601.200000000012"/>
    <n v="113770.448"/>
    <n v="27507.758000000002"/>
    <n v="192423.04000000001"/>
    <n v="5870.6629999999996"/>
    <n v="76660.206999999995"/>
    <n v="20185.008999999998"/>
    <n v="102715.87899999999"/>
    <n v="89707.16"/>
    <n v="23568.001"/>
    <n v="50.615000000000002"/>
    <x v="4"/>
    <n v="9"/>
    <n v="0.39839411642181721"/>
    <n v="0.10489912746415396"/>
    <n v="0.46619760294817086"/>
    <n v="0.12248014063180791"/>
    <n v="86262.69"/>
    <n v="0.12248014063180791"/>
  </r>
  <r>
    <s v="2019-08"/>
    <n v="96602.835000000006"/>
    <s v="0"/>
    <n v="755.95"/>
    <n v="101.256"/>
    <n v="88794.004000000001"/>
    <n v="6951.6239999999998"/>
    <n v="95745.627999999997"/>
    <n v="135439.09299999999"/>
    <n v="27723.79"/>
    <n v="184795.495"/>
    <n v="6147.8360000000002"/>
    <n v="72320.986000000004"/>
    <n v="16157.965"/>
    <n v="94626.786999999997"/>
    <n v="90168.709000000003"/>
    <n v="21569.106"/>
    <n v="50.831000000000003"/>
    <x v="4"/>
    <n v="8"/>
    <n v="0.39135686722233143"/>
    <n v="8.7437007054744498E-2"/>
    <n v="0.48793780930644443"/>
    <n v="0.1167187868946697"/>
    <n v="107715.30299999999"/>
    <n v="0.1167187868946697"/>
  </r>
  <r>
    <s v="2019-07"/>
    <n v="101710.728"/>
    <s v="0"/>
    <n v="596.61900000000003"/>
    <n v="92.322999999999993"/>
    <n v="93226.275999999998"/>
    <n v="7795.51"/>
    <n v="101021.78599999999"/>
    <n v="137071.41500000001"/>
    <n v="30413.151000000002"/>
    <n v="202338.76800000001"/>
    <n v="6358.63"/>
    <n v="81580.039999999994"/>
    <n v="19001.858"/>
    <n v="106940.52799999999"/>
    <n v="95398.24"/>
    <n v="24412.564999999999"/>
    <n v="50.713999999999999"/>
    <x v="4"/>
    <n v="7"/>
    <n v="0.40318541427513283"/>
    <n v="9.3911108522712755E-2"/>
    <n v="0.47147781388092669"/>
    <n v="0.12065194051196357"/>
    <n v="106658.26400000001"/>
    <n v="0.12065194051196357"/>
  </r>
  <r>
    <s v="2019-06"/>
    <n v="101141.435"/>
    <s v="0"/>
    <n v="596.61900000000003"/>
    <n v="93.822000000000003"/>
    <n v="91228.342000000004"/>
    <n v="9222.652"/>
    <n v="100450.99400000001"/>
    <n v="126630.026"/>
    <n v="27450.417000000001"/>
    <n v="190999.02499999999"/>
    <n v="6342.9570000000003"/>
    <n v="72901.407999999996"/>
    <n v="18430.566999999999"/>
    <n v="97674.931999999986"/>
    <n v="93324.092999999993"/>
    <n v="22278.934000000001"/>
    <n v="50.841999999999999"/>
    <x v="4"/>
    <n v="6"/>
    <n v="0.38168471278845534"/>
    <n v="9.649560776553702E-2"/>
    <n v="0.48861031096886487"/>
    <n v="0.11664422894305351"/>
    <n v="99179.608999999997"/>
    <n v="0.11664422894305351"/>
  </r>
  <r>
    <s v="2019-05"/>
    <n v="110939.223"/>
    <s v="0"/>
    <n v="584.69799999999998"/>
    <n v="101.79300000000001"/>
    <n v="100989.601"/>
    <n v="9263.1309999999994"/>
    <n v="110252.73199999999"/>
    <n v="143585.40900000001"/>
    <n v="30575.168000000001"/>
    <n v="208492.38800000001"/>
    <n v="6212.8090000000002"/>
    <n v="72304.592999999993"/>
    <n v="27195.356"/>
    <n v="105712.75799999999"/>
    <n v="102779.63"/>
    <n v="23834.272000000001"/>
    <n v="50.84"/>
    <x v="4"/>
    <n v="5"/>
    <n v="0.34679727971651414"/>
    <n v="0.13043812419664932"/>
    <n v="0.49296586309904034"/>
    <n v="0.11431722869421976"/>
    <n v="113010.24100000001"/>
    <n v="0.11431722869421976"/>
  </r>
  <r>
    <s v="2019-04"/>
    <n v="109993.902"/>
    <s v="0"/>
    <n v="722.22299999999996"/>
    <n v="100.943"/>
    <n v="101109.583"/>
    <n v="8061.152"/>
    <n v="109170.735"/>
    <n v="143642.09"/>
    <n v="30197.396000000001"/>
    <n v="217538.03599999999"/>
    <n v="6129.9089999999997"/>
    <n v="73675.08"/>
    <n v="33021.754999999997"/>
    <n v="112826.74400000001"/>
    <n v="104711.29300000001"/>
    <n v="25550.724999999999"/>
    <n v="50.918999999999997"/>
    <x v="4"/>
    <n v="4"/>
    <n v="0.33867677282882153"/>
    <n v="0.15179761483182647"/>
    <n v="0.48134705509614883"/>
    <n v="0.11745405755157226"/>
    <n v="113444.69399999999"/>
    <n v="0.11745405755157226"/>
  </r>
  <r>
    <s v="2019-03"/>
    <n v="124639.387"/>
    <s v="0"/>
    <n v="751.01900000000001"/>
    <n v="102.09099999999999"/>
    <n v="112901.594"/>
    <n v="10884.683999999999"/>
    <n v="123786.27799999999"/>
    <n v="153692.845"/>
    <n v="33479.351999999999"/>
    <n v="237490.09099999999"/>
    <n v="6368.3649999999998"/>
    <n v="70373.607000000004"/>
    <n v="43754.995000000003"/>
    <n v="120496.967"/>
    <n v="116993.12300000001"/>
    <n v="27250.952000000001"/>
    <n v="51.072000000000003"/>
    <x v="4"/>
    <n v="3"/>
    <n v="0.29632228740019306"/>
    <n v="0.18423924474389966"/>
    <n v="0.49262317643391706"/>
    <n v="0.11474563795590109"/>
    <n v="120213.493"/>
    <n v="0.11474563795590109"/>
  </r>
  <r>
    <s v="2019-02"/>
    <n v="123646.935"/>
    <s v="0"/>
    <n v="694.31100000000004"/>
    <n v="89.600999999999999"/>
    <n v="114250.76300000001"/>
    <n v="8612.26"/>
    <n v="122863.023"/>
    <n v="128583.08500000001"/>
    <n v="32616.190999999999"/>
    <n v="240705.845"/>
    <n v="6606.9369999999999"/>
    <n v="66723.876000000004"/>
    <n v="50038.158000000003"/>
    <n v="123368.97100000002"/>
    <n v="117336.874"/>
    <n v="27900.272000000001"/>
    <n v="50.648000000000003"/>
    <x v="4"/>
    <n v="2"/>
    <n v="0.27720089638870216"/>
    <n v="0.20788094281632422"/>
    <n v="0.48746998229311794"/>
    <n v="0.1159102389059144"/>
    <n v="95966.894"/>
    <n v="0.1159102389059144"/>
  </r>
  <r>
    <s v="2019-01"/>
    <s v="136813"/>
    <s v="0"/>
    <n v="751.65899999999999"/>
    <n v="85.930999999999997"/>
    <n v="127358.57399999999"/>
    <n v="8616.8359999999993"/>
    <n v="135975.41"/>
    <n v="144477.92800000001"/>
    <n v="25706.576000000001"/>
    <n v="282755.011"/>
    <n v="7552.7860000000001"/>
    <n v="74074.462"/>
    <n v="66486.402000000002"/>
    <n v="148113.65"/>
    <n v="134641.361"/>
    <n v="33176.821000000004"/>
    <n v="50.31"/>
    <x v="4"/>
    <n v="1"/>
    <n v="0.26197400264641107"/>
    <n v="0.23513783810536962"/>
    <n v="0.47617674581194253"/>
    <n v="0.11733415751913943"/>
    <n v="118771.35200000001"/>
    <n v="0.11733415751913943"/>
  </r>
  <r>
    <s v="2018-12"/>
    <n v="133532.96799999999"/>
    <s v="0"/>
    <n v="750.27499999999998"/>
    <n v="81.528999999999996"/>
    <n v="123406.02"/>
    <n v="9295.1440000000002"/>
    <n v="132701.16399999999"/>
    <n v="139983.26800000001"/>
    <n v="32603.913"/>
    <n v="257777.16200000001"/>
    <n v="7406.1620000000003"/>
    <n v="68595.721999999994"/>
    <n v="54317.722000000002"/>
    <n v="130319.606"/>
    <n v="127457.557"/>
    <n v="29819.382000000001"/>
    <n v="50.843000000000004"/>
    <x v="5"/>
    <n v="12"/>
    <n v="0.26610472963466014"/>
    <n v="0.21071580421852887"/>
    <n v="0.49444860053195866"/>
    <n v="0.11567891340195606"/>
    <n v="107379.35500000001"/>
    <n v="0.11567891340195606"/>
  </r>
  <r>
    <s v="2018-11"/>
    <n v="112157.776"/>
    <s v="0"/>
    <n v="733.57399999999996"/>
    <n v="67.587000000000003"/>
    <n v="103937.52099999999"/>
    <n v="7419.0940000000001"/>
    <n v="111356.61499999999"/>
    <n v="135628.04199999999"/>
    <n v="21909.576000000001"/>
    <n v="237663.45300000001"/>
    <n v="8211.7790000000005"/>
    <n v="70143.262000000002"/>
    <n v="49876.313000000002"/>
    <n v="128231.35399999999"/>
    <n v="109432.099"/>
    <n v="29588.454000000002"/>
    <n v="50.441000000000003"/>
    <x v="5"/>
    <n v="11"/>
    <n v="0.29513693045602596"/>
    <n v="0.20986109715405002"/>
    <n v="0.46044984038837472"/>
    <n v="0.12449728229775404"/>
    <n v="113718.46599999999"/>
    <n v="0.12449728229775404"/>
  </r>
  <r>
    <s v="2018-10"/>
    <n v="107960.621"/>
    <s v="0"/>
    <n v="779.61699999999996"/>
    <n v="74.697000000000003"/>
    <n v="100772.212"/>
    <n v="6334.0950000000003"/>
    <n v="107106.307"/>
    <n v="149563.01300000001"/>
    <n v="28004.976999999999"/>
    <n v="223244.96"/>
    <n v="8514.3430000000008"/>
    <n v="80731.743000000002"/>
    <n v="31473.722000000002"/>
    <n v="120719.80800000002"/>
    <n v="102525.152"/>
    <n v="28257.317999999999"/>
    <n v="50.195999999999998"/>
    <x v="5"/>
    <n v="10"/>
    <n v="0.3616285133603912"/>
    <n v="0.1409829005770164"/>
    <n v="0.45924957051661996"/>
    <n v="0.1265753905485705"/>
    <n v="121558.03600000001"/>
    <n v="0.1265753905485705"/>
  </r>
  <r>
    <s v="2018-09"/>
    <n v="102848.958"/>
    <s v="0"/>
    <n v="742.00599999999997"/>
    <n v="65.033000000000001"/>
    <n v="96104.597999999998"/>
    <n v="5937.32"/>
    <n v="102041.91800000001"/>
    <n v="132703.76800000001"/>
    <n v="26016.760999999999"/>
    <n v="195630.78899999999"/>
    <n v="7498.4790000000003"/>
    <n v="72292.19"/>
    <n v="19403.286"/>
    <n v="99193.955000000016"/>
    <n v="96436.834000000003"/>
    <n v="22887.280999999999"/>
    <n v="50.07"/>
    <x v="5"/>
    <n v="9"/>
    <n v="0.3695338058468905"/>
    <n v="9.9183191455614897E-2"/>
    <n v="0.49295325389706429"/>
    <n v="0.11699222355025109"/>
    <n v="106687.00700000001"/>
    <n v="0.11699222355025109"/>
  </r>
  <r>
    <s v="2018-08"/>
    <n v="95165.956999999995"/>
    <s v="0"/>
    <n v="763.39300000000003"/>
    <n v="62.210999999999999"/>
    <n v="87546.407999999996"/>
    <n v="6793.9449999999997"/>
    <n v="94340.353000000003"/>
    <n v="141101.11900000001"/>
    <n v="26783.850999999999"/>
    <n v="188132.24799999999"/>
    <n v="7172.3270000000002"/>
    <n v="74630.33"/>
    <n v="16345.485000000001"/>
    <n v="98148.142000000007"/>
    <n v="89984.106"/>
    <n v="22538.203000000001"/>
    <n v="49.805999999999997"/>
    <x v="5"/>
    <n v="8"/>
    <n v="0.39669078955565346"/>
    <n v="8.6882951613909382E-2"/>
    <n v="0.47830240140435681"/>
    <n v="0.11979978573370367"/>
    <n v="114317.26800000001"/>
    <n v="0.11979978573370367"/>
  </r>
  <r>
    <s v="2018-07"/>
    <n v="104530.77499999999"/>
    <s v="0"/>
    <n v="767.01"/>
    <n v="57.78"/>
    <n v="95721.775999999998"/>
    <n v="7984.2089999999998"/>
    <n v="103705.985"/>
    <n v="141596.84700000001"/>
    <n v="28869.591"/>
    <n v="201130.008"/>
    <n v="8566.7139999999999"/>
    <n v="77346.967000000004"/>
    <n v="17773.32"/>
    <n v="103687.00100000002"/>
    <n v="97443.006999999998"/>
    <n v="23823.973999999998"/>
    <n v="49.871000000000002"/>
    <x v="5"/>
    <n v="7"/>
    <n v="0.38456204406853106"/>
    <n v="8.8367321101086013E-2"/>
    <n v="0.48447771652253896"/>
    <n v="0.11845061926313849"/>
    <n v="112727.25600000001"/>
    <n v="0.11845061926313849"/>
  </r>
  <r>
    <s v="2018-06"/>
    <n v="102667.84699999999"/>
    <s v="0"/>
    <n v="757.72900000000004"/>
    <n v="57.838999999999999"/>
    <n v="91391.126000000004"/>
    <n v="10461.153"/>
    <n v="101852.27900000001"/>
    <n v="134963.155"/>
    <n v="27484.276999999998"/>
    <n v="194106.68799999999"/>
    <n v="7520.518"/>
    <n v="76065.633000000002"/>
    <n v="16270.406000000001"/>
    <n v="99856.557000000001"/>
    <n v="94250.131999999998"/>
    <n v="22899.856"/>
    <n v="49.720999999999997"/>
    <x v="5"/>
    <n v="6"/>
    <n v="0.3918753845307999"/>
    <n v="8.382197526341803E-2"/>
    <n v="0.48555839559737374"/>
    <n v="0.11797561555426674"/>
    <n v="107478.878"/>
    <n v="0.11797561555426674"/>
  </r>
  <r>
    <s v="2018-05"/>
    <n v="109003.84699999999"/>
    <s v="0"/>
    <n v="762.928"/>
    <n v="56.642000000000003"/>
    <n v="97495.217999999993"/>
    <n v="10689.058999999999"/>
    <n v="108184.27699999999"/>
    <s v="135015"/>
    <n v="32430.081999999999"/>
    <n v="200561.337"/>
    <n v="7235.7290000000003"/>
    <n v="73522.892999999996"/>
    <n v="19698.187999999998"/>
    <n v="100456.81"/>
    <n v="100104.52800000001"/>
    <n v="23099.888999999999"/>
    <n v="49.517000000000003"/>
    <x v="5"/>
    <n v="5"/>
    <n v="0.36658557476608761"/>
    <n v="9.8215280645042757E-2"/>
    <n v="0.49912176243619677"/>
    <n v="0.11517618173835767"/>
    <n v="102584.91800000001"/>
    <n v="0.11517618173835767"/>
  </r>
  <r>
    <s v="2018-04"/>
    <n v="108602.772"/>
    <s v="0"/>
    <n v="762.928"/>
    <n v="54.207999999999998"/>
    <n v="97451.630999999994"/>
    <n v="10334.004000000001"/>
    <n v="107785.63499999999"/>
    <n v="136660.21599999999"/>
    <s v="28028"/>
    <n v="206761.25099999999"/>
    <n v="7487.0739999999996"/>
    <n v="70351.084000000003"/>
    <n v="26947.652999999998"/>
    <n v="104785.81099999999"/>
    <n v="101975.44"/>
    <n v="23928.256000000001"/>
    <n v="49.326999999999998"/>
    <x v="5"/>
    <n v="4"/>
    <n v="0.34025274880930184"/>
    <n v="0.13033222071189732"/>
    <n v="0.49320382570136417"/>
    <n v="0.11572891866474537"/>
    <n v="108632.21599999999"/>
    <n v="0.11572891866474537"/>
  </r>
  <r>
    <s v="2018-03"/>
    <n v="125314.921"/>
    <s v="0"/>
    <n v="778.04700000000003"/>
    <n v="53.86"/>
    <n v="113291.10799999999"/>
    <n v="11191.906000000001"/>
    <n v="124483.014"/>
    <n v="138986.848"/>
    <n v="27100.148000000001"/>
    <n v="261149.611"/>
    <n v="9016.82"/>
    <n v="78101.5"/>
    <n v="52942.31"/>
    <n v="140060.63"/>
    <n v="121088.981"/>
    <n v="31777.415000000001"/>
    <n v="49.246000000000002"/>
    <x v="5"/>
    <n v="3"/>
    <n v="0.29906803116011532"/>
    <n v="0.20272789148439513"/>
    <n v="0.46367666616972292"/>
    <n v="0.12168279660964151"/>
    <n v="111886.7"/>
    <n v="0.12168279660964151"/>
  </r>
  <r>
    <s v="2018-02"/>
    <n v="126624.55899999999"/>
    <s v="0"/>
    <n v="673.37699999999995"/>
    <n v="47.58"/>
    <n v="115269.05"/>
    <n v="10634.552"/>
    <n v="125903.602"/>
    <n v="136069.66"/>
    <n v="26529.555"/>
    <n v="264731.967"/>
    <n v="9425.0249999999996"/>
    <n v="69652.017000000007"/>
    <n v="62880.025000000001"/>
    <n v="141957.06700000001"/>
    <n v="122774.9"/>
    <n v="32063.788"/>
    <n v="49.448"/>
    <x v="5"/>
    <n v="2"/>
    <n v="0.26310391521398702"/>
    <n v="0.23752335508465436"/>
    <n v="0.4637705880076054"/>
    <n v="0.12111793057466309"/>
    <n v="109540.10500000001"/>
    <n v="0.12111793057466309"/>
  </r>
  <r>
    <s v="2018-01"/>
    <n v="141850.57399999999"/>
    <s v="0"/>
    <n v="731.52700000000004"/>
    <n v="49.91"/>
    <n v="129237.35799999999"/>
    <n v="11831.779"/>
    <n v="141069.13699999999"/>
    <n v="140831.42800000001"/>
    <n v="32267.82"/>
    <n v="264195.201"/>
    <n v="8411.8490000000002"/>
    <n v="68778.615000000005"/>
    <n v="53227.463000000003"/>
    <n v="130417.92700000001"/>
    <n v="133777.274"/>
    <n v="29525.858"/>
    <n v="49.521000000000001"/>
    <x v="5"/>
    <n v="1"/>
    <n v="0.26033256750943029"/>
    <n v="0.20147021141387048"/>
    <n v="0.50635769875320336"/>
    <n v="0.1117577377947906"/>
    <n v="108563.60800000001"/>
    <n v="0.1117577377947906"/>
  </r>
  <r>
    <s v="2017-12"/>
    <n v="128392.72199999999"/>
    <s v="0"/>
    <n v="750.13499999999999"/>
    <n v="48.100999999999999"/>
    <n v="118870.359"/>
    <n v="8724.1270000000004"/>
    <n v="127594.486"/>
    <n v="155296.908"/>
    <n v="27697.477999999999"/>
    <n v="269071.25300000003"/>
    <n v="8233.02"/>
    <n v="72411.043000000005"/>
    <n v="61771.872000000003"/>
    <n v="142415.935"/>
    <n v="126655.318"/>
    <n v="32406.144"/>
    <n v="48.750999999999998"/>
    <x v="6"/>
    <n v="12"/>
    <n v="0.26911475006213315"/>
    <n v="0.22957440198934964"/>
    <n v="0.47071293045192009"/>
    <n v="0.12043703531569758"/>
    <n v="127599.43"/>
    <n v="0.12043703531569758"/>
  </r>
  <r>
    <s v="2017-11"/>
    <n v="104152.595"/>
    <s v="0"/>
    <n v="737.9"/>
    <n v="46.12"/>
    <n v="96864.569000000003"/>
    <n v="6504.0060000000003"/>
    <n v="103368.575"/>
    <n v="152644.321"/>
    <n v="23735.421999999999"/>
    <n v="234910.497"/>
    <n v="9179.3169999999991"/>
    <n v="68809.138999999996"/>
    <n v="53005.214"/>
    <n v="130993.66999999998"/>
    <n v="103916.826"/>
    <n v="30137.957999999999"/>
    <n v="48.558"/>
    <x v="6"/>
    <n v="11"/>
    <n v="0.292916408073497"/>
    <n v="0.22564004025754542"/>
    <n v="0.44236774144664981"/>
    <n v="0.12829549290000436"/>
    <n v="128908.899"/>
    <n v="0.12829549290000436"/>
  </r>
  <r>
    <s v="2017-10"/>
    <n v="95837.331999999995"/>
    <s v="0"/>
    <n v="751.298"/>
    <n v="48.244999999999997"/>
    <n v="89679.724000000002"/>
    <n v="5358.0649999999996"/>
    <n v="95037.789000000004"/>
    <n v="146339.18599999999"/>
    <n v="28536.964"/>
    <n v="205842.35200000001"/>
    <n v="8793.4310000000005"/>
    <n v="71807.725000000006"/>
    <n v="32625.901999999998"/>
    <n v="113227.058"/>
    <n v="92615.293999999994"/>
    <n v="26122.44"/>
    <n v="48.661000000000001"/>
    <x v="6"/>
    <n v="10"/>
    <n v="0.34884815637940242"/>
    <n v="0.15849946176285432"/>
    <n v="0.44993313135092816"/>
    <n v="0.126905079281255"/>
    <n v="117802.22199999998"/>
    <n v="0.126905079281255"/>
  </r>
  <r>
    <s v="2017-09"/>
    <n v="99921.751999999993"/>
    <s v="0"/>
    <n v="730.36400000000003"/>
    <n v="41.091000000000001"/>
    <n v="93701.03"/>
    <n v="5449.2669999999998"/>
    <n v="99150.296999999991"/>
    <n v="131110.405"/>
    <n v="32318.81"/>
    <n v="203986.166"/>
    <n v="8954.2080000000005"/>
    <n v="77657.08"/>
    <n v="22783.976999999999"/>
    <n v="109395.265"/>
    <n v="94590.9"/>
    <n v="25188.008999999998"/>
    <n v="48.527000000000001"/>
    <x v="6"/>
    <n v="9"/>
    <n v="0.38069777731887955"/>
    <n v="0.11169373613306698"/>
    <n v="0.46371232841348659"/>
    <n v="0.12347900592435272"/>
    <n v="98791.595000000001"/>
    <n v="0.12347900592435272"/>
  </r>
  <r>
    <s v="2017-08"/>
    <n v="97816.626000000004"/>
    <s v="0"/>
    <n v="733.12"/>
    <n v="43.892000000000003"/>
    <n v="91336.843999999997"/>
    <n v="5702.77"/>
    <n v="97039.614000000001"/>
    <n v="133577.45699999999"/>
    <n v="26943.530999999999"/>
    <n v="189944.04300000001"/>
    <n v="7243.6459999999997"/>
    <n v="74549.172000000006"/>
    <n v="15694.637000000001"/>
    <n v="97487.455000000002"/>
    <n v="92456.588000000003"/>
    <n v="22082.251"/>
    <n v="48.408999999999999"/>
    <x v="6"/>
    <n v="8"/>
    <n v="0.39247965254693462"/>
    <n v="8.2627687355270207E-2"/>
    <n v="0.48675697610585239"/>
    <n v="0.1162566124803398"/>
    <n v="106633.92599999999"/>
    <n v="0.1162566124803398"/>
  </r>
  <r>
    <s v="2017-07"/>
    <n v="97436.557000000001"/>
    <s v="0"/>
    <n v="737.34199999999998"/>
    <n v="41.866999999999997"/>
    <n v="90039.040999999997"/>
    <n v="6618.3069999999998"/>
    <n v="96657.347999999998"/>
    <n v="147144.084"/>
    <n v="30060.058000000001"/>
    <n v="195008.56899999999"/>
    <n v="9219.5159999999996"/>
    <n v="76300.312999999995"/>
    <n v="17412.288"/>
    <n v="102932.117"/>
    <n v="92076.452000000005"/>
    <n v="23363.875"/>
    <n v="48.319000000000003"/>
    <x v="6"/>
    <n v="7"/>
    <n v="0.39126646275733656"/>
    <n v="8.9289860898369044E-2"/>
    <n v="0.47216618465622406"/>
    <n v="0.11980947873116284"/>
    <n v="117084.026"/>
    <n v="0.11980947873116284"/>
  </r>
  <r>
    <s v="2017-06"/>
    <n v="94410.142999999996"/>
    <s v="0"/>
    <n v="721.38599999999997"/>
    <n v="41.567999999999998"/>
    <n v="86043.752999999997"/>
    <n v="7603.4359999999997"/>
    <n v="93647.188999999998"/>
    <n v="121727.442"/>
    <n v="28502.368999999999"/>
    <n v="188506.505"/>
    <n v="7343.4290000000001"/>
    <n v="74267.959000000003"/>
    <n v="16702.968000000001"/>
    <n v="98314.356"/>
    <n v="90192.15"/>
    <n v="22167.327000000001"/>
    <n v="48.42"/>
    <x v="6"/>
    <n v="6"/>
    <n v="0.39398088145552324"/>
    <n v="8.8606852055317667E-2"/>
    <n v="0.47845643310823671"/>
    <n v="0.11759449362238189"/>
    <n v="93225.073000000004"/>
    <n v="0.11759449362238189"/>
  </r>
  <r>
    <s v="2017-05"/>
    <n v="104654.893"/>
    <s v="0"/>
    <n v="768.74300000000005"/>
    <n v="44.877000000000002"/>
    <n v="95666.748999999996"/>
    <n v="8174.5240000000003"/>
    <n v="103841.273"/>
    <n v="142241.77900000001"/>
    <n v="30896.02"/>
    <n v="202089.58900000001"/>
    <n v="8456.3269999999993"/>
    <n v="72527.517999999996"/>
    <n v="23136.579000000002"/>
    <n v="104120.424"/>
    <n v="97969.165999999997"/>
    <n v="23720.232"/>
    <n v="48.689"/>
    <x v="6"/>
    <n v="5"/>
    <n v="0.35888794845339606"/>
    <n v="0.11448674379757386"/>
    <n v="0.48478086617317034"/>
    <n v="0.11737483418801944"/>
    <n v="111345.75900000001"/>
    <n v="0.11737483418801944"/>
  </r>
  <r>
    <s v="2017-04"/>
    <n v="108390.567"/>
    <s v="0"/>
    <n v="752.46100000000001"/>
    <n v="45.112000000000002"/>
    <n v="101042.997"/>
    <n v="6549.9960000000001"/>
    <n v="107592.993"/>
    <n v="133150.326"/>
    <n v="27343.949000000001"/>
    <n v="210741.81899999999"/>
    <n v="8500.2009999999991"/>
    <n v="68039.756999999998"/>
    <n v="31998.795999999998"/>
    <n v="108538.754"/>
    <n v="102203.06600000001"/>
    <n v="24456.39"/>
    <n v="48.661000000000001"/>
    <x v="6"/>
    <n v="4"/>
    <n v="0.32285835494283172"/>
    <n v="0.15183885263892496"/>
    <n v="0.48496813060154903"/>
    <n v="0.11604906001119787"/>
    <n v="105806.37700000001"/>
    <n v="0.11604906001119787"/>
  </r>
  <r>
    <s v="2017-03"/>
    <n v="119087.84"/>
    <s v="0"/>
    <n v="740.83100000000002"/>
    <n v="46.835000000000001"/>
    <n v="108798.41899999999"/>
    <n v="9501.7559999999994"/>
    <n v="118300.17499999999"/>
    <n v="146921.283"/>
    <n v="30770.488000000001"/>
    <n v="237587.44899999999"/>
    <n v="7720.9110000000001"/>
    <n v="74423.183999999994"/>
    <n v="43518.961000000003"/>
    <n v="125663.05600000001"/>
    <n v="111924.393"/>
    <n v="28158.465"/>
    <n v="48.561"/>
    <x v="6"/>
    <n v="3"/>
    <n v="0.31324543578899233"/>
    <n v="0.18317028607011981"/>
    <n v="0.47108714484324465"/>
    <n v="0.11851831870125429"/>
    <n v="116150.795"/>
    <n v="0.11851831870125429"/>
  </r>
  <r>
    <s v="2017-02"/>
    <n v="115150.04399999999"/>
    <s v="0"/>
    <n v="651.28"/>
    <n v="39.795999999999999"/>
    <n v="107040.272"/>
    <n v="7418.6949999999997"/>
    <n v="114458.967"/>
    <n v="137457.73199999999"/>
    <n v="22468.473999999998"/>
    <n v="237617.897"/>
    <n v="9173.0239999999994"/>
    <n v="67404.490999999995"/>
    <n v="50123.341"/>
    <n v="126700.856"/>
    <n v="110917.041"/>
    <n v="28499.558000000001"/>
    <n v="48.54"/>
    <x v="6"/>
    <n v="2"/>
    <n v="0.28366756818826655"/>
    <n v="0.2109409334600752"/>
    <n v="0.4667874028024076"/>
    <n v="0.1199386004161126"/>
    <n v="114989.25799999999"/>
    <n v="0.1199386004161126"/>
  </r>
  <r>
    <s v="2017-01"/>
    <n v="136563.16699999999"/>
    <s v="0"/>
    <n v="737.34199999999998"/>
    <n v="39.741"/>
    <n v="128272.379"/>
    <n v="7513.7049999999999"/>
    <n v="135786.084"/>
    <n v="154406.38500000001"/>
    <n v="23751.225999999999"/>
    <n v="295004.728"/>
    <n v="11825.575999999999"/>
    <n v="73770.369000000006"/>
    <n v="72929.197"/>
    <n v="158525.14199999999"/>
    <n v="136479.58600000001"/>
    <n v="35756.438999999998"/>
    <n v="48.813000000000002"/>
    <x v="6"/>
    <n v="1"/>
    <n v="0.25006503963556814"/>
    <n v="0.2472136548265762"/>
    <n v="0.46263524969674386"/>
    <n v="0.12120632520845563"/>
    <n v="130655.15900000001"/>
    <n v="0.12120632520845563"/>
  </r>
  <r>
    <s v="2016-12"/>
    <n v="123331.662"/>
    <s v="0"/>
    <n v="767.58"/>
    <n v="42.704999999999998"/>
    <n v="116283.806"/>
    <n v="6237.5709999999999"/>
    <n v="122521.37699999999"/>
    <n v="153451.889"/>
    <n v="28251.897000000001"/>
    <n v="269266.93199999997"/>
    <n v="9699.7309999999998"/>
    <n v="73916.744000000006"/>
    <n v="63213.612999999998"/>
    <n v="146830.08799999999"/>
    <n v="122436.844"/>
    <n v="33663.178999999996"/>
    <n v="49.499000000000002"/>
    <x v="7"/>
    <n v="12"/>
    <n v="0.2745110342773171"/>
    <n v="0.23476188676595464"/>
    <n v="0.45470434520344299"/>
    <n v="0.12501787259937289"/>
    <n v="125199.992"/>
    <n v="0.12501787259937289"/>
  </r>
  <r>
    <s v="2016-11"/>
    <n v="106634.67600000001"/>
    <s v="0"/>
    <n v="737.34199999999998"/>
    <n v="39.03"/>
    <n v="99125.531000000003"/>
    <n v="6732.7719999999999"/>
    <n v="105858.303"/>
    <n v="143036.39199999999"/>
    <n v="25067.815999999999"/>
    <n v="234364.59099999999"/>
    <n v="9789.51"/>
    <n v="67231.914000000004"/>
    <n v="52129.211000000003"/>
    <n v="129150.63500000001"/>
    <n v="105213.95600000001"/>
    <n v="29799.629000000001"/>
    <n v="50.168999999999997"/>
    <x v="7"/>
    <n v="11"/>
    <n v="0.28686890674538806"/>
    <n v="0.22242784533948648"/>
    <n v="0.4489328168178785"/>
    <n v="0.12715073071767913"/>
    <n v="117968.576"/>
    <n v="0.12715073071767913"/>
  </r>
  <r>
    <s v="2016-10"/>
    <n v="98410.987999999998"/>
    <s v="0"/>
    <n v="782.69899999999996"/>
    <n v="44.601999999999997"/>
    <n v="92610.347999999998"/>
    <n v="4973.3379999999997"/>
    <n v="97583.686000000002"/>
    <n v="145717.99600000001"/>
    <n v="22149.828000000001"/>
    <n v="218520.89"/>
    <n v="9385.8729999999996"/>
    <n v="75246.205000000002"/>
    <n v="37075.004000000001"/>
    <n v="121707.08200000001"/>
    <n v="96813.808000000005"/>
    <n v="28126.491999999998"/>
    <n v="50.83"/>
    <x v="7"/>
    <n v="10"/>
    <n v="0.34434330283022369"/>
    <n v="0.16966343126279596"/>
    <n v="0.44304143187408762"/>
    <n v="0.12871305805133779"/>
    <n v="123568.16800000001"/>
    <n v="0.12871305805133779"/>
  </r>
  <r>
    <s v="2016-09"/>
    <n v="90570.097999999998"/>
    <s v="0"/>
    <n v="748.97199999999998"/>
    <n v="31.933"/>
    <n v="84673.304000000004"/>
    <n v="5115.8890000000001"/>
    <n v="89789.192999999999"/>
    <n v="137205.48000000001"/>
    <n v="23353.237000000001"/>
    <n v="191216.87400000001"/>
    <n v="8781.0849999999991"/>
    <n v="74567.930999999997"/>
    <n v="20813.592000000001"/>
    <n v="104162.60800000001"/>
    <n v="87054.266000000003"/>
    <n v="24084.5"/>
    <n v="51.305999999999997"/>
    <x v="7"/>
    <n v="9"/>
    <n v="0.38996522346662771"/>
    <n v="0.10884809255902803"/>
    <n v="0.45526455996765219"/>
    <n v="0.12595384233715692"/>
    <n v="113852.24300000002"/>
    <n v="0.12595384233715692"/>
  </r>
  <r>
    <s v="2016-08"/>
    <n v="93649.930999999997"/>
    <s v="0"/>
    <n v="796.65499999999997"/>
    <n v="34.42"/>
    <n v="86803.210999999996"/>
    <n v="6015.6459999999997"/>
    <n v="92818.856999999989"/>
    <n v="138702.05600000001"/>
    <n v="26338.055"/>
    <n v="186288.82699999999"/>
    <n v="6915.6719999999996"/>
    <n v="73970.964000000007"/>
    <n v="15988.538"/>
    <n v="96875.174000000014"/>
    <n v="89413.653999999995"/>
    <n v="22003.518"/>
    <n v="51.59"/>
    <x v="7"/>
    <n v="8"/>
    <n v="0.39707676080863408"/>
    <n v="8.5826607303721991E-2"/>
    <n v="0.47997325142854647"/>
    <n v="0.11811507085178008"/>
    <n v="112364.00100000002"/>
    <n v="0.11811507085178008"/>
  </r>
  <r>
    <s v="2016-07"/>
    <n v="98648.521999999997"/>
    <s v="0"/>
    <n v="809.34299999999996"/>
    <n v="31.907"/>
    <n v="90469.67"/>
    <n v="7337.6009999999997"/>
    <n v="97807.270999999993"/>
    <n v="147155.62"/>
    <n v="28596.582999999999"/>
    <n v="191968.549"/>
    <n v="6373.375"/>
    <n v="74996.252999999997"/>
    <n v="17082.962"/>
    <n v="98452.59"/>
    <n v="93515.959000000003"/>
    <n v="21936.501"/>
    <n v="51.960999999999999"/>
    <x v="7"/>
    <n v="7"/>
    <n v="0.39066947888427284"/>
    <n v="8.8988337355198746E-2"/>
    <n v="0.48714208388375119"/>
    <n v="0.11427132785173055"/>
    <n v="118559.037"/>
    <n v="0.11427132785173055"/>
  </r>
  <r>
    <s v="2016-06"/>
    <n v="101387.15"/>
    <s v="0"/>
    <n v="776.88400000000001"/>
    <n v="30.123000000000001"/>
    <n v="91412.76"/>
    <n v="9167.3829999999998"/>
    <n v="100580.143"/>
    <n v="119106.47500000001"/>
    <n v="22961.417000000001"/>
    <n v="188127.08499999999"/>
    <n v="6425.8609999999999"/>
    <n v="69643.58"/>
    <n v="18124.371999999999"/>
    <n v="94193.813000000009"/>
    <n v="93933.271999999997"/>
    <n v="20753.175999999999"/>
    <n v="52.174999999999997"/>
    <x v="7"/>
    <n v="6"/>
    <n v="0.37019432900903132"/>
    <n v="9.6341108990233917E-2"/>
    <n v="0.49930753990048804"/>
    <n v="0.11031466309064429"/>
    <n v="96145.058000000005"/>
    <n v="0.11031466309064429"/>
  </r>
  <r>
    <s v="2016-05"/>
    <n v="103805.444"/>
    <s v="0"/>
    <n v="811.774"/>
    <n v="29.785"/>
    <n v="94016.725000000006"/>
    <n v="8947.16"/>
    <n v="102963.88500000001"/>
    <n v="125878.59699999999"/>
    <n v="24158.561000000002"/>
    <n v="201870.09400000001"/>
    <n v="6587.6459999999997"/>
    <n v="74992.543000000005"/>
    <n v="22591.902999999998"/>
    <n v="104172.092"/>
    <n v="97698.001000000004"/>
    <n v="23572.771000000001"/>
    <n v="52.201000000000001"/>
    <x v="7"/>
    <n v="5"/>
    <n v="0.37148911715471833"/>
    <n v="0.11191307514821881"/>
    <n v="0.48396470752126364"/>
    <n v="0.11677198208467669"/>
    <n v="101720.03599999999"/>
    <n v="0.11677198208467669"/>
  </r>
  <r>
    <s v="2016-04"/>
    <n v="108370.09699999999"/>
    <s v="0"/>
    <n v="822.24099999999999"/>
    <n v="26.57"/>
    <n v="98619.127999999997"/>
    <n v="8902.1569999999992"/>
    <n v="107521.285"/>
    <n v="148528.217"/>
    <n v="26601.663"/>
    <n v="216149.26800000001"/>
    <n v="6586.6120000000001"/>
    <n v="71017.909"/>
    <n v="34744.517999999996"/>
    <n v="112349.03899999999"/>
    <n v="103800.23"/>
    <n v="25136.51"/>
    <n v="52.478000000000002"/>
    <x v="7"/>
    <n v="4"/>
    <n v="0.32855956282951648"/>
    <n v="0.16074316754105314"/>
    <n v="0.4802247583831743"/>
    <n v="0.11629236699520074"/>
    <n v="121926.554"/>
    <n v="0.11629236699520074"/>
  </r>
  <r>
    <s v="2016-03"/>
    <n v="128376.317"/>
    <s v="0"/>
    <n v="830.38199999999995"/>
    <n v="28.648"/>
    <n v="117876.299"/>
    <n v="9640.9879999999994"/>
    <n v="127517.287"/>
    <n v="142178.48800000001"/>
    <n v="28852.67"/>
    <n v="257907.40100000001"/>
    <n v="8354.7070000000003"/>
    <n v="75262.358999999997"/>
    <n v="51018.624000000003"/>
    <n v="134635.69"/>
    <n v="123271.711"/>
    <n v="30121.217000000001"/>
    <n v="52.512"/>
    <x v="7"/>
    <n v="3"/>
    <n v="0.29181930688371366"/>
    <n v="0.19781760353592956"/>
    <n v="0.47796887767482094"/>
    <n v="0.11679082059378358"/>
    <n v="113325.81800000001"/>
    <n v="0.11679082059378358"/>
  </r>
  <r>
    <s v="2016-02"/>
    <n v="129283.136"/>
    <s v="0"/>
    <n v="793.28200000000004"/>
    <n v="31.777999999999999"/>
    <n v="118312.262"/>
    <n v="10145.814"/>
    <n v="128458.076"/>
    <n v="135931.04699999999"/>
    <n v="27355.994999999999"/>
    <n v="251501.755"/>
    <n v="8136.5469999999996"/>
    <n v="69066.778999999995"/>
    <n v="50792.23"/>
    <n v="127995.55600000001"/>
    <n v="123506.2"/>
    <n v="28644.22"/>
    <n v="52.584000000000003"/>
    <x v="7"/>
    <n v="2"/>
    <n v="0.27461748328555396"/>
    <n v="0.20195576766452386"/>
    <n v="0.49107490323477065"/>
    <n v="0.11389272412830678"/>
    <n v="108575.052"/>
    <n v="0.11389272412830678"/>
  </r>
  <r>
    <s v="2016-01"/>
    <n v="141404.03599999999"/>
    <s v="0"/>
    <n v="814.69299999999998"/>
    <n v="29.326000000000001"/>
    <n v="131863.546"/>
    <n v="8696.4709999999995"/>
    <n v="140560.01699999999"/>
    <n v="137982.50200000001"/>
    <n v="28068.632000000001"/>
    <n v="267359.70799999998"/>
    <n v="8947.6239999999998"/>
    <n v="66611.452999999994"/>
    <n v="56345.89"/>
    <n v="131904.967"/>
    <n v="135454.74100000001"/>
    <n v="29345.185000000001"/>
    <n v="52.357999999999997"/>
    <x v="7"/>
    <n v="1"/>
    <n v="0.24914544341139092"/>
    <n v="0.2107493699087972"/>
    <n v="0.50663857322884276"/>
    <n v="0.10975919004220337"/>
    <n v="109913.87000000001"/>
    <n v="0.10975919004220337"/>
  </r>
  <r>
    <s v="2015-12"/>
    <n v="135244.66200000001"/>
    <s v="0"/>
    <n v="818.75199999999995"/>
    <n v="24.67"/>
    <n v="127974.03200000001"/>
    <n v="6427.2079999999996"/>
    <n v="134401.24000000002"/>
    <n v="153179.133"/>
    <n v="36003.351999999999"/>
    <n v="257269.92499999999"/>
    <n v="8387.2330000000002"/>
    <n v="74648.096999999994"/>
    <n v="46192.43"/>
    <n v="129227.75999999998"/>
    <n v="128042.166"/>
    <n v="29872.909"/>
    <n v="52.301000000000002"/>
    <x v="8"/>
    <n v="12"/>
    <n v="0.29015477421233749"/>
    <n v="0.17954850338608372"/>
    <n v="0.4976958188952712"/>
    <n v="0.11611504531670386"/>
    <n v="117175.781"/>
    <n v="0.11611504531670386"/>
  </r>
  <r>
    <s v="2015-11"/>
    <n v="120649.196"/>
    <s v="0"/>
    <n v="821.07799999999997"/>
    <n v="22.815000000000001"/>
    <n v="113490.519"/>
    <n v="6314.7839999999997"/>
    <n v="119805.303"/>
    <n v="128361.19100000001"/>
    <n v="32616.866000000002"/>
    <n v="227348.003"/>
    <n v="8439.2790000000005"/>
    <n v="63131.745000000003"/>
    <n v="41932.408000000003"/>
    <n v="113503.432"/>
    <n v="113844.57"/>
    <n v="26238.851999999999"/>
    <n v="52.146999999999998"/>
    <x v="8"/>
    <n v="11"/>
    <n v="0.27768770416690225"/>
    <n v="0.18444150573867149"/>
    <n v="0.50075025290633413"/>
    <n v="0.11541272258283262"/>
    <n v="95744.325000000012"/>
    <n v="0.11541272258283262"/>
  </r>
  <r>
    <s v="2015-10"/>
    <n v="116080.973"/>
    <s v="0"/>
    <n v="824.56700000000001"/>
    <n v="24.405000000000001"/>
    <n v="109641.58500000001"/>
    <n v="5590.4160000000002"/>
    <n v="115232.001"/>
    <n v="151252.39600000001"/>
    <n v="29452.723999999998"/>
    <n v="228290.753"/>
    <n v="8968.4120000000003"/>
    <n v="73690.122000000003"/>
    <n v="35304.720999999998"/>
    <n v="117963.255"/>
    <n v="110327.49800000001"/>
    <n v="27383.455999999998"/>
    <n v="52.192999999999998"/>
    <x v="8"/>
    <n v="10"/>
    <n v="0.32279065635216508"/>
    <n v="0.15464805532443093"/>
    <n v="0.48327624553413256"/>
    <n v="0.11994991317059608"/>
    <n v="121799.67200000001"/>
    <n v="0.11994991317059608"/>
  </r>
  <r>
    <s v="2015-09"/>
    <n v="104164.352"/>
    <s v="0"/>
    <n v="781.53599999999994"/>
    <n v="26.318999999999999"/>
    <n v="97679.616999999998"/>
    <n v="5676.8789999999999"/>
    <n v="103356.496"/>
    <n v="144144.12400000001"/>
    <n v="27773.13"/>
    <n v="202927.984"/>
    <n v="7733.5169999999998"/>
    <n v="77593.534"/>
    <n v="19416.456999999999"/>
    <n v="104743.508"/>
    <n v="98184.475999999995"/>
    <n v="24347.728999999999"/>
    <n v="52.231999999999999"/>
    <x v="8"/>
    <n v="9"/>
    <n v="0.38236980662065811"/>
    <n v="9.5681515270954448E-2"/>
    <n v="0.48383901551990977"/>
    <n v="0.11998211641426448"/>
    <n v="116370.99400000001"/>
    <n v="0.11998211641426448"/>
  </r>
  <r>
    <s v="2015-08"/>
    <n v="108449.238"/>
    <s v="0"/>
    <n v="817.58900000000006"/>
    <n v="21.71"/>
    <n v="102283.505"/>
    <n v="5326.4340000000002"/>
    <n v="107609.939"/>
    <n v="130196.997"/>
    <n v="25377.817999999999"/>
    <n v="195626.74400000001"/>
    <n v="6814.5150000000003"/>
    <n v="74819.64"/>
    <n v="13255.778"/>
    <n v="94889.933000000005"/>
    <n v="100736.81200000001"/>
    <n v="21795.48"/>
    <n v="52.387"/>
    <x v="8"/>
    <n v="8"/>
    <n v="0.38246120377078913"/>
    <n v="6.7760561408720277E-2"/>
    <n v="0.51494396901069928"/>
    <n v="0.11141360099516863"/>
    <n v="104819.179"/>
    <n v="0.11141360099516863"/>
  </r>
  <r>
    <s v="2015-07"/>
    <n v="113263.023"/>
    <s v="0"/>
    <n v="857.13099999999997"/>
    <n v="25.981000000000002"/>
    <n v="106076.09600000001"/>
    <n v="6303.8140000000003"/>
    <n v="112379.91"/>
    <n v="142750.22500000001"/>
    <n v="26377.659"/>
    <n v="208961.17300000001"/>
    <n v="7455.6490000000003"/>
    <n v="79910.614000000001"/>
    <n v="15525.976000000001"/>
    <n v="102892.239"/>
    <n v="106068.93399999999"/>
    <n v="23465.138999999999"/>
    <n v="52.466999999999999"/>
    <x v="8"/>
    <n v="7"/>
    <n v="0.38241847924542421"/>
    <n v="7.4300769741563424E-2"/>
    <n v="0.50760116091040508"/>
    <n v="0.11229425382293388"/>
    <n v="116372.56600000001"/>
    <n v="0.11229425382293388"/>
  </r>
  <r>
    <s v="2015-06"/>
    <n v="106535.601"/>
    <s v="0"/>
    <n v="829.21900000000005"/>
    <n v="23.646000000000001"/>
    <n v="97938.391000000003"/>
    <n v="7744.3450000000003"/>
    <n v="105682.736"/>
    <n v="124822.86599999999"/>
    <n v="24653.439999999999"/>
    <n v="196644.72899999999"/>
    <n v="6485.0320000000002"/>
    <n v="74347.112999999998"/>
    <n v="16191.949000000001"/>
    <n v="97024.094000000012"/>
    <n v="99620.634999999995"/>
    <n v="21771.620999999999"/>
    <n v="52.576000000000001"/>
    <x v="8"/>
    <n v="6"/>
    <n v="0.37807834147438552"/>
    <n v="8.234112901139598E-2"/>
    <n v="0.50660211187252313"/>
    <n v="0.11071550766051808"/>
    <n v="100169.42599999999"/>
    <n v="0.11071550766051808"/>
  </r>
  <r>
    <s v="2015-05"/>
    <n v="106642.129"/>
    <s v="0"/>
    <n v="862.94600000000003"/>
    <n v="24.690999999999999"/>
    <n v="96932.331000000006"/>
    <n v="8822.1610000000001"/>
    <n v="105754.492"/>
    <n v="140533.37100000001"/>
    <n v="25005.715"/>
    <n v="192973.89799999999"/>
    <n v="6975.116"/>
    <n v="65450.256000000001"/>
    <n v="20770.28"/>
    <n v="93195.652000000002"/>
    <n v="99778.245999999999"/>
    <n v="20920.289000000001"/>
    <n v="52.604999999999997"/>
    <x v="8"/>
    <n v="5"/>
    <n v="0.33916636746385259"/>
    <n v="0.10763258769846687"/>
    <n v="0.51705565899902173"/>
    <n v="0.10840994153520184"/>
    <n v="115527.65600000002"/>
    <n v="0.10840994153520184"/>
  </r>
  <r>
    <s v="2015-04"/>
    <n v="108112.693"/>
    <s v="0"/>
    <n v="802.47"/>
    <n v="30.841999999999999"/>
    <n v="99393.986000000004"/>
    <n v="7885.3950000000004"/>
    <n v="107279.38100000001"/>
    <n v="136499.682"/>
    <n v="25787.719000000001"/>
    <n v="213898.29"/>
    <n v="7866.7839999999997"/>
    <n v="73427.260999999999"/>
    <n v="29444.826000000001"/>
    <n v="110738.871"/>
    <n v="103159.41899999999"/>
    <n v="25250.771000000001"/>
    <n v="52.558"/>
    <x v="8"/>
    <n v="4"/>
    <n v="0.34328119687165332"/>
    <n v="0.1376580710392776"/>
    <n v="0.48228257925764617"/>
    <n v="0.11805036403049318"/>
    <n v="110711.963"/>
    <n v="0.11805036403049318"/>
  </r>
  <r>
    <s v="2015-03"/>
    <n v="126905.83500000001"/>
    <s v="0"/>
    <n v="814.1"/>
    <n v="32.895000000000003"/>
    <n v="117108.442"/>
    <n v="8950.3979999999992"/>
    <n v="126058.84"/>
    <n v="154622.59400000001"/>
    <n v="30577.762999999999"/>
    <n v="251450.212"/>
    <n v="9770.7880000000005"/>
    <n v="72514.19"/>
    <n v="47458.366999999998"/>
    <n v="129743.345"/>
    <n v="121706.867"/>
    <n v="29333.128000000001"/>
    <n v="52.65"/>
    <x v="8"/>
    <n v="3"/>
    <n v="0.28838388889487199"/>
    <n v="0.18873862393084798"/>
    <n v="0.48401974304161655"/>
    <n v="0.11665580938146117"/>
    <n v="124044.83100000001"/>
    <n v="0.11665580938146117"/>
  </r>
  <r>
    <s v="2015-02"/>
    <n v="127939.853"/>
    <s v="0"/>
    <n v="709.43"/>
    <n v="20.385999999999999"/>
    <n v="118645.628"/>
    <n v="8564.4089999999997"/>
    <n v="127210.037"/>
    <n v="123463.03999999999"/>
    <n v="26215.505000000001"/>
    <n v="260541.93299999999"/>
    <n v="10805.322"/>
    <n v="68558.233999999997"/>
    <n v="57029.802000000003"/>
    <n v="136393.35800000001"/>
    <n v="124148.576"/>
    <n v="30986.835999999999"/>
    <n v="52.753"/>
    <x v="8"/>
    <n v="2"/>
    <n v="0.26313704366352419"/>
    <n v="0.21888914902615697"/>
    <n v="0.47650132387710503"/>
    <n v="0.11893224112987601"/>
    <n v="97247.534999999989"/>
    <n v="0.11893224112987601"/>
  </r>
  <r>
    <s v="2015-01"/>
    <n v="148028.27799999999"/>
    <s v="0"/>
    <n v="755.95"/>
    <n v="16.79"/>
    <n v="138614.247"/>
    <n v="8641.2909999999993"/>
    <n v="147255.538"/>
    <n v="143394.91800000001"/>
    <n v="31791.81"/>
    <n v="282972.32900000003"/>
    <n v="10840.01"/>
    <n v="70124.388000000006"/>
    <n v="59936.296000000002"/>
    <n v="140900.69400000002"/>
    <n v="142071.63500000001"/>
    <n v="31951.244999999999"/>
    <n v="53.073"/>
    <x v="8"/>
    <n v="1"/>
    <n v="0.24781358745504758"/>
    <n v="0.21180974200484456"/>
    <n v="0.50206900265502641"/>
    <n v="0.1129129661296317"/>
    <n v="111603.10800000001"/>
    <n v="0.1129129661296317"/>
  </r>
  <r>
    <s v="2014-12"/>
    <n v="140625.845"/>
    <s v="0"/>
    <n v="755.95"/>
    <n v="15.615"/>
    <n v="131968.568"/>
    <n v="7885.7120000000004"/>
    <n v="139854.28"/>
    <n v="143204.27499999999"/>
    <n v="31492.07"/>
    <n v="275627.58"/>
    <n v="9462.1990000000005"/>
    <n v="75551.293999999994"/>
    <n v="55532.235999999997"/>
    <n v="140545.72899999999"/>
    <n v="135081.851"/>
    <n v="32596.192999999999"/>
    <n v="53.246000000000002"/>
    <x v="9"/>
    <n v="12"/>
    <n v="0.27410643738917562"/>
    <n v="0.20147561430536085"/>
    <n v="0.49008829595354714"/>
    <n v="0.11826172475192794"/>
    <n v="111712.20499999999"/>
    <n v="0.11826172475192794"/>
  </r>
  <r>
    <s v="2014-11"/>
    <n v="122772.621"/>
    <n v="80.072999999999993"/>
    <n v="755.95"/>
    <n v="9.6649999999999991"/>
    <n v="115390.43700000001"/>
    <n v="6536.4970000000003"/>
    <n v="121926.93400000001"/>
    <n v="132491.533"/>
    <n v="30361.295999999998"/>
    <n v="228981.402"/>
    <n v="8932.2780000000002"/>
    <n v="64155.894999999997"/>
    <n v="39777.811999999998"/>
    <n v="112865.98499999999"/>
    <n v="116115.417"/>
    <n v="26303.717000000001"/>
    <n v="53.186999999999998"/>
    <x v="9"/>
    <n v="11"/>
    <n v="0.28017950121556157"/>
    <n v="0.17371634400247055"/>
    <n v="0.50709540594043534"/>
    <n v="0.11487272228335819"/>
    <n v="102130.23699999999"/>
    <n v="0.11487272228335819"/>
  </r>
  <r>
    <s v="2014-10"/>
    <n v="110819.185"/>
    <n v="155.435"/>
    <n v="755.95"/>
    <n v="21.518000000000001"/>
    <n v="104464.23"/>
    <n v="5422.0519999999997"/>
    <n v="109886.28199999999"/>
    <n v="135095.223"/>
    <n v="29014.146000000001"/>
    <n v="216205.5"/>
    <n v="9208.5529999999999"/>
    <n v="75658.778999999995"/>
    <n v="25759.611000000001"/>
    <n v="110626.943"/>
    <n v="105578.557"/>
    <n v="26081.737000000001"/>
    <n v="52.713999999999999"/>
    <x v="9"/>
    <n v="10"/>
    <n v="0.34993919673643825"/>
    <n v="0.11914410595475139"/>
    <n v="0.48832502873423667"/>
    <n v="0.12063401254824693"/>
    <n v="106081.07699999999"/>
    <n v="0.12063401254824693"/>
  </r>
  <r>
    <s v="2014-09"/>
    <n v="107488.21"/>
    <n v="122.464"/>
    <n v="755.95"/>
    <n v="9.9359999999999999"/>
    <n v="101569.77099999999"/>
    <n v="5030.0889999999999"/>
    <n v="106599.85999999999"/>
    <n v="134748.342"/>
    <n v="31038.992999999999"/>
    <n v="201161.44699999999"/>
    <n v="8006.4030000000002"/>
    <n v="74306.535999999993"/>
    <n v="17586.829000000002"/>
    <n v="99899.767999999996"/>
    <n v="101261.679"/>
    <n v="23318.945"/>
    <n v="52.481000000000002"/>
    <x v="9"/>
    <n v="9"/>
    <n v="0.36938755963512232"/>
    <n v="8.7426439122800723E-2"/>
    <n v="0.50338511931662533"/>
    <n v="0.11592154136771546"/>
    <n v="103709.349"/>
    <n v="0.11592154136771546"/>
  </r>
  <r>
    <s v="2014-08"/>
    <n v="106867.825"/>
    <n v="103.623"/>
    <n v="755.95"/>
    <n v="23.372"/>
    <n v="99057.198000000004"/>
    <n v="6927.6819999999998"/>
    <n v="105984.88"/>
    <n v="136365.47700000001"/>
    <n v="28355.067999999999"/>
    <n v="188488.821"/>
    <n v="6473.1750000000002"/>
    <n v="69717.430999999997"/>
    <n v="14111.088"/>
    <n v="90301.694000000003"/>
    <n v="98187.126999999993"/>
    <n v="20527.331999999999"/>
    <n v="52.320999999999998"/>
    <x v="9"/>
    <n v="8"/>
    <n v="0.36987568085005951"/>
    <n v="7.486432312078603E-2"/>
    <n v="0.5209175084181783"/>
    <n v="0.10890477159916025"/>
    <n v="108010.40900000001"/>
    <n v="0.10890477159916025"/>
  </r>
  <r>
    <s v="2014-07"/>
    <n v="115274.367"/>
    <n v="103.623"/>
    <n v="721.06"/>
    <n v="5.31"/>
    <n v="106619.163"/>
    <n v="7825.21"/>
    <n v="114444.37300000001"/>
    <n v="142409.78899999999"/>
    <n v="28360.715"/>
    <n v="207141.87400000001"/>
    <n v="7136.6450000000004"/>
    <n v="78204.376999999993"/>
    <n v="15523.199000000001"/>
    <n v="100864.22099999999"/>
    <n v="106277.65300000001"/>
    <n v="22638.643"/>
    <n v="52.118000000000002"/>
    <x v="9"/>
    <n v="7"/>
    <n v="0.37754016360786613"/>
    <n v="7.4939937059756448E-2"/>
    <n v="0.51306696684611441"/>
    <n v="0.10929051940507209"/>
    <n v="114049.07399999999"/>
    <n v="0.10929051940507209"/>
  </r>
  <r>
    <s v="2014-06"/>
    <n v="106443.38400000001"/>
    <n v="122.464"/>
    <n v="721.06"/>
    <n v="10.028"/>
    <n v="98890.501000000004"/>
    <n v="6699.3310000000001"/>
    <n v="105589.83200000001"/>
    <n v="125264.36500000001"/>
    <n v="24220.91"/>
    <n v="194953.448"/>
    <n v="6868.799"/>
    <n v="72485.823999999993"/>
    <n v="16161.47"/>
    <n v="95516.092999999993"/>
    <n v="99437.354999999996"/>
    <n v="21551.275000000001"/>
    <n v="51.878"/>
    <x v="9"/>
    <n v="6"/>
    <n v="0.37181093611640043"/>
    <n v="8.2899123692339108E-2"/>
    <n v="0.5100569188188967"/>
    <n v="0.11054574936268889"/>
    <n v="101043.455"/>
    <n v="0.11054574936268889"/>
  </r>
  <r>
    <s v="2014-05"/>
    <n v="108481.515"/>
    <n v="103.623"/>
    <n v="767.58"/>
    <n v="22.369"/>
    <n v="99269.357000000004"/>
    <n v="8318.5849999999991"/>
    <n v="107587.94200000001"/>
    <n v="135004.19200000001"/>
    <n v="22733.614000000001"/>
    <n v="198943.91800000001"/>
    <n v="7012.6229999999996"/>
    <n v="68661.02"/>
    <n v="22125.073"/>
    <n v="97798.716000000015"/>
    <n v="101145.20299999999"/>
    <n v="22074.537"/>
    <n v="51.8"/>
    <x v="9"/>
    <n v="5"/>
    <n v="0.34512751478032117"/>
    <n v="0.11121261319484016"/>
    <n v="0.50841063158311772"/>
    <n v="0.11095859185803307"/>
    <n v="112270.57800000001"/>
    <n v="0.11095859185803307"/>
  </r>
  <r>
    <s v="2014-04"/>
    <n v="107665.414"/>
    <n v="136.59399999999999"/>
    <n v="732.69"/>
    <n v="16.896999999999998"/>
    <n v="99323.913"/>
    <n v="7455.32"/>
    <n v="106779.23300000001"/>
    <n v="139191.74600000001"/>
    <n v="22455.832999999999"/>
    <n v="208273.016"/>
    <n v="8255.9470000000001"/>
    <n v="71018.467000000004"/>
    <n v="26240.123"/>
    <n v="105514.53700000001"/>
    <n v="102758.47900000001"/>
    <n v="24171.286"/>
    <n v="51.606999999999999"/>
    <x v="9"/>
    <n v="4"/>
    <n v="0.34098736535317664"/>
    <n v="0.12598906715788857"/>
    <n v="0.49338354518282868"/>
    <n v="0.11605577363896243"/>
    <n v="116735.91300000002"/>
    <n v="0.11605577363896243"/>
  </r>
  <r>
    <s v="2014-03"/>
    <n v="123416.80499999999"/>
    <n v="174.27600000000001"/>
    <n v="755.95"/>
    <n v="14.753"/>
    <n v="113702.254"/>
    <n v="8769.5720000000001"/>
    <n v="122471.826"/>
    <n v="136840.78700000001"/>
    <n v="26248.958999999999"/>
    <n v="239532.91500000001"/>
    <n v="9084.9"/>
    <n v="71281.898000000001"/>
    <n v="41260.082000000002"/>
    <n v="121626.88"/>
    <n v="117906.035"/>
    <n v="27688.644"/>
    <n v="51.366"/>
    <x v="9"/>
    <n v="3"/>
    <n v="0.29758706856633876"/>
    <n v="0.17225224349647314"/>
    <n v="0.49223312378593148"/>
    <n v="0.1155943182171853"/>
    <n v="110591.82800000001"/>
    <n v="0.1155943182171853"/>
  </r>
  <r>
    <s v="2014-02"/>
    <n v="126026.12699999999"/>
    <n v="174.27600000000001"/>
    <n v="662.91"/>
    <n v="14.038"/>
    <n v="115457.11500000001"/>
    <n v="9717.7880000000005"/>
    <n v="125174.90300000001"/>
    <n v="119276.004"/>
    <n v="24504.715"/>
    <n v="240638.73800000001"/>
    <n v="7629.4620000000004"/>
    <n v="65506.673000000003"/>
    <n v="46647.538"/>
    <n v="119783.67300000001"/>
    <n v="120855.06600000001"/>
    <n v="26961.569"/>
    <n v="50.936"/>
    <x v="9"/>
    <n v="2"/>
    <n v="0.2722199823039298"/>
    <n v="0.19384883077304035"/>
    <n v="0.50222614614942007"/>
    <n v="0.11204168216673409"/>
    <n v="94771.289000000004"/>
    <n v="0.11204168216673409"/>
  </r>
  <r>
    <s v="2014-01"/>
    <n v="145593.95000000001"/>
    <n v="136.59399999999999"/>
    <n v="744.32"/>
    <n v="9.6989999999999998"/>
    <n v="135384.93900000001"/>
    <n v="9318.3979999999992"/>
    <n v="144703.337"/>
    <n v="153932.16500000001"/>
    <n v="28161.323"/>
    <n v="269666.71899999998"/>
    <n v="9106.1010000000006"/>
    <n v="69147.827999999994"/>
    <n v="52592.432000000001"/>
    <n v="130846.36099999999"/>
    <n v="138820.359"/>
    <n v="29659.39"/>
    <n v="50.466999999999999"/>
    <x v="9"/>
    <n v="1"/>
    <n v="0.25641958435367768"/>
    <n v="0.19502752210219906"/>
    <n v="0.51478491493049239"/>
    <n v="0.10998535566415224"/>
    <n v="125770.842"/>
    <n v="0.10998535566415224"/>
  </r>
  <r>
    <s v="2013-12"/>
    <n v="136847.64799999999"/>
    <n v="80.072999999999993"/>
    <n v="767.58"/>
    <n v="7.1609999999999996"/>
    <n v="128204.861"/>
    <n v="7787.973"/>
    <n v="135992.834"/>
    <n v="149239.16200000001"/>
    <n v="24624.437999999998"/>
    <n v="271486.81400000001"/>
    <n v="9971.23"/>
    <n v="71245.38"/>
    <n v="57072.642999999996"/>
    <n v="138289.253"/>
    <n v="133197.56099999999"/>
    <n v="32071.77"/>
    <n v="50.067"/>
    <x v="10"/>
    <n v="12"/>
    <n v="0.2624266679854293"/>
    <n v="0.21022252299885177"/>
    <n v="0.49062257955555799"/>
    <n v="0.11813380372867759"/>
    <n v="124614.72400000002"/>
    <n v="0.11813380372867759"/>
  </r>
  <r>
    <s v="2013-11"/>
    <n v="119204.2"/>
    <n v="122.464"/>
    <n v="732.69"/>
    <n v="7.8570000000000002"/>
    <n v="110128.88499999999"/>
    <n v="8212.3050000000003"/>
    <n v="118341.19"/>
    <n v="146518.804"/>
    <n v="22595.224999999999"/>
    <n v="246129.698"/>
    <n v="11710.476000000001"/>
    <n v="68342.532000000007"/>
    <n v="50326.766000000003"/>
    <n v="130379.774"/>
    <n v="115749.923"/>
    <n v="30515.75"/>
    <n v="50.128"/>
    <x v="10"/>
    <n v="11"/>
    <n v="0.27766877607756218"/>
    <n v="0.20447254601515011"/>
    <n v="0.47028019755665568"/>
    <n v="0.12398239728064023"/>
    <n v="123923.579"/>
    <n v="0.12398239728064023"/>
  </r>
  <r>
    <s v="2013-10"/>
    <n v="106865.694"/>
    <n v="141.30500000000001"/>
    <n v="789.67700000000002"/>
    <n v="96.555000000000007"/>
    <n v="99163.126000000004"/>
    <n v="6675.0309999999999"/>
    <n v="105838.15700000001"/>
    <n v="145487.973"/>
    <n v="22337.112000000001"/>
    <n v="220597.046"/>
    <n v="11331.168"/>
    <n v="79831.808999999994"/>
    <n v="27699.02"/>
    <n v="118861.997"/>
    <n v="101735.049"/>
    <n v="28289.458999999999"/>
    <n v="50.247"/>
    <x v="10"/>
    <n v="10"/>
    <n v="0.36188974624800729"/>
    <n v="0.12556387541109684"/>
    <n v="0.46118046839122223"/>
    <n v="0.12824042530469787"/>
    <n v="123150.861"/>
    <n v="0.12824042530469787"/>
  </r>
  <r>
    <s v="2013-09"/>
    <n v="101475.359"/>
    <n v="160.14500000000001"/>
    <n v="803.07500000000005"/>
    <n v="260.375"/>
    <n v="94817.042000000001"/>
    <n v="5434.7219999999998"/>
    <n v="100251.764"/>
    <n v="130294.52800000001"/>
    <n v="22372.784"/>
    <n v="197873.15900000001"/>
    <n v="10934.513000000001"/>
    <n v="73155.025999999998"/>
    <n v="18436.759999999998"/>
    <n v="102526.299"/>
    <n v="95346.861000000004"/>
    <n v="24284.292000000001"/>
    <n v="50.277999999999999"/>
    <x v="10"/>
    <n v="9"/>
    <n v="0.36970666648122796"/>
    <n v="9.3174638203456367E-2"/>
    <n v="0.48185848693101424"/>
    <n v="0.12272655939151403"/>
    <n v="107921.74400000001"/>
    <n v="0.12272655939151403"/>
  </r>
  <r>
    <s v="2013-08"/>
    <n v="102357.348"/>
    <n v="9.891"/>
    <n v="878.92600000000004"/>
    <n v="297.00400000000002"/>
    <n v="95377.111999999994"/>
    <n v="5794.415"/>
    <n v="101171.52699999999"/>
    <n v="133787.03099999999"/>
    <n v="24431.348000000002"/>
    <n v="190297.90700000001"/>
    <n v="9425.9570000000003"/>
    <n v="72283.566999999995"/>
    <n v="13673.541999999999"/>
    <n v="95383.065999999992"/>
    <n v="94914.841"/>
    <n v="22093.149000000001"/>
    <n v="50.308999999999997"/>
    <x v="10"/>
    <n v="8"/>
    <n v="0.37984425651092418"/>
    <n v="7.1853349390752885E-2"/>
    <n v="0.49876975788283368"/>
    <n v="0.11609769833149032"/>
    <n v="109355.68299999999"/>
    <n v="0.11609769833149032"/>
  </r>
  <r>
    <s v="2013-07"/>
    <n v="107251.36199999999"/>
    <n v="98.912999999999997"/>
    <n v="843.17499999999995"/>
    <n v="348.37599999999998"/>
    <n v="98138.305999999997"/>
    <n v="7822.5919999999996"/>
    <n v="105960.898"/>
    <n v="150371.63200000001"/>
    <n v="24449.777999999998"/>
    <n v="204102.37899999999"/>
    <n v="8260.4699999999993"/>
    <n v="80283.053"/>
    <n v="15186.954"/>
    <n v="103730.477"/>
    <n v="100371.902"/>
    <n v="23578.039000000001"/>
    <n v="50.176000000000002"/>
    <x v="10"/>
    <n v="7"/>
    <n v="0.39334697318741202"/>
    <n v="7.4408510446612675E-2"/>
    <n v="0.49177232765131074"/>
    <n v="0.11552064760597426"/>
    <n v="125921.85400000002"/>
    <n v="0.11552064760597426"/>
  </r>
  <r>
    <s v="2013-06"/>
    <n v="101752.34"/>
    <n v="150.72499999999999"/>
    <n v="780.37300000000005"/>
    <n v="378.40100000000001"/>
    <n v="91415.824999999997"/>
    <n v="9027.0159999999996"/>
    <n v="100442.841"/>
    <n v="132361.37100000001"/>
    <n v="23423.832999999999"/>
    <n v="189921.34099999999"/>
    <n v="6820.049"/>
    <n v="70853.448999999993"/>
    <n v="17555.578000000001"/>
    <n v="95229.076000000001"/>
    <n v="94692.266000000003"/>
    <n v="21430.760999999999"/>
    <n v="49.985999999999997"/>
    <x v="10"/>
    <n v="6"/>
    <n v="0.37306733738785047"/>
    <n v="9.2436046984314429E-2"/>
    <n v="0.49858675966278065"/>
    <n v="0.11284019419386893"/>
    <n v="108937.53800000002"/>
    <n v="0.11284019419386893"/>
  </r>
  <r>
    <s v="2013-05"/>
    <n v="110781.257"/>
    <n v="141.30500000000001"/>
    <n v="789.67700000000002"/>
    <n v="399.89800000000002"/>
    <n v="99269.63"/>
    <n v="10180.748"/>
    <n v="109450.378"/>
    <n v="159652.272"/>
    <n v="26412.346000000001"/>
    <n v="213417.38399999999"/>
    <n v="7664.0079999999998"/>
    <n v="74709.956999999995"/>
    <n v="27441.113000000001"/>
    <n v="109815.07799999999"/>
    <n v="103602.30499999999"/>
    <n v="24945.679"/>
    <n v="49.725999999999999"/>
    <x v="10"/>
    <n v="5"/>
    <n v="0.35006500220244474"/>
    <n v="0.12857955844871569"/>
    <n v="0.48544454560458861"/>
    <n v="0.11688681836714858"/>
    <n v="133239.92600000001"/>
    <n v="0.11688681836714858"/>
  </r>
  <r>
    <s v="2013-04"/>
    <n v="110585.302"/>
    <n v="150.72499999999999"/>
    <n v="764.09100000000001"/>
    <n v="387.173"/>
    <n v="100186.098"/>
    <n v="9097.2150000000001"/>
    <n v="109283.31299999999"/>
    <n v="151625.82"/>
    <n v="24917.39"/>
    <n v="226626.397"/>
    <n v="9972.027"/>
    <n v="74462.237999999998"/>
    <n v="36200.991999999998"/>
    <n v="120635.257"/>
    <n v="105991.14"/>
    <n v="27771.616000000002"/>
    <n v="49.701999999999998"/>
    <x v="10"/>
    <n v="4"/>
    <n v="0.32856824706082233"/>
    <n v="0.15973863803694499"/>
    <n v="0.46769106071963895"/>
    <n v="0.12254360642727777"/>
    <n v="126708.43000000001"/>
    <n v="0.12254360642727777"/>
  </r>
  <r>
    <s v="2013-03"/>
    <n v="126132.56"/>
    <n v="155.435"/>
    <n v="787.351"/>
    <n v="377.42399999999998"/>
    <n v="116706.88499999999"/>
    <n v="8105.4650000000001"/>
    <n v="124812.34999999999"/>
    <n v="146155.18900000001"/>
    <n v="20028.451000000001"/>
    <n v="267716.43300000002"/>
    <n v="13782.897000000001"/>
    <n v="74345.937999999995"/>
    <n v="56580.112999999998"/>
    <n v="144708.94799999997"/>
    <n v="123007.485"/>
    <n v="33103.203999999998"/>
    <n v="49.817"/>
    <x v="10"/>
    <n v="3"/>
    <n v="0.2777040511368235"/>
    <n v="0.21134344412843717"/>
    <n v="0.45946931094812543"/>
    <n v="0.12365025048723848"/>
    <n v="126126.73800000001"/>
    <n v="0.12365025048723848"/>
  </r>
  <r>
    <s v="2013-02"/>
    <n v="126081.03"/>
    <n v="117.754"/>
    <n v="725.71199999999999"/>
    <n v="364.95"/>
    <n v="116396.587"/>
    <n v="8476.027"/>
    <n v="124872.614"/>
    <n v="139968.75700000001"/>
    <n v="25916.069"/>
    <n v="266185.33199999999"/>
    <n v="12943.653"/>
    <n v="69018.235000000001"/>
    <n v="61543.925000000003"/>
    <n v="143505.81300000002"/>
    <n v="122679.52"/>
    <n v="32853.836000000003"/>
    <n v="50.162999999999997"/>
    <x v="10"/>
    <n v="2"/>
    <n v="0.25928639448848367"/>
    <n v="0.23120704862881025"/>
    <n v="0.46088009086841797"/>
    <n v="0.12342466714131342"/>
    <n v="114052.68800000001"/>
    <n v="0.12342466714131342"/>
  </r>
  <r>
    <s v="2013-01"/>
    <n v="143981.753"/>
    <n v="146.01499999999999"/>
    <n v="800.14400000000001"/>
    <n v="423.26400000000001"/>
    <n v="134319.11199999999"/>
    <n v="8293.2189999999991"/>
    <n v="142612.33100000001"/>
    <n v="145932.27900000001"/>
    <n v="24857.848000000002"/>
    <n v="288543.33100000001"/>
    <n v="13109.371999999999"/>
    <n v="72081.577000000005"/>
    <n v="64306.572999999997"/>
    <n v="149497.522"/>
    <n v="139045.80900000001"/>
    <n v="34097.023000000001"/>
    <n v="49.850999999999999"/>
    <x v="10"/>
    <n v="1"/>
    <n v="0.24981196671636124"/>
    <n v="0.22286625990326561"/>
    <n v="0.48188883284223266"/>
    <n v="0.11816950640248899"/>
    <n v="121074.43100000001"/>
    <n v="0.11816950640248899"/>
  </r>
  <r>
    <s v="2012-12"/>
    <n v="136762.54300000001"/>
    <n v="108.333"/>
    <n v="798.98099999999999"/>
    <n v="422.86"/>
    <n v="126634.73"/>
    <n v="8797.6389999999992"/>
    <n v="135432.36900000001"/>
    <n v="151500.965"/>
    <n v="25872.967000000001"/>
    <n v="267959.598"/>
    <n v="9970.1919999999991"/>
    <n v="69660.210999999996"/>
    <n v="57364.58"/>
    <n v="136994.98300000001"/>
    <n v="130964.61500000001"/>
    <n v="31567.815999999999"/>
    <n v="50.033999999999999"/>
    <x v="11"/>
    <n v="12"/>
    <n v="0.25996535119447373"/>
    <n v="0.21407921353875148"/>
    <n v="0.48874761709412629"/>
    <n v="0.11780811822235977"/>
    <n v="125627.99799999999"/>
    <n v="0.11780811822235977"/>
  </r>
  <r>
    <s v="2012-11"/>
    <n v="125633.671"/>
    <n v="122.464"/>
    <n v="787.351"/>
    <n v="392.32299999999998"/>
    <n v="118091.255"/>
    <n v="6240.2780000000002"/>
    <n v="124331.53300000001"/>
    <n v="144997.304"/>
    <n v="26609.825000000001"/>
    <n v="252343.23499999999"/>
    <n v="10765.725"/>
    <n v="72678.195999999996"/>
    <n v="48980.815000000002"/>
    <n v="132424.736"/>
    <n v="119918.499"/>
    <n v="30917.565999999999"/>
    <n v="50.076999999999998"/>
    <x v="11"/>
    <n v="11"/>
    <n v="0.28801325305986508"/>
    <n v="0.19410393545917728"/>
    <n v="0.47521978942688914"/>
    <n v="0.1225218738279233"/>
    <n v="118387.47900000001"/>
    <n v="0.1225218738279233"/>
  </r>
  <r>
    <s v="2012-10"/>
    <n v="112192.671"/>
    <n v="98.912999999999997"/>
    <n v="805.95899999999995"/>
    <n v="428.14299999999997"/>
    <n v="104797.89599999999"/>
    <n v="6061.759"/>
    <n v="110859.655"/>
    <n v="151285.30900000001"/>
    <n v="27353.044999999998"/>
    <n v="229471.72500000001"/>
    <n v="11422.69"/>
    <n v="79663.173999999999"/>
    <n v="31197.776999999998"/>
    <n v="122283.641"/>
    <n v="107188.084"/>
    <n v="29059.444"/>
    <n v="49.957999999999998"/>
    <x v="11"/>
    <n v="10"/>
    <n v="0.34715899747561491"/>
    <n v="0.13595477612764709"/>
    <n v="0.46710802387527267"/>
    <n v="0.12663627294386703"/>
    <n v="123932.26400000001"/>
    <n v="0.12663627294386703"/>
  </r>
  <r>
    <s v="2012-09"/>
    <n v="102515.32"/>
    <n v="89.492999999999995"/>
    <n v="789.67700000000002"/>
    <n v="440.86"/>
    <n v="96273.91"/>
    <n v="4921.3810000000003"/>
    <n v="101195.291"/>
    <n v="130879.455"/>
    <n v="21666.907999999999"/>
    <n v="198201.89600000001"/>
    <n v="9309.32"/>
    <n v="73701.635999999999"/>
    <n v="18098.257000000001"/>
    <n v="101109.213"/>
    <n v="97092.682000000001"/>
    <n v="23525.710999999999"/>
    <n v="49.994999999999997"/>
    <x v="11"/>
    <n v="9"/>
    <n v="0.37185131669981603"/>
    <n v="9.1312229424889063E-2"/>
    <n v="0.48986757422340699"/>
    <n v="0.11869569098370279"/>
    <n v="109212.54700000001"/>
    <n v="0.11869569098370279"/>
  </r>
  <r>
    <s v="2012-08"/>
    <n v="97210.593999999997"/>
    <n v="160.14500000000001"/>
    <n v="826.89300000000003"/>
    <n v="449.27699999999999"/>
    <n v="90827.354999999996"/>
    <n v="4946.9229999999998"/>
    <n v="95774.277999999991"/>
    <n v="160610.79500000001"/>
    <n v="26184.079000000002"/>
    <n v="187456.67499999999"/>
    <n v="8786.2170000000006"/>
    <n v="72187.41"/>
    <n v="14331.742"/>
    <n v="95305.369000000006"/>
    <n v="92151.305999999997"/>
    <n v="21830.271000000001"/>
    <n v="49.936"/>
    <x v="11"/>
    <n v="8"/>
    <n v="0.38508850111632464"/>
    <n v="7.6453623217204725E-2"/>
    <n v="0.49158722142062961"/>
    <n v="0.11645502087348984"/>
    <n v="134426.71600000001"/>
    <n v="0.11645502087348984"/>
  </r>
  <r>
    <s v="2012-07"/>
    <n v="99907.206000000006"/>
    <n v="141.30500000000001"/>
    <n v="811.774"/>
    <n v="462.08300000000003"/>
    <n v="92115.646999999997"/>
    <n v="6376.3969999999999"/>
    <n v="98492.043999999994"/>
    <n v="143123.75200000001"/>
    <n v="22862.822"/>
    <n v="199998.35200000001"/>
    <n v="9649.8520000000008"/>
    <n v="78744.403999999995"/>
    <n v="16382.46"/>
    <n v="104776.71599999999"/>
    <n v="95221.635999999999"/>
    <n v="24267.831999999999"/>
    <n v="50.045999999999999"/>
    <x v="11"/>
    <n v="7"/>
    <n v="0.39372526429617777"/>
    <n v="8.1912974962913679E-2"/>
    <n v="0.47611210316373004"/>
    <n v="0.12134015984291709"/>
    <n v="120260.93000000001"/>
    <n v="0.12134015984291709"/>
  </r>
  <r>
    <s v="2012-06"/>
    <n v="94743.801000000007"/>
    <n v="103.623"/>
    <n v="805.95899999999995"/>
    <n v="468.35199999999998"/>
    <n v="84994.337"/>
    <n v="8371.5300000000007"/>
    <n v="93365.866999999998"/>
    <n v="138417.47500000001"/>
    <n v="23488.745999999999"/>
    <n v="190427.07"/>
    <n v="8424.5550000000003"/>
    <n v="74498.290999999997"/>
    <n v="17837.664000000001"/>
    <n v="100760.51"/>
    <n v="89666.561000000002"/>
    <n v="22981.245999999999"/>
    <n v="50.399000000000001"/>
    <x v="11"/>
    <n v="6"/>
    <n v="0.39121691574627493"/>
    <n v="9.3671892341776822E-2"/>
    <n v="0.47087087460832117"/>
    <n v="0.12068266344695636"/>
    <n v="114928.72900000001"/>
    <n v="0.12068266344695636"/>
  </r>
  <r>
    <s v="2012-05"/>
    <n v="103473.38400000001"/>
    <n v="122.464"/>
    <n v="846.66399999999999"/>
    <n v="462.88900000000001"/>
    <n v="92837.989000000001"/>
    <n v="9203.3770000000004"/>
    <n v="102041.36600000001"/>
    <n v="137323.72200000001"/>
    <n v="23893.305"/>
    <n v="200073.761"/>
    <n v="8702.1020000000008"/>
    <n v="71621.028999999995"/>
    <n v="22197.901999999998"/>
    <n v="102521.033"/>
    <n v="97552.729000000007"/>
    <n v="23131.576000000001"/>
    <n v="50.753999999999998"/>
    <x v="11"/>
    <n v="5"/>
    <n v="0.35797312272247434"/>
    <n v="0.11094859160467323"/>
    <n v="0.48758382164865688"/>
    <n v="0.11561524052121958"/>
    <n v="113430.41700000002"/>
    <n v="0.11561524052121958"/>
  </r>
  <r>
    <s v="2012-04"/>
    <n v="113938.07"/>
    <n v="113.044"/>
    <n v="836.197"/>
    <n v="425.72500000000002"/>
    <n v="105259.43399999999"/>
    <n v="7303.67"/>
    <n v="112563.10399999999"/>
    <n v="137309.45499999999"/>
    <n v="21332.286"/>
    <n v="226911.49"/>
    <n v="10976.125"/>
    <n v="70298.698000000004"/>
    <n v="36621.881000000001"/>
    <n v="117896.704"/>
    <n v="109014.78599999999"/>
    <n v="26889.206999999999"/>
    <n v="50.886000000000003"/>
    <x v="11"/>
    <n v="4"/>
    <n v="0.309806691587103"/>
    <n v="0.16139280121954161"/>
    <n v="0.48042867287152358"/>
    <n v="0.11850086128296103"/>
    <n v="115977.16899999999"/>
    <n v="0.11850086128296103"/>
  </r>
  <r>
    <s v="2012-03"/>
    <n v="125838.06200000001"/>
    <n v="108.333"/>
    <n v="855.96799999999996"/>
    <n v="388.11399999999998"/>
    <n v="119245.978"/>
    <n v="5239.6679999999997"/>
    <n v="124485.64600000001"/>
    <n v="144011.72099999999"/>
    <n v="25154.309000000001"/>
    <n v="248012.10699999999"/>
    <n v="10225.482"/>
    <n v="74211.03"/>
    <n v="44111.031999999999"/>
    <n v="128547.54399999999"/>
    <n v="119464.56299999999"/>
    <n v="29033.759999999998"/>
    <n v="51.070999999999998"/>
    <x v="11"/>
    <n v="3"/>
    <n v="0.29922341654070944"/>
    <n v="0.17785838172811461"/>
    <n v="0.48168843225060781"/>
    <n v="0.11706589791602391"/>
    <n v="118857.41199999998"/>
    <n v="0.11706589791602391"/>
  </r>
  <r>
    <s v="2012-02"/>
    <n v="130381.27"/>
    <n v="113.044"/>
    <n v="766.41700000000003"/>
    <n v="421.06900000000002"/>
    <n v="122565.787"/>
    <n v="6514.9539999999997"/>
    <n v="129080.74099999999"/>
    <n v="145729.258"/>
    <n v="28273.555"/>
    <n v="292046.30800000002"/>
    <n v="12635.246999999999"/>
    <n v="77645.369000000006"/>
    <n v="72136.913"/>
    <n v="162417.52900000001"/>
    <n v="129628.78"/>
    <n v="36820.063999999998"/>
    <n v="50.884"/>
    <x v="11"/>
    <n v="2"/>
    <n v="0.26586663441059494"/>
    <n v="0.24700505030866543"/>
    <n v="0.44386378614996902"/>
    <n v="0.12607611529881074"/>
    <n v="117455.70300000001"/>
    <n v="0.12607611529881074"/>
  </r>
  <r>
    <s v="2012-01"/>
    <n v="145495.777"/>
    <n v="84.783000000000001"/>
    <n v="793.16600000000005"/>
    <n v="467.27699999999999"/>
    <n v="135687.63"/>
    <n v="8462.9210000000003"/>
    <n v="144150.55100000001"/>
    <n v="159189.21100000001"/>
    <n v="30359.399000000001"/>
    <n v="281401.12"/>
    <n v="7779.2049999999999"/>
    <n v="74457.585999999996"/>
    <n v="60512.296999999999"/>
    <n v="142749.08799999999"/>
    <n v="138652.03200000001"/>
    <n v="31869.597000000002"/>
    <n v="51.334000000000003"/>
    <x v="11"/>
    <n v="1"/>
    <n v="0.26459591205607141"/>
    <n v="0.21503928982230064"/>
    <n v="0.49272025640836115"/>
    <n v="0.1132532699230195"/>
    <n v="128829.81200000001"/>
    <n v="0.1132532699230195"/>
  </r>
  <r>
    <s v="2011-12"/>
    <n v="135891.03899999999"/>
    <n v="117.754"/>
    <n v="852.47900000000004"/>
    <n v="481.96300000000002"/>
    <n v="126664.766"/>
    <n v="7774.0770000000002"/>
    <n v="134438.84299999999"/>
    <n v="143261.068"/>
    <n v="29211.528999999999"/>
    <n v="263859.37800000003"/>
    <n v="8349.6530000000002"/>
    <n v="70312.653999999995"/>
    <n v="55586.097000000002"/>
    <n v="134248.40400000001"/>
    <n v="129610.974"/>
    <n v="30824.053"/>
    <n v="51.174999999999997"/>
    <x v="12"/>
    <n v="12"/>
    <n v="0.26647775240340327"/>
    <n v="0.2106656106799433"/>
    <n v="0.49121230779222103"/>
    <n v="0.11682000175108423"/>
    <n v="114049.539"/>
    <n v="0.11682000175108423"/>
  </r>
  <r>
    <s v="2011-11"/>
    <n v="113819.876"/>
    <n v="164.85499999999999"/>
    <n v="851.31600000000003"/>
    <n v="491.27699999999999"/>
    <n v="107339.353"/>
    <n v="4973.0749999999998"/>
    <n v="112312.428"/>
    <n v="150811.51800000001"/>
    <n v="28380.18"/>
    <n v="235282.772"/>
    <n v="11505.388000000001"/>
    <n v="68708.876999999993"/>
    <n v="46615.773000000001"/>
    <n v="126830.038"/>
    <n v="108452.734"/>
    <n v="29445.481"/>
    <n v="50.552999999999997"/>
    <x v="12"/>
    <n v="11"/>
    <n v="0.29202680849067858"/>
    <n v="0.19812658871598129"/>
    <n v="0.46094634587185157"/>
    <n v="0.12514932882548663"/>
    <n v="122431.33800000002"/>
    <n v="0.12514932882548663"/>
  </r>
  <r>
    <s v="2011-10"/>
    <n v="110444.205"/>
    <n v="98.912999999999997"/>
    <n v="888.53200000000004"/>
    <n v="510.262"/>
    <n v="104447.591"/>
    <n v="4498.9080000000004"/>
    <n v="108946.499"/>
    <n v="149743.40900000001"/>
    <n v="27041.666000000001"/>
    <n v="223901.64199999999"/>
    <n v="10573.324000000001"/>
    <n v="76068.341"/>
    <n v="32137.167000000001"/>
    <n v="118778.83200000001"/>
    <n v="105122.81"/>
    <n v="27887.870999999999"/>
    <n v="50.408999999999999"/>
    <x v="12"/>
    <n v="10"/>
    <n v="0.33973998725744048"/>
    <n v="0.14353252040911788"/>
    <n v="0.46950441747988608"/>
    <n v="0.12455411559688338"/>
    <n v="122701.74300000002"/>
    <n v="0.12455411559688338"/>
  </r>
  <r>
    <s v="2011-09"/>
    <n v="105985.55"/>
    <n v="18.841000000000001"/>
    <n v="894.34699999999998"/>
    <n v="505.42599999999999"/>
    <n v="100278.478"/>
    <n v="4288.4579999999996"/>
    <n v="104566.936"/>
    <n v="140924.57199999999"/>
    <n v="26586.237000000001"/>
    <n v="208415.07800000001"/>
    <n v="8157.2460000000001"/>
    <n v="80490.066999999995"/>
    <n v="19466.596000000001"/>
    <n v="108113.909"/>
    <n v="100301.16899999999"/>
    <n v="24927.702000000001"/>
    <n v="50.209000000000003"/>
    <x v="12"/>
    <n v="9"/>
    <n v="0.38620078629819665"/>
    <n v="9.3403011849267456E-2"/>
    <n v="0.48125677836034486"/>
    <n v="0.11960603925211208"/>
    <n v="114338.33499999999"/>
    <n v="0.11960603925211208"/>
  </r>
  <r>
    <s v="2011-08"/>
    <n v="106584.087"/>
    <n v="42.390999999999998"/>
    <n v="911.79200000000003"/>
    <n v="504.709"/>
    <n v="100293.784"/>
    <n v="4831.4110000000001"/>
    <n v="105125.19500000001"/>
    <n v="140842.85999999999"/>
    <n v="29481.111000000001"/>
    <n v="200101.74900000001"/>
    <n v="6902.2969999999996"/>
    <n v="77815.167000000001"/>
    <n v="15606.053"/>
    <n v="100323.51700000001"/>
    <n v="99778.232000000004"/>
    <n v="22816.170999999998"/>
    <n v="50.170999999999999"/>
    <x v="12"/>
    <n v="8"/>
    <n v="0.38887799526429923"/>
    <n v="7.7990587678471515E-2"/>
    <n v="0.49863748067489405"/>
    <n v="0.11402284644698432"/>
    <n v="111361.74899999998"/>
    <n v="0.11402284644698432"/>
  </r>
  <r>
    <s v="2011-07"/>
    <n v="113554.014"/>
    <n v="18.841000000000001"/>
    <n v="900.16200000000003"/>
    <n v="523.69399999999996"/>
    <n v="106785.193"/>
    <n v="5326.1239999999998"/>
    <n v="112111.317"/>
    <n v="143069.962"/>
    <n v="25750.075000000001"/>
    <n v="207672.29300000001"/>
    <n v="6848.3010000000004"/>
    <n v="77497.668000000005"/>
    <n v="17388.117999999999"/>
    <n v="101734.08700000001"/>
    <n v="105938.20600000001"/>
    <n v="22639.427"/>
    <n v="50.338999999999999"/>
    <x v="12"/>
    <n v="7"/>
    <n v="0.37317288156489897"/>
    <n v="8.3728636828794487E-2"/>
    <n v="0.51012200264962648"/>
    <n v="0.10901515398590027"/>
    <n v="117319.887"/>
    <n v="0.10901515398590027"/>
  </r>
  <r>
    <s v="2011-06"/>
    <n v="110796.144"/>
    <n v="23.550999999999998"/>
    <n v="888.53200000000004"/>
    <n v="510.79899999999998"/>
    <n v="103918.02899999999"/>
    <n v="5455.2330000000002"/>
    <n v="109373.26199999999"/>
    <n v="142716.93400000001"/>
    <n v="30348.775000000001"/>
    <n v="202641.88"/>
    <n v="7195.6040000000003"/>
    <n v="74054.024999999994"/>
    <n v="18074.078000000001"/>
    <n v="99323.706999999995"/>
    <n v="103318.173"/>
    <n v="22069.782999999999"/>
    <n v="50.177999999999997"/>
    <x v="12"/>
    <n v="6"/>
    <n v="0.36544284429260127"/>
    <n v="8.9192214363585653E-2"/>
    <n v="0.50985597350360146"/>
    <n v="0.10891027560541779"/>
    <n v="112368.15900000001"/>
    <n v="0.10891027560541779"/>
  </r>
  <r>
    <s v="2011-05"/>
    <n v="111455.164"/>
    <n v="28.260999999999999"/>
    <n v="945.51900000000001"/>
    <n v="500.76900000000001"/>
    <n v="105566.541"/>
    <n v="4414.0739999999996"/>
    <n v="109980.61499999999"/>
    <n v="151810.74"/>
    <n v="30258.513999999999"/>
    <n v="208519.47899999999"/>
    <n v="9395.2860000000001"/>
    <n v="73794.676000000007"/>
    <n v="20689.863000000001"/>
    <n v="103879.825"/>
    <n v="104639.65399999999"/>
    <n v="23690.069"/>
    <n v="49.984999999999999"/>
    <x v="12"/>
    <n v="5"/>
    <n v="0.35389823700835166"/>
    <n v="9.9222687008536037E-2"/>
    <n v="0.50182196167869764"/>
    <n v="0.11361082002319793"/>
    <n v="121552.226"/>
    <n v="0.11361082002319793"/>
  </r>
  <r>
    <s v="2011-04"/>
    <n v="110975.645"/>
    <n v="37.680999999999997"/>
    <n v="901.32500000000005"/>
    <n v="334.11500000000001"/>
    <n v="104735.57"/>
    <n v="4966.9539999999997"/>
    <n v="109702.524"/>
    <n v="152414.19200000001"/>
    <n v="24753.277999999998"/>
    <n v="210955.83"/>
    <n v="8455.2330000000002"/>
    <n v="72531.657999999996"/>
    <n v="25382.334999999999"/>
    <n v="106369.226"/>
    <n v="104586.60400000001"/>
    <n v="24195.620999999999"/>
    <n v="49.682000000000002"/>
    <x v="12"/>
    <n v="4"/>
    <n v="0.34382390854047507"/>
    <n v="0.12032061403564907"/>
    <n v="0.49577489278205783"/>
    <n v="0.114695199464267"/>
    <n v="127660.91400000002"/>
    <n v="0.114695199464267"/>
  </r>
  <r>
    <s v="2011-03"/>
    <n v="126710.96400000001"/>
    <n v="80.072999999999993"/>
    <n v="940.86699999999996"/>
    <n v="358.47300000000001"/>
    <n v="119591.671"/>
    <n v="5739.8819999999996"/>
    <n v="125331.553"/>
    <n v="158694.51800000001"/>
    <n v="30492.911"/>
    <n v="259982.32399999999"/>
    <n v="10055.058000000001"/>
    <n v="79435.225999999995"/>
    <n v="49816.326000000001"/>
    <n v="139306.60999999999"/>
    <n v="120675.71400000001"/>
    <n v="31493.013999999999"/>
    <n v="49.383000000000003"/>
    <x v="12"/>
    <n v="3"/>
    <n v="0.30554087207867253"/>
    <n v="0.19161428066932737"/>
    <n v="0.46416891788381742"/>
    <n v="0.12113521225389154"/>
    <n v="128201.60700000002"/>
    <n v="0.12113521225389154"/>
  </r>
  <r>
    <s v="2011-02"/>
    <n v="127804.92600000001"/>
    <n v="51.811999999999998"/>
    <n v="840.84900000000005"/>
    <n v="500.94799999999998"/>
    <n v="121352.736"/>
    <n v="5058.5810000000001"/>
    <n v="126411.31700000001"/>
    <n v="146696.02600000001"/>
    <n v="30966.858"/>
    <n v="262507.201"/>
    <n v="9812.3080000000009"/>
    <n v="75483.351999999999"/>
    <n v="54721.93"/>
    <n v="140017.59"/>
    <n v="122489.611"/>
    <n v="31871.526999999998"/>
    <n v="49.125"/>
    <x v="12"/>
    <n v="2"/>
    <n v="0.28754773854756083"/>
    <n v="0.20845877671751945"/>
    <n v="0.46661428918287084"/>
    <n v="0.12141201033186133"/>
    <n v="115729.16800000001"/>
    <n v="0.12141201033186133"/>
  </r>
  <r>
    <s v="2011-01"/>
    <n v="147820.75899999999"/>
    <n v="18.841000000000001"/>
    <n v="940.86699999999996"/>
    <n v="630.68600000000004"/>
    <n v="138909.815"/>
    <n v="7320.55"/>
    <n v="146230.36499999999"/>
    <n v="175831.83"/>
    <n v="29429.531999999999"/>
    <n v="294545.58799999999"/>
    <n v="9132.7790000000005"/>
    <n v="76873.137000000002"/>
    <n v="66059.982000000004"/>
    <n v="152065.89799999999"/>
    <n v="142479.69"/>
    <n v="34253.938000000002"/>
    <n v="48.865000000000002"/>
    <x v="12"/>
    <n v="1"/>
    <n v="0.26098892711983179"/>
    <n v="0.22427761504952506"/>
    <n v="0.48372712342240215"/>
    <n v="0.11629418125930308"/>
    <n v="146402.29799999998"/>
    <n v="0.11629418125930308"/>
  </r>
  <r>
    <s v="2010-12"/>
    <n v="142525.71599999999"/>
    <n v="117.754"/>
    <n v="945.51900000000001"/>
    <n v="606.26"/>
    <n v="132842.122"/>
    <n v="8014.0609999999997"/>
    <n v="140856.18299999999"/>
    <n v="159229.736"/>
    <n v="30804.524000000001"/>
    <n v="311197.84700000001"/>
    <n v="13337.896000000001"/>
    <n v="83451.065000000002"/>
    <n v="74382.851999999999"/>
    <n v="171171.81300000002"/>
    <n v="140026.03400000001"/>
    <n v="39289.904999999999"/>
    <n v="48.438000000000002"/>
    <x v="13"/>
    <n v="12"/>
    <n v="0.26816080446726226"/>
    <n v="0.23902110093968612"/>
    <n v="0.44995823509023186"/>
    <n v="0.12625378156938213"/>
    <n v="128425.212"/>
    <n v="0.12625378156938213"/>
  </r>
  <r>
    <s v="2010-11"/>
    <n v="120812.602"/>
    <n v="103.623"/>
    <n v="922.25900000000001"/>
    <n v="537.30600000000004"/>
    <n v="112760.29700000001"/>
    <n v="6489.1170000000002"/>
    <n v="119249.414"/>
    <n v="181507.37400000001"/>
    <n v="27885.241999999998"/>
    <n v="257209.33499999999"/>
    <n v="11387.513999999999"/>
    <n v="74928.600999999995"/>
    <n v="53965.224000000002"/>
    <n v="140281.33899999998"/>
    <n v="116927.996"/>
    <n v="32017.216"/>
    <n v="48.372999999999998"/>
    <x v="13"/>
    <n v="11"/>
    <n v="0.2913136920166603"/>
    <n v="0.20981051873564388"/>
    <n v="0.45460245834390112"/>
    <n v="0.12447921456660972"/>
    <n v="153622.13200000001"/>
    <n v="0.12447921456660972"/>
  </r>
  <r>
    <s v="2010-10"/>
    <n v="108452.93399999999"/>
    <n v="160.14500000000001"/>
    <n v="955.98599999999999"/>
    <n v="545.36599999999999"/>
    <n v="101708.371"/>
    <n v="5083.0659999999998"/>
    <n v="106791.43700000001"/>
    <n v="119898.573"/>
    <n v="16104.227000000001"/>
    <n v="231261.07"/>
    <n v="11375.406999999999"/>
    <n v="77277.861000000004"/>
    <n v="36385.466999999997"/>
    <n v="125038.73500000002"/>
    <n v="106222.33500000001"/>
    <n v="29187.666000000001"/>
    <n v="48.298999999999999"/>
    <x v="13"/>
    <n v="10"/>
    <n v="0.33415853779453675"/>
    <n v="0.15733502832967086"/>
    <n v="0.45931783935791703"/>
    <n v="0.12621089230452839"/>
    <n v="103794.34600000001"/>
    <n v="0.12621089230452839"/>
  </r>
  <r>
    <s v="2010-09"/>
    <n v="106770.304"/>
    <n v="108.333"/>
    <n v="923.42200000000003"/>
    <n v="710.13900000000001"/>
    <n v="100872.091"/>
    <n v="4156.3180000000002"/>
    <n v="105028.409"/>
    <n v="138419.55300000001"/>
    <n v="25569.802"/>
    <n v="212154.519"/>
    <n v="8920.82"/>
    <n v="81546.070999999996"/>
    <n v="20269.868999999999"/>
    <n v="110736.76000000001"/>
    <n v="101417.75900000001"/>
    <n v="25494.594000000001"/>
    <n v="48.188000000000002"/>
    <x v="13"/>
    <n v="9"/>
    <n v="0.38437112433131815"/>
    <n v="9.554295188027552E-2"/>
    <n v="0.47803723191020037"/>
    <n v="0.12016993142625447"/>
    <n v="112849.75100000002"/>
    <n v="0.12016993142625447"/>
  </r>
  <r>
    <s v="2010-08"/>
    <n v="110269.231"/>
    <n v="103.623"/>
    <n v="932.726"/>
    <n v="710.13900000000001"/>
    <n v="103451.927"/>
    <n v="5070.8149999999996"/>
    <n v="108522.742"/>
    <n v="153277.17600000001"/>
    <n v="30824.938999999998"/>
    <n v="197875.429"/>
    <n v="5944.8040000000001"/>
    <n v="74578.538"/>
    <n v="14737.407999999999"/>
    <n v="95260.75"/>
    <n v="102614.679"/>
    <n v="21713.024000000001"/>
    <n v="48.005000000000003"/>
    <x v="13"/>
    <n v="8"/>
    <n v="0.37689640586957363"/>
    <n v="7.4478211238647521E-2"/>
    <n v="0.51858221871498766"/>
    <n v="0.10973077410232678"/>
    <n v="122452.23700000001"/>
    <n v="0.10973077410232678"/>
  </r>
  <r>
    <s v="2010-07"/>
    <n v="109001.159"/>
    <n v="75.361999999999995"/>
    <n v="946.68200000000002"/>
    <n v="692.22900000000004"/>
    <n v="101295.785"/>
    <n v="5991.1"/>
    <n v="107286.88500000001"/>
    <n v="151848.231"/>
    <n v="27953.991999999998"/>
    <n v="207789.36300000001"/>
    <n v="9227.4699999999993"/>
    <n v="79188.67"/>
    <n v="16719.171999999999"/>
    <n v="105135.31200000001"/>
    <n v="102654.05100000001"/>
    <n v="23980.41"/>
    <n v="47.728999999999999"/>
    <x v="13"/>
    <n v="7"/>
    <n v="0.38110069185784062"/>
    <n v="8.0462116821639215E-2"/>
    <n v="0.49402938397765817"/>
    <n v="0.11540730311589625"/>
    <n v="123894.239"/>
    <n v="0.11540730311589625"/>
  </r>
  <r>
    <s v="2010-06"/>
    <n v="103831.497"/>
    <n v="94.203000000000003"/>
    <n v="917.60699999999997"/>
    <n v="510.44099999999997"/>
    <n v="94335.046000000002"/>
    <n v="7974.2"/>
    <n v="102309.246"/>
    <n v="141966.56899999999"/>
    <n v="26257.414000000001"/>
    <n v="199746.15299999999"/>
    <n v="8376.0879999999997"/>
    <n v="76132.305999999997"/>
    <n v="18216.464"/>
    <n v="102724.85800000001"/>
    <n v="97021.294999999998"/>
    <n v="23194.507000000001"/>
    <n v="47.534999999999997"/>
    <x v="13"/>
    <n v="6"/>
    <n v="0.38114529294589217"/>
    <n v="9.1198071784641579E-2"/>
    <n v="0.48572297159585348"/>
    <n v="0.11611991846471258"/>
    <n v="115709.15499999998"/>
    <n v="0.11611991846471258"/>
  </r>
  <r>
    <s v="2010-05"/>
    <n v="102154.599"/>
    <n v="71.593999999999994"/>
    <n v="843.17499999999995"/>
    <n v="577.60400000000004"/>
    <n v="93362.235000000001"/>
    <n v="7299.991"/>
    <n v="100662.226"/>
    <n v="153997.76699999999"/>
    <n v="25060.370999999999"/>
    <n v="207166.40400000001"/>
    <n v="9748.1830000000009"/>
    <n v="71639.637000000002"/>
    <n v="27255.741999999998"/>
    <n v="108643.56200000001"/>
    <n v="98522.841"/>
    <n v="24569.437000000002"/>
    <n v="47.332999999999998"/>
    <x v="13"/>
    <n v="5"/>
    <n v="0.34580721399209113"/>
    <n v="0.13156448861273856"/>
    <n v="0.47557344771017984"/>
    <n v="0.11859759365229895"/>
    <n v="128937.39599999999"/>
    <n v="0.11859759365229895"/>
  </r>
  <r>
    <s v="2010-04"/>
    <n v="107658.424"/>
    <n v="84.783000000000001"/>
    <n v="860.62"/>
    <n v="503.27699999999999"/>
    <n v="99668.426000000007"/>
    <n v="6541.3180000000002"/>
    <n v="106209.74400000001"/>
    <n v="156901.78400000001"/>
    <n v="30009.852999999999"/>
    <n v="221499.166"/>
    <n v="10884.946"/>
    <n v="74383.153999999995"/>
    <n v="32611.788"/>
    <n v="117879.88799999999"/>
    <n v="103619.27800000001"/>
    <n v="27179.276999999998"/>
    <n v="47.639000000000003"/>
    <x v="13"/>
    <n v="4"/>
    <n v="0.33581685810952444"/>
    <n v="0.1472321028964958"/>
    <n v="0.46780888556483324"/>
    <n v="0.12270600152056554"/>
    <n v="126891.93100000001"/>
    <n v="0.12270600152056554"/>
  </r>
  <r>
    <s v="2010-03"/>
    <n v="123488.53599999999"/>
    <n v="94.438999999999993"/>
    <n v="886.20600000000002"/>
    <n v="665.36400000000003"/>
    <n v="114382.671"/>
    <n v="7459.857"/>
    <n v="121842.52800000001"/>
    <n v="177394.45499999999"/>
    <n v="30109.879000000001"/>
    <n v="268508.32199999999"/>
    <n v="12538.807000000001"/>
    <n v="80113.255000000005"/>
    <n v="56160.118999999999"/>
    <n v="148812.18100000001"/>
    <n v="119696.141"/>
    <n v="34317.368000000002"/>
    <n v="47.732999999999997"/>
    <x v="13"/>
    <n v="3"/>
    <n v="0.29836414157770502"/>
    <n v="0.20915597170951"/>
    <n v="0.44578186667897768"/>
    <n v="0.12780746512579227"/>
    <n v="147284.576"/>
    <n v="0.12780746512579227"/>
  </r>
  <r>
    <s v="2010-02"/>
    <n v="123456.59299999999"/>
    <n v="98.912999999999997"/>
    <n v="755.95"/>
    <n v="552.53"/>
    <n v="115196.484"/>
    <n v="6852.7160000000003"/>
    <n v="122049.2"/>
    <n v="142095.283"/>
    <n v="26559.112000000001"/>
    <n v="268886.75"/>
    <n v="11035.633"/>
    <n v="74991.403000000006"/>
    <n v="61905.711000000003"/>
    <n v="147932.747"/>
    <n v="120954.003"/>
    <n v="34036.552000000003"/>
    <n v="47.860999999999997"/>
    <x v="13"/>
    <n v="2"/>
    <n v="0.27889586601050442"/>
    <n v="0.23022968219891832"/>
    <n v="0.44983251499004689"/>
    <n v="0.12658322509383599"/>
    <n v="115536.171"/>
    <n v="0.12658322509383599"/>
  </r>
  <r>
    <s v="2010-01"/>
    <n v="136959.655"/>
    <n v="117.754"/>
    <n v="869.92399999999998"/>
    <n v="639.39400000000001"/>
    <n v="128292.75599999999"/>
    <n v="7039.8280000000004"/>
    <n v="135332.584"/>
    <n v="161372.253"/>
    <n v="21802.073"/>
    <n v="297460.60800000001"/>
    <n v="14092.638999999999"/>
    <n v="72280.45"/>
    <n v="75376.868000000002"/>
    <n v="161749.95699999999"/>
    <n v="135710.65100000001"/>
    <n v="37107.428999999996"/>
    <n v="47.982999999999997"/>
    <x v="13"/>
    <n v="1"/>
    <n v="0.24299167034580926"/>
    <n v="0.25340117640047316"/>
    <n v="0.45623066500287662"/>
    <n v="0.124747371591468"/>
    <n v="139570.18"/>
    <n v="0.124747371591468"/>
  </r>
  <r>
    <s v="2009-12"/>
    <n v="128152.69100000001"/>
    <n v="211.95699999999999"/>
    <n v="895.51"/>
    <n v="588.35"/>
    <n v="120193.633"/>
    <n v="6263.241"/>
    <n v="126456.874"/>
    <n v="159103.78899999999"/>
    <n v="29143.438999999998"/>
    <n v="285337.038"/>
    <n v="12528.813"/>
    <n v="84365.183000000005"/>
    <n v="62783.311000000002"/>
    <n v="159677.307"/>
    <n v="125659.731"/>
    <n v="37100.161999999997"/>
    <n v="48.021999999999998"/>
    <x v="14"/>
    <n v="12"/>
    <n v="0.29566853147189398"/>
    <n v="0.22003211163914865"/>
    <n v="0.44039053563035863"/>
    <n v="0.13002224408034962"/>
    <n v="129960.34999999999"/>
    <n v="0.13002224408034962"/>
  </r>
  <r>
    <s v="2009-11"/>
    <n v="107010.66099999999"/>
    <n v="98.912999999999997"/>
    <n v="879.22799999999995"/>
    <n v="694.91600000000005"/>
    <n v="100247.048"/>
    <n v="5090.5559999999996"/>
    <n v="105337.60399999999"/>
    <n v="163455.837"/>
    <n v="21845.63"/>
    <n v="233030.783"/>
    <n v="11700.025"/>
    <n v="71204.675000000003"/>
    <n v="45896.678999999996"/>
    <n v="128801.37899999999"/>
    <n v="104229.405"/>
    <n v="29338.440999999999"/>
    <n v="48.259"/>
    <x v="14"/>
    <n v="11"/>
    <n v="0.30555909431072892"/>
    <n v="0.19695543399517307"/>
    <n v="0.44727740969741325"/>
    <n v="0.12589942248102046"/>
    <n v="141610.20699999999"/>
    <n v="0.12589942248102046"/>
  </r>
  <r>
    <s v="2009-10"/>
    <n v="104157.05899999999"/>
    <n v="32.970999999999997"/>
    <n v="921.096"/>
    <n v="702.97500000000002"/>
    <n v="98785.998000000007"/>
    <n v="3714.0189999999998"/>
    <n v="102500.01700000001"/>
    <n v="156408.82800000001"/>
    <n v="23631.704000000002"/>
    <n v="228883.66899999999"/>
    <n v="12809.05"/>
    <n v="81400.695999999996"/>
    <n v="31745.83"/>
    <n v="125955.576"/>
    <n v="102928.094"/>
    <n v="29423.253000000001"/>
    <n v="48.475000000000001"/>
    <x v="14"/>
    <n v="10"/>
    <n v="0.35564221927952405"/>
    <n v="0.13869853685367128"/>
    <n v="0.44969610304525481"/>
    <n v="0.1285511243705203"/>
    <n v="132777.12400000001"/>
    <n v="0.1285511243705203"/>
  </r>
  <r>
    <s v="2009-09"/>
    <n v="96917.028999999995"/>
    <n v="14.13"/>
    <n v="883.88"/>
    <n v="678.79700000000003"/>
    <n v="91803.258000000002"/>
    <n v="3536.9639999999999"/>
    <n v="95340.222000000009"/>
    <n v="137286.74400000001"/>
    <n v="25212.776999999998"/>
    <n v="202368.77499999999"/>
    <n v="11420.579"/>
    <n v="78501.5"/>
    <n v="18368.701000000001"/>
    <n v="108290.78"/>
    <n v="94077.994999999995"/>
    <n v="25294.499"/>
    <n v="48.508000000000003"/>
    <x v="14"/>
    <n v="9"/>
    <n v="0.38791310566563447"/>
    <n v="9.0768454767787179E-2"/>
    <n v="0.46488394763470797"/>
    <n v="0.12499210414254867"/>
    <n v="112073.967"/>
    <n v="0.12499210414254867"/>
  </r>
  <r>
    <s v="2009-08"/>
    <n v="96193.024000000005"/>
    <n v="14.13"/>
    <n v="912.95500000000004"/>
    <n v="682.37900000000002"/>
    <n v="90316.490999999995"/>
    <n v="4267.0690000000004"/>
    <n v="94583.56"/>
    <n v="147054.89000000001"/>
    <n v="23855.562000000002"/>
    <n v="184684.98499999999"/>
    <n v="8048.8909999999996"/>
    <n v="69693.077000000005"/>
    <n v="14433.83"/>
    <n v="92175.79800000001"/>
    <n v="92509.186000000002"/>
    <n v="21222.62"/>
    <n v="48.545000000000002"/>
    <x v="14"/>
    <n v="8"/>
    <n v="0.37736190086053834"/>
    <n v="7.8153781694814017E-2"/>
    <n v="0.50090258284938549"/>
    <n v="0.11491253606783465"/>
    <n v="123199.32800000001"/>
    <n v="0.11491253606783465"/>
  </r>
  <r>
    <s v="2009-07"/>
    <n v="99477.119999999995"/>
    <n v="9.42"/>
    <n v="830.38199999999995"/>
    <n v="677.00599999999997"/>
    <n v="92456.012000000002"/>
    <n v="5504.3"/>
    <n v="97960.312000000005"/>
    <n v="157032.09"/>
    <n v="27963.446"/>
    <n v="199239.823"/>
    <n v="8354.5660000000007"/>
    <n v="78401.319000000003"/>
    <n v="15881.87"/>
    <n v="102637.755"/>
    <n v="96602.067999999999"/>
    <n v="23392.973000000002"/>
    <n v="48.707999999999998"/>
    <x v="14"/>
    <n v="7"/>
    <n v="0.39350225180635701"/>
    <n v="7.9712327389489801E-2"/>
    <n v="0.4848532112980245"/>
    <n v="0.1174111312074394"/>
    <n v="129068.644"/>
    <n v="0.1174111312074394"/>
  </r>
  <r>
    <s v="2009-06"/>
    <n v="95266.205000000002"/>
    <s v="0"/>
    <n v="937.37800000000004"/>
    <n v="676.11"/>
    <n v="86803.48"/>
    <n v="6849.2370000000001"/>
    <n v="93652.71699999999"/>
    <n v="149930.29800000001"/>
    <n v="29082.058000000001"/>
    <n v="193584.96100000001"/>
    <n v="7635.2259999999997"/>
    <n v="77684.910999999993"/>
    <n v="16562.456999999999"/>
    <n v="101882.59399999998"/>
    <n v="91702.365999999995"/>
    <n v="23051.580999999998"/>
    <n v="48.76"/>
    <x v="14"/>
    <n v="6"/>
    <n v="0.40129620916161968"/>
    <n v="8.5556527296559978E-2"/>
    <n v="0.47370604372516306"/>
    <n v="0.1190773336984581"/>
    <n v="120848.24"/>
    <n v="0.1190773336984581"/>
  </r>
  <r>
    <s v="2009-05"/>
    <n v="105074.11"/>
    <n v="9.42"/>
    <n v="931.56299999999999"/>
    <n v="745.96"/>
    <n v="95638.402000000002"/>
    <n v="7748.7650000000003"/>
    <n v="103387.167"/>
    <n v="155784.05499999999"/>
    <n v="24822.726999999999"/>
    <n v="195367.21900000001"/>
    <n v="6218.3149999999996"/>
    <n v="70166.115999999995"/>
    <n v="20136.437999999998"/>
    <n v="96520.868999999992"/>
    <n v="98846.35"/>
    <n v="21514.344000000001"/>
    <n v="48.826999999999998"/>
    <x v="14"/>
    <n v="5"/>
    <n v="0.35914989402597775"/>
    <n v="0.10306968642472204"/>
    <n v="0.50595156396222229"/>
    <n v="0.11012258919445436"/>
    <n v="130961.32799999999"/>
    <n v="0.11012258919445436"/>
  </r>
  <r>
    <s v="2009-04"/>
    <n v="107399.69100000001"/>
    <n v="9.42"/>
    <n v="908.303"/>
    <n v="729.84100000000001"/>
    <n v="98544.985000000001"/>
    <n v="7207.1419999999998"/>
    <n v="105752.12700000001"/>
    <n v="152123.92000000001"/>
    <n v="21355.169000000002"/>
    <n v="215461.29800000001"/>
    <n v="6983.451"/>
    <n v="76852.900999999998"/>
    <n v="28656.32"/>
    <n v="112492.67199999999"/>
    <n v="102968.626"/>
    <n v="25555.638999999999"/>
    <n v="48.77"/>
    <x v="14"/>
    <n v="4"/>
    <n v="0.3566900492727933"/>
    <n v="0.13299984853892413"/>
    <n v="0.47789847622657505"/>
    <n v="0.11860895314944217"/>
    <n v="130768.75100000002"/>
    <n v="0.11860895314944217"/>
  </r>
  <r>
    <s v="2009-03"/>
    <n v="123165.126"/>
    <n v="65.941999999999993"/>
    <n v="942.03"/>
    <n v="753.12400000000002"/>
    <n v="114347.825"/>
    <n v="7056.2049999999999"/>
    <n v="121404.03"/>
    <n v="177049.666"/>
    <n v="29519.687999999998"/>
    <n v="260434.83600000001"/>
    <n v="10254.594999999999"/>
    <n v="82383.430999999997"/>
    <n v="50842.58"/>
    <n v="143480.606"/>
    <n v="116954.23"/>
    <n v="32834.345000000001"/>
    <n v="48.625"/>
    <x v="14"/>
    <n v="3"/>
    <n v="0.31633030459872885"/>
    <n v="0.19522188652212411"/>
    <n v="0.44907291127520282"/>
    <n v="0.12607508851081659"/>
    <n v="147529.978"/>
    <n v="0.12607508851081659"/>
  </r>
  <r>
    <s v="2009-02"/>
    <n v="125383.217"/>
    <n v="113.044"/>
    <n v="910.62900000000002"/>
    <n v="705.66200000000003"/>
    <n v="117351.395"/>
    <n v="6302.4880000000003"/>
    <n v="123653.883"/>
    <n v="153078.99600000001"/>
    <n v="31728.050999999999"/>
    <n v="265880.58899999998"/>
    <n v="12163.392"/>
    <n v="75479.282000000007"/>
    <n v="57912.631999999998"/>
    <n v="145555.30599999998"/>
    <n v="120325.284"/>
    <n v="33591.976999999999"/>
    <n v="48.576999999999998"/>
    <x v="14"/>
    <n v="2"/>
    <n v="0.28388413868001477"/>
    <n v="0.21781444150479148"/>
    <n v="0.45255384927705278"/>
    <n v="0.12634234460793978"/>
    <n v="121350.94500000001"/>
    <n v="0.12634234460793978"/>
  </r>
  <r>
    <s v="2009-01"/>
    <n v="145275.48699999999"/>
    <n v="113.044"/>
    <n v="883.88"/>
    <n v="922.375"/>
    <n v="136557.878"/>
    <n v="6798.31"/>
    <n v="143356.18799999999"/>
    <n v="162500.709"/>
    <n v="29367.324000000001"/>
    <n v="312495.16600000003"/>
    <n v="12173.206"/>
    <n v="87886.747000000003"/>
    <n v="71797.513999999996"/>
    <n v="171857.467"/>
    <n v="140637.698"/>
    <n v="39654.339999999997"/>
    <n v="48.66"/>
    <x v="14"/>
    <n v="1"/>
    <n v="0.28124194087533499"/>
    <n v="0.22975559884340735"/>
    <n v="0.45004759529624211"/>
    <n v="0.12689585092653879"/>
    <n v="133133.38500000001"/>
    <n v="0.12689585092653879"/>
  </r>
  <r>
    <s v="2008-12"/>
    <n v="139345.24"/>
    <n v="75.361999999999995"/>
    <n v="967.61599999999999"/>
    <n v="833.72"/>
    <n v="131144.783"/>
    <n v="6323.7579999999998"/>
    <n v="137468.541"/>
    <n v="170748.83499999999"/>
    <n v="36118.953000000001"/>
    <n v="294932.80699999997"/>
    <n v="10297.734"/>
    <n v="86278.317999999999"/>
    <n v="63756.73"/>
    <n v="160332.78200000001"/>
    <n v="134600.02499999999"/>
    <n v="37080.360999999997"/>
    <n v="48.722000000000001"/>
    <x v="15"/>
    <n v="12"/>
    <n v="0.29253550623142444"/>
    <n v="0.21617374699180214"/>
    <n v="0.45637522108552681"/>
    <n v="0.12572477567746473"/>
    <n v="134629.88199999998"/>
    <n v="0.12572477567746473"/>
  </r>
  <r>
    <s v="2008-11"/>
    <n v="122339.443"/>
    <n v="131.88399999999999"/>
    <n v="903.65099999999995"/>
    <n v="756.70600000000002"/>
    <n v="114784.26700000001"/>
    <n v="5762.9350000000004"/>
    <n v="120547.202"/>
    <n v="169610.598"/>
    <n v="34033.68"/>
    <n v="252209.068"/>
    <n v="9875.4130000000005"/>
    <n v="73674.887000000002"/>
    <n v="51540.182999999997"/>
    <n v="135090.48300000001"/>
    <n v="117118.58500000001"/>
    <n v="30504.717000000001"/>
    <n v="48.56"/>
    <x v="15"/>
    <n v="11"/>
    <n v="0.29211831114652864"/>
    <n v="0.20435499567366863"/>
    <n v="0.46437103125887608"/>
    <n v="0.12095011984263786"/>
    <n v="135576.91800000001"/>
    <n v="0.12095011984263786"/>
  </r>
  <r>
    <s v="2008-10"/>
    <n v="113899.266"/>
    <n v="178.98599999999999"/>
    <n v="952.49699999999996"/>
    <n v="424.47199999999998"/>
    <n v="108061.84699999999"/>
    <n v="4281.4650000000001"/>
    <n v="112343.31199999999"/>
    <n v="177119.435"/>
    <n v="33612.525999999998"/>
    <n v="247082.31299999999"/>
    <n v="14364.838"/>
    <n v="84928.074999999997"/>
    <n v="36926.355000000003"/>
    <n v="136219.26800000001"/>
    <n v="110863.045"/>
    <n v="31905.919999999998"/>
    <n v="48.094000000000001"/>
    <x v="15"/>
    <n v="10"/>
    <n v="0.34372381401496754"/>
    <n v="0.14944960872209417"/>
    <n v="0.44868871289868489"/>
    <n v="0.12913073223496979"/>
    <n v="143506.90899999999"/>
    <n v="0.12913073223496979"/>
  </r>
  <r>
    <s v="2008-09"/>
    <n v="106530.132"/>
    <n v="141.30500000000001"/>
    <n v="930.4"/>
    <n v="488.053"/>
    <n v="99626.997000000003"/>
    <n v="5343.3770000000004"/>
    <n v="104970.37400000001"/>
    <n v="159935.72899999999"/>
    <n v="36077.811000000002"/>
    <n v="220005.916"/>
    <n v="12053.462"/>
    <n v="85406.067999999999"/>
    <n v="21265.675999999999"/>
    <n v="118725.20600000001"/>
    <n v="101280.71"/>
    <n v="27442.848999999998"/>
    <n v="48.2"/>
    <x v="15"/>
    <n v="9"/>
    <n v="0.38819896097703116"/>
    <n v="9.6659564372805318E-2"/>
    <n v="0.46035448428577713"/>
    <n v="0.12473686843948323"/>
    <n v="123857.91799999999"/>
    <n v="0.12473686843948323"/>
  </r>
  <r>
    <s v="2008-08"/>
    <n v="109018.698"/>
    <n v="37.680999999999997"/>
    <n v="1001.343"/>
    <n v="782.67600000000004"/>
    <n v="102460.84"/>
    <n v="4736.1580000000004"/>
    <n v="107196.99799999999"/>
    <n v="149684.80900000001"/>
    <n v="30414.856"/>
    <n v="201518.08199999999"/>
    <n v="9314.5300000000007"/>
    <n v="75472.884999999995"/>
    <n v="14718.602000000001"/>
    <n v="99506.016999999993"/>
    <n v="102012.065"/>
    <n v="22724.48"/>
    <n v="48.423999999999999"/>
    <x v="15"/>
    <n v="8"/>
    <n v="0.3745216521066333"/>
    <n v="7.3038616951505125E-2"/>
    <n v="0.50621792341195471"/>
    <n v="0.11276645636196557"/>
    <n v="119269.95300000001"/>
    <n v="0.11276645636196557"/>
  </r>
  <r>
    <s v="2008-07"/>
    <n v="110216.52899999999"/>
    <n v="89.492999999999995"/>
    <n v="1031.5809999999999"/>
    <n v="803.27200000000005"/>
    <n v="101837.054"/>
    <n v="6455.1289999999999"/>
    <n v="108292.183"/>
    <n v="177267.27799999999"/>
    <n v="35383.523000000001"/>
    <n v="218190.45300000001"/>
    <n v="11308.655000000001"/>
    <n v="85257.203999999998"/>
    <n v="18115.272000000001"/>
    <n v="114681.13099999999"/>
    <n v="103509.322"/>
    <n v="26061.08"/>
    <n v="48.392000000000003"/>
    <x v="15"/>
    <n v="7"/>
    <n v="0.39074672071009448"/>
    <n v="8.3025044180095264E-2"/>
    <n v="0.47439895090185269"/>
    <n v="0.11944188960458321"/>
    <n v="141883.755"/>
    <n v="0.11944188960458321"/>
  </r>
  <r>
    <s v="2008-06"/>
    <n v="102064.89599999999"/>
    <n v="113.044"/>
    <n v="994.36500000000001"/>
    <n v="771.03399999999999"/>
    <n v="91410.369000000006"/>
    <n v="8776.0840000000007"/>
    <n v="100186.45300000001"/>
    <n v="155695.54199999999"/>
    <n v="31844.345000000001"/>
    <n v="203578.144"/>
    <n v="11832.992"/>
    <n v="78179.186000000002"/>
    <n v="18559.445"/>
    <n v="108571.62299999999"/>
    <n v="95006.520999999993"/>
    <n v="24525.351999999999"/>
    <n v="48.445999999999998"/>
    <x v="15"/>
    <n v="6"/>
    <n v="0.3840254384085553"/>
    <n v="9.1166196111896955E-2"/>
    <n v="0.46668330466751867"/>
    <n v="0.12047143921304243"/>
    <n v="123851.19699999999"/>
    <n v="0.12047143921304243"/>
  </r>
  <r>
    <s v="2008-05"/>
    <n v="111452.784"/>
    <n v="4.71"/>
    <n v="988.55"/>
    <n v="816.70500000000004"/>
    <n v="102006.213"/>
    <n v="7636.6059999999998"/>
    <n v="109642.819"/>
    <n v="165612.09299999999"/>
    <n v="36211.839999999997"/>
    <n v="211847.856"/>
    <n v="9902.7279999999992"/>
    <n v="77957.053"/>
    <n v="20163.303"/>
    <n v="108023.084"/>
    <n v="103824.772"/>
    <n v="24301.884999999998"/>
    <n v="48.591999999999999"/>
    <x v="15"/>
    <n v="5"/>
    <n v="0.3679860371114636"/>
    <n v="9.5178225452515322E-2"/>
    <n v="0.49009120960846542"/>
    <n v="0.11471385860992617"/>
    <n v="129400.253"/>
    <n v="0.11471385860992617"/>
  </r>
  <r>
    <s v="2008-04"/>
    <n v="118529.398"/>
    <n v="75.361999999999995"/>
    <n v="983.89800000000002"/>
    <n v="809.54100000000005"/>
    <n v="109092.33500000001"/>
    <n v="7568.2610000000004"/>
    <n v="116660.59600000001"/>
    <n v="160390.997"/>
    <n v="29349.510999999999"/>
    <n v="246976.39"/>
    <n v="14159.634"/>
    <n v="81391.392000000007"/>
    <n v="38562.451999999997"/>
    <n v="134113.478"/>
    <n v="112862.913"/>
    <n v="30658.831999999999"/>
    <n v="48.558"/>
    <x v="15"/>
    <n v="4"/>
    <n v="0.32955130650342734"/>
    <n v="0.15613821223963956"/>
    <n v="0.45697855167451429"/>
    <n v="0.12413669177041578"/>
    <n v="131041.486"/>
    <n v="0.12413669177041578"/>
  </r>
  <r>
    <s v="2008-03"/>
    <n v="126649.189"/>
    <n v="103.623"/>
    <n v="1030.4179999999999"/>
    <n v="863.27200000000005"/>
    <n v="118281.86500000001"/>
    <n v="6370.0110000000004"/>
    <n v="124651.876"/>
    <n v="177978.81099999999"/>
    <n v="31350.618999999999"/>
    <n v="270502.46299999999"/>
    <n v="12900.52"/>
    <n v="80184.198000000004"/>
    <n v="55840.421999999999"/>
    <n v="148925.14000000001"/>
    <n v="121577.323"/>
    <n v="33584.684999999998"/>
    <n v="48.677"/>
    <x v="15"/>
    <n v="3"/>
    <n v="0.2964268683941706"/>
    <n v="0.20643221278173723"/>
    <n v="0.4494499667457742"/>
    <n v="0.12415666987845504"/>
    <n v="146628.19199999998"/>
    <n v="0.12415666987845504"/>
  </r>
  <r>
    <s v="2008-02"/>
    <n v="130114.745"/>
    <n v="117.754"/>
    <n v="946.68200000000002"/>
    <n v="747.75099999999998"/>
    <n v="123370.659"/>
    <n v="4931.8990000000003"/>
    <n v="128302.558"/>
    <n v="156832.25700000001"/>
    <n v="32451.953000000001"/>
    <n v="270565.27100000001"/>
    <n v="12758.057000000001"/>
    <n v="78381.547999999995"/>
    <n v="55467.889000000003"/>
    <n v="146607.49400000001"/>
    <n v="123957.776"/>
    <n v="33435.758999999998"/>
    <n v="48.689"/>
    <x v="15"/>
    <n v="2"/>
    <n v="0.28969552415320882"/>
    <n v="0.20500742314411816"/>
    <n v="0.45814370610779531"/>
    <n v="0.12357742320890842"/>
    <n v="124380.304"/>
    <n v="0.12357742320890842"/>
  </r>
  <r>
    <s v="2008-01"/>
    <n v="138764.04"/>
    <n v="235.50800000000001"/>
    <n v="1017.625"/>
    <n v="840.88400000000001"/>
    <n v="129923.352"/>
    <n v="6746.6710000000003"/>
    <n v="136670.02299999999"/>
    <n v="189172.50099999999"/>
    <n v="34251.292000000001"/>
    <n v="295414.52600000001"/>
    <n v="14481.017"/>
    <n v="87392.471999999994"/>
    <n v="61210.794999999998"/>
    <n v="163084.28399999999"/>
    <n v="132330.242"/>
    <n v="37410.811000000002"/>
    <n v="48.704999999999998"/>
    <x v="15"/>
    <n v="1"/>
    <n v="0.29582997553749268"/>
    <n v="0.20720306421221818"/>
    <n v="0.4479476476386946"/>
    <n v="0.12663835968580639"/>
    <n v="154921.20899999997"/>
    <n v="0.12663835968580639"/>
  </r>
  <r>
    <s v="2007-12"/>
    <n v="134399.027"/>
    <n v="362.68200000000002"/>
    <n v="1042.048"/>
    <n v="805.06299999999999"/>
    <n v="126925.84299999999"/>
    <n v="5263.3909999999996"/>
    <n v="132189.234"/>
    <n v="180983.31"/>
    <n v="29169.438999999998"/>
    <n v="294506.489"/>
    <n v="15259.138000000001"/>
    <n v="82471.819000000003"/>
    <n v="66294.604999999996"/>
    <n v="164025.56200000001"/>
    <n v="130480.927"/>
    <n v="37735.546000000002"/>
    <n v="48.777999999999999"/>
    <x v="16"/>
    <n v="12"/>
    <n v="0.28003396217188276"/>
    <n v="0.22510405534731698"/>
    <n v="0.44304941274146253"/>
    <n v="0.12813145859071379"/>
    <n v="151813.87099999998"/>
    <n v="0.12813145859071379"/>
  </r>
  <r>
    <s v="2007-11"/>
    <n v="119738.1"/>
    <n v="141.30500000000001"/>
    <n v="957.149"/>
    <n v="728.94500000000005"/>
    <n v="114099.296"/>
    <n v="3811.4059999999999"/>
    <n v="117910.702"/>
    <n v="175765.42"/>
    <n v="26925.355"/>
    <n v="275212.55499999999"/>
    <n v="14306.816999999999"/>
    <n v="87173.827999999994"/>
    <n v="56458.322999999997"/>
    <n v="157938.96799999999"/>
    <n v="117273.587"/>
    <n v="35919.968999999997"/>
    <n v="48.993000000000002"/>
    <x v="16"/>
    <n v="11"/>
    <n v="0.31675091276268263"/>
    <n v="0.20514443100170338"/>
    <n v="0.4261200474665845"/>
    <n v="0.13051718879612886"/>
    <n v="148840.065"/>
    <n v="0.13051718879612886"/>
  </r>
  <r>
    <s v="2007-10"/>
    <n v="123573.326"/>
    <n v="103.623"/>
    <n v="1024.6030000000001"/>
    <n v="922.375"/>
    <n v="117287.747"/>
    <n v="4234.9769999999999"/>
    <n v="121522.724"/>
    <n v="165332.14199999999"/>
    <n v="28660.468000000001"/>
    <n v="260656.75700000001"/>
    <n v="12925.528"/>
    <n v="92222.410999999993"/>
    <n v="37933.803999999996"/>
    <n v="143081.74299999999"/>
    <n v="117575.014"/>
    <n v="32655.129000000001"/>
    <n v="49.503"/>
    <x v="16"/>
    <n v="10"/>
    <n v="0.35380786618165433"/>
    <n v="0.1455316349232412"/>
    <n v="0.45107218916254677"/>
    <n v="0.12528019367631432"/>
    <n v="136671.674"/>
    <n v="0.12528019367631432"/>
  </r>
  <r>
    <s v="2007-09"/>
    <n v="112490.137"/>
    <n v="113.044"/>
    <n v="981.572"/>
    <n v="878.495"/>
    <n v="106219.091"/>
    <n v="4297.9340000000002"/>
    <n v="110517.02499999999"/>
    <n v="151879.36799999999"/>
    <n v="30300.431"/>
    <n v="218611.05100000001"/>
    <n v="12385.498"/>
    <n v="80089.994999999995"/>
    <n v="20924.487000000001"/>
    <n v="113399.97999999998"/>
    <n v="105211.071"/>
    <n v="25891.115000000002"/>
    <n v="49.813000000000002"/>
    <x v="16"/>
    <n v="9"/>
    <n v="0.36635840060985753"/>
    <n v="9.5715595823195596E-2"/>
    <n v="0.48127059688304591"/>
    <n v="0.11843461198125799"/>
    <n v="121578.93699999999"/>
    <n v="0.11843461198125799"/>
  </r>
  <r>
    <s v="2007-08"/>
    <n v="111732.963"/>
    <n v="207.24700000000001"/>
    <n v="1014.136"/>
    <n v="904.46500000000003"/>
    <n v="104203.57799999999"/>
    <n v="5403.5370000000003"/>
    <n v="109607.11499999999"/>
    <n v="162410.764"/>
    <n v="32280.322"/>
    <n v="209083.973"/>
    <n v="10327.732"/>
    <n v="81091.338000000003"/>
    <n v="15126.058999999999"/>
    <n v="106545.129"/>
    <n v="102538.84299999999"/>
    <n v="24383.823"/>
    <n v="49.886000000000003"/>
    <x v="16"/>
    <n v="8"/>
    <n v="0.38784100395873006"/>
    <n v="7.2344421157522196E-2"/>
    <n v="0.49041943066578325"/>
    <n v="0.11662215257407607"/>
    <n v="130130.442"/>
    <n v="0.11662215257407607"/>
  </r>
  <r>
    <s v="2007-07"/>
    <n v="110337.262"/>
    <n v="183.696"/>
    <n v="1022.277"/>
    <n v="904.46500000000003"/>
    <n v="101666.758"/>
    <n v="6560.0659999999998"/>
    <n v="108226.82400000001"/>
    <n v="163557.242"/>
    <n v="33107.919000000002"/>
    <n v="215134.853"/>
    <n v="11865.772999999999"/>
    <n v="82853.282999999996"/>
    <n v="17929.006000000001"/>
    <n v="112648.06200000001"/>
    <n v="102486.791"/>
    <n v="25546.862000000001"/>
    <n v="49.911999999999999"/>
    <x v="16"/>
    <n v="7"/>
    <n v="0.38512254915757416"/>
    <n v="8.3338453765090317E-2"/>
    <n v="0.47638394974523257"/>
    <n v="0.11874813236328564"/>
    <n v="130449.323"/>
    <n v="0.11874813236328564"/>
  </r>
  <r>
    <s v="2007-06"/>
    <n v="108273.86"/>
    <n v="211.95699999999999"/>
    <n v="1056.0039999999999"/>
    <n v="880.28599999999994"/>
    <n v="98523.769"/>
    <n v="7601.8440000000001"/>
    <n v="106125.613"/>
    <n v="148435.60800000001"/>
    <n v="31950.080000000002"/>
    <n v="207427.56"/>
    <n v="10852.75"/>
    <n v="78719.981"/>
    <n v="18482.431"/>
    <n v="108055.162"/>
    <n v="99372.398000000001"/>
    <n v="24465.072"/>
    <n v="49.935000000000002"/>
    <x v="16"/>
    <n v="6"/>
    <n v="0.37950589111687955"/>
    <n v="8.9103063257360796E-2"/>
    <n v="0.47907037039822481"/>
    <n v="0.11794513708785853"/>
    <n v="116485.52800000001"/>
    <n v="0.11794513708785853"/>
  </r>
  <r>
    <s v="2007-05"/>
    <n v="110085.739"/>
    <n v="155.435"/>
    <n v="985.06100000000004"/>
    <n v="817.601"/>
    <n v="101563.709"/>
    <n v="6563.933"/>
    <n v="108127.64200000001"/>
    <n v="155256.068"/>
    <n v="32957.269999999997"/>
    <n v="211099.552"/>
    <n v="12783.992"/>
    <n v="74454.096999999994"/>
    <n v="21392.838"/>
    <n v="108630.927"/>
    <n v="102468.624"/>
    <n v="24659.645"/>
    <n v="49.933"/>
    <x v="16"/>
    <n v="5"/>
    <n v="0.35269661301791866"/>
    <n v="0.10134004453026978"/>
    <n v="0.48540427030370958"/>
    <n v="0.11681524080164794"/>
    <n v="122298.79800000001"/>
    <n v="0.11681524080164794"/>
  </r>
  <r>
    <s v="2007-04"/>
    <n v="108352.60799999999"/>
    <n v="4.71"/>
    <n v="938.54100000000005"/>
    <n v="428.94900000000001"/>
    <n v="101333.36500000001"/>
    <n v="5647.0429999999997"/>
    <n v="106980.40800000001"/>
    <n v="183519.63"/>
    <n v="28885.767"/>
    <n v="218812.08600000001"/>
    <n v="13846.51"/>
    <n v="77126.671000000002"/>
    <n v="25502.333999999999"/>
    <n v="116475.515"/>
    <n v="102336.572"/>
    <n v="26537.357"/>
    <n v="50.064"/>
    <x v="16"/>
    <n v="4"/>
    <n v="0.35247902622709787"/>
    <n v="0.11654901914330271"/>
    <n v="0.46769158811456146"/>
    <n v="0.12127921032661787"/>
    <n v="154633.86300000001"/>
    <n v="0.12127921032661787"/>
  </r>
  <r>
    <s v="2007-03"/>
    <n v="126111.58100000001"/>
    <n v="160.14500000000001"/>
    <n v="996.69100000000003"/>
    <n v="871.33100000000002"/>
    <n v="116790.68799999999"/>
    <n v="7292.7250000000004"/>
    <n v="124083.413"/>
    <n v="135369.26"/>
    <n v="29887.923999999999"/>
    <n v="268657.44699999999"/>
    <n v="13602.045"/>
    <n v="83544.104999999996"/>
    <n v="53033.892999999996"/>
    <n v="150180.04300000001"/>
    <n v="118477.405"/>
    <n v="34049.375999999997"/>
    <n v="50.26"/>
    <x v="16"/>
    <n v="3"/>
    <n v="0.31096887852135363"/>
    <n v="0.19740339823894776"/>
    <n v="0.44099803047707814"/>
    <n v="0.12673899934737337"/>
    <n v="105481.33600000001"/>
    <n v="0.12673899934737337"/>
  </r>
  <r>
    <s v="2007-02"/>
    <n v="122525.001"/>
    <n v="174.27600000000001"/>
    <n v="815.26300000000003"/>
    <n v="817.601"/>
    <n v="114708.496"/>
    <n v="6009.366"/>
    <n v="120717.86199999999"/>
    <n v="156311.18700000001"/>
    <n v="29800.607"/>
    <n v="254002.43900000001"/>
    <n v="12300.99"/>
    <n v="75712.463000000003"/>
    <n v="50410.048999999999"/>
    <n v="138423.50200000001"/>
    <n v="115578.93700000001"/>
    <n v="31302.532999999999"/>
    <n v="49.859000000000002"/>
    <x v="16"/>
    <n v="2"/>
    <n v="0.29807770074207829"/>
    <n v="0.19846285413031012"/>
    <n v="0.45503081566866371"/>
    <n v="0.12323713553002535"/>
    <n v="126510.58"/>
    <n v="0.12323713553002535"/>
  </r>
  <r>
    <s v="2007-01"/>
    <n v="137613.291"/>
    <n v="169.565"/>
    <n v="951.33399999999995"/>
    <n v="859.69"/>
    <n v="129735.439"/>
    <n v="5897.2629999999999"/>
    <n v="135632.70199999999"/>
    <n v="161952.93599999999"/>
    <n v="32578.491000000002"/>
    <n v="288662.217"/>
    <n v="13295.251"/>
    <n v="86312.044999999998"/>
    <n v="58260.09"/>
    <n v="157867.386"/>
    <n v="130794.83100000001"/>
    <n v="35998.449999999997"/>
    <n v="49.317999999999998"/>
    <x v="16"/>
    <n v="1"/>
    <n v="0.29900707441736302"/>
    <n v="0.20182790323404187"/>
    <n v="0.45310686088162344"/>
    <n v="0.12470786919785902"/>
    <n v="129374.44499999998"/>
    <n v="0.12470786919785902"/>
  </r>
  <r>
    <s v="2006-12"/>
    <n v="135909.981"/>
    <n v="113.044"/>
    <n v="1102.5239999999999"/>
    <n v="895.51"/>
    <n v="128223.046"/>
    <n v="5575.8580000000002"/>
    <n v="133798.90400000001"/>
    <n v="178957.136"/>
    <n v="31156.244999999999"/>
    <n v="284765.78200000001"/>
    <n v="13192.781000000001"/>
    <n v="80769.187000000005"/>
    <n v="60946.62"/>
    <n v="154908.58800000002"/>
    <n v="129857.194"/>
    <n v="35428.468999999997"/>
    <n v="49.055999999999997"/>
    <x v="17"/>
    <n v="12"/>
    <n v="0.28363375133322727"/>
    <n v="0.2140236778869731"/>
    <n v="0.45601403752927028"/>
    <n v="0.12441266205221242"/>
    <n v="147800.891"/>
    <n v="0.12441266205221242"/>
  </r>
  <r>
    <s v="2006-11"/>
    <n v="124998.579"/>
    <n v="141.30500000000001"/>
    <n v="1032.7439999999999"/>
    <n v="903.57"/>
    <n v="118378.853"/>
    <n v="4542.1090000000004"/>
    <n v="122920.962"/>
    <n v="173524.13800000001"/>
    <n v="35951.339999999997"/>
    <n v="255848.484"/>
    <n v="12401.518"/>
    <n v="80081.854000000007"/>
    <n v="46945.321000000004"/>
    <n v="139428.693"/>
    <n v="116419.791"/>
    <n v="31483.846000000001"/>
    <n v="48.851999999999997"/>
    <x v="17"/>
    <n v="11"/>
    <n v="0.31300499712947294"/>
    <n v="0.18348875969888492"/>
    <n v="0.4550341248064616"/>
    <n v="0.12305660564320561"/>
    <n v="137572.79800000001"/>
    <n v="0.12305660564320561"/>
  </r>
  <r>
    <s v="2006-10"/>
    <n v="121162.333"/>
    <n v="150.72499999999999"/>
    <n v="1107.1759999999999"/>
    <n v="889.24099999999999"/>
    <n v="113681.039"/>
    <n v="5334.152"/>
    <n v="119015.19100000001"/>
    <n v="157907.08900000001"/>
    <n v="36606.58"/>
    <n v="237816.27600000001"/>
    <n v="11609.597"/>
    <n v="88130.976999999999"/>
    <n v="26380.829000000002"/>
    <n v="126121.40299999999"/>
    <n v="111694.87300000001"/>
    <n v="28988.845000000001"/>
    <n v="48.658000000000001"/>
    <x v="17"/>
    <n v="10"/>
    <n v="0.37058429507995488"/>
    <n v="0.11092945127103075"/>
    <n v="0.46966874966959787"/>
    <n v="0.12189596728863082"/>
    <n v="121300.50900000001"/>
    <n v="0.12189596728863082"/>
  </r>
  <r>
    <s v="2006-09"/>
    <n v="114458.77"/>
    <n v="141.30500000000001"/>
    <n v="1073.4490000000001"/>
    <n v="893.71900000000005"/>
    <n v="107807.25599999999"/>
    <n v="4543.0420000000004"/>
    <n v="112350.298"/>
    <n v="142411.247"/>
    <n v="35379.713000000003"/>
    <n v="218333.60200000001"/>
    <n v="11473.994000000001"/>
    <n v="83534.801000000007"/>
    <n v="17956.767"/>
    <n v="112965.56200000001"/>
    <n v="105368.041"/>
    <n v="26196.662"/>
    <n v="48.673000000000002"/>
    <x v="17"/>
    <n v="9"/>
    <n v="0.38260167118023364"/>
    <n v="8.2244633146298748E-2"/>
    <n v="0.48260112064655991"/>
    <n v="0.11998456380525431"/>
    <n v="107031.534"/>
    <n v="0.11998456380525431"/>
  </r>
  <r>
    <s v="2006-08"/>
    <n v="110901.17600000001"/>
    <n v="84.783000000000001"/>
    <n v="1075.7750000000001"/>
    <n v="936.70299999999997"/>
    <n v="104570.31"/>
    <n v="4233.6049999999996"/>
    <n v="108803.91499999999"/>
    <n v="169031.73"/>
    <n v="32420.968000000001"/>
    <n v="205959.902"/>
    <n v="9739.7669999999998"/>
    <n v="79623.631999999998"/>
    <n v="14904.868"/>
    <n v="104268.26700000001"/>
    <n v="101691.63499999999"/>
    <n v="23790.823"/>
    <n v="48.503999999999998"/>
    <x v="17"/>
    <n v="8"/>
    <n v="0.38659773687404453"/>
    <n v="7.2367814585578893E-2"/>
    <n v="0.49374482126137348"/>
    <n v="0.11551191648945337"/>
    <n v="136610.76200000002"/>
    <n v="0.11551191648945337"/>
  </r>
  <r>
    <s v="2006-07"/>
    <n v="111666.245"/>
    <n v="80.072999999999993"/>
    <n v="1057.1669999999999"/>
    <n v="808.64599999999996"/>
    <n v="105161.325"/>
    <n v="4559.0349999999999"/>
    <n v="109720.36"/>
    <n v="169210.19200000001"/>
    <n v="28126.521000000001"/>
    <n v="216462.47700000001"/>
    <n v="11306.918"/>
    <n v="83801.127999999997"/>
    <n v="16600.964"/>
    <n v="111709.01000000001"/>
    <n v="104753.466"/>
    <n v="25399.378000000001"/>
    <n v="48.423000000000002"/>
    <x v="17"/>
    <n v="7"/>
    <n v="0.38713928234314715"/>
    <n v="7.6692109552086468E-2"/>
    <n v="0.48393360111092137"/>
    <n v="0.11733847986965426"/>
    <n v="141083.671"/>
    <n v="0.11733847986965426"/>
  </r>
  <r>
    <s v="2006-06"/>
    <n v="112108.36199999999"/>
    <n v="146.01499999999999"/>
    <n v="1037.431"/>
    <n v="866.85400000000004"/>
    <n v="104758.223"/>
    <n v="5299.84"/>
    <n v="110058.06299999999"/>
    <n v="154440.36499999999"/>
    <n v="32235.62"/>
    <n v="215197.37899999999"/>
    <n v="10903.089"/>
    <n v="81957.773000000001"/>
    <n v="18224.524000000001"/>
    <n v="111085.386"/>
    <n v="104111.992"/>
    <n v="25252.600999999999"/>
    <n v="48.390999999999998"/>
    <x v="17"/>
    <n v="6"/>
    <n v="0.38084930857824251"/>
    <n v="8.4687481254128116E-2"/>
    <n v="0.48379767673657403"/>
    <n v="0.11734622938878823"/>
    <n v="122204.745"/>
    <n v="0.11734622938878823"/>
  </r>
  <r>
    <s v="2006-05"/>
    <n v="117520.095"/>
    <n v="131.88399999999999"/>
    <n v="1072.3440000000001"/>
    <n v="1022.672"/>
    <n v="108225.51300000001"/>
    <n v="7067.6819999999998"/>
    <n v="115293.19500000001"/>
    <n v="168405.913"/>
    <n v="33621.879000000001"/>
    <n v="218461.79800000001"/>
    <n v="8996.4230000000007"/>
    <n v="78922.540999999997"/>
    <n v="22488.942999999999"/>
    <n v="110407.90699999999"/>
    <n v="108053.89200000001"/>
    <n v="24578.92"/>
    <n v="48.41"/>
    <x v="17"/>
    <n v="5"/>
    <n v="0.361264723272121"/>
    <n v="0.10294222242004984"/>
    <n v="0.49461229830214987"/>
    <n v="0.1125090071812006"/>
    <n v="134784.03399999999"/>
    <n v="0.1125090071812006"/>
  </r>
  <r>
    <s v="2006-04"/>
    <n v="123736.288"/>
    <n v="174.27600000000001"/>
    <n v="1032.2560000000001"/>
    <n v="1032.5229999999999"/>
    <n v="114187.19"/>
    <n v="7310.0439999999999"/>
    <n v="121497.234"/>
    <n v="163221.45499999999"/>
    <n v="29584.988000000001"/>
    <n v="238140.07"/>
    <n v="10350.01"/>
    <n v="79326.486000000004"/>
    <n v="34215.646000000001"/>
    <n v="123892.14199999999"/>
    <n v="114247.929"/>
    <n v="27918.598999999998"/>
    <n v="48.265999999999998"/>
    <x v="17"/>
    <n v="4"/>
    <n v="0.33310851886454895"/>
    <n v="0.1436786593705125"/>
    <n v="0.47975096757131214"/>
    <n v="0.11723604095690406"/>
    <n v="133636.46699999998"/>
    <n v="0.11723604095690406"/>
  </r>
  <r>
    <s v="2006-03"/>
    <n v="121755.28200000001"/>
    <n v="343.84100000000001"/>
    <n v="1077.4849999999999"/>
    <n v="1011.926"/>
    <n v="112414.144"/>
    <n v="6907.8860000000004"/>
    <n v="119322.03"/>
    <n v="179226.821"/>
    <n v="28193.780999999999"/>
    <n v="283287.234"/>
    <n v="15349.493"/>
    <n v="90977.756999999998"/>
    <n v="60228.421000000002"/>
    <n v="166555.671"/>
    <n v="116731.564"/>
    <n v="38359.874000000003"/>
    <s v="48"/>
    <x v="17"/>
    <n v="3"/>
    <n v="0.32115021815631833"/>
    <n v="0.21260548931054196"/>
    <n v="0.41206079904045378"/>
    <n v="0.13540982224423145"/>
    <n v="151033.04"/>
    <n v="0.13540982224423145"/>
  </r>
  <r>
    <s v="2006-02"/>
    <n v="118526.47199999999"/>
    <n v="320.29000000000002"/>
    <n v="1017.171"/>
    <n v="968.04600000000005"/>
    <n v="111416.995"/>
    <n v="4803.9690000000001"/>
    <n v="116220.96399999999"/>
    <n v="161844.19099999999"/>
    <n v="28471.707999999999"/>
    <n v="277897.90000000002"/>
    <n v="15248.619000000001"/>
    <n v="83243.481"/>
    <n v="64140.008000000002"/>
    <n v="162632.10800000001"/>
    <n v="115265.792"/>
    <n v="37273.167000000001"/>
    <n v="48.151000000000003"/>
    <x v="17"/>
    <n v="2"/>
    <n v="0.29954699549726715"/>
    <n v="0.23080421982317964"/>
    <n v="0.41477748482446247"/>
    <n v="0.13412540001201881"/>
    <n v="133372.48300000001"/>
    <n v="0.13412540001201881"/>
  </r>
  <r>
    <s v="2006-01"/>
    <n v="142423.04800000001"/>
    <n v="301.45"/>
    <n v="1111.095"/>
    <n v="995.80700000000002"/>
    <n v="135581.94500000001"/>
    <n v="4432.7520000000004"/>
    <n v="140014.69700000001"/>
    <n v="188805.209"/>
    <n v="31481.670999999998"/>
    <n v="314157.56300000002"/>
    <n v="16054.939"/>
    <n v="89251.051000000007"/>
    <n v="71644.381999999998"/>
    <n v="176950.372"/>
    <n v="137207.19099999999"/>
    <n v="40714.197999999997"/>
    <n v="48.24"/>
    <x v="17"/>
    <n v="1"/>
    <n v="0.28409645831127101"/>
    <n v="0.22805238656629123"/>
    <n v="0.43674642013950171"/>
    <n v="0.12959801957720177"/>
    <n v="157323.538"/>
    <n v="0.12959801957720177"/>
  </r>
  <r>
    <m/>
    <m/>
    <m/>
    <m/>
    <m/>
    <m/>
    <m/>
    <n v="0"/>
    <m/>
    <m/>
    <m/>
    <m/>
    <m/>
    <m/>
    <n v="0"/>
    <m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FEFAC-5241-B248-85BF-17B2D9610A59}" name="Tableau croisé dynamique3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E21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>
      <items count="207">
        <item x="4"/>
        <item x="5"/>
        <item x="6"/>
        <item x="3"/>
        <item x="7"/>
        <item x="8"/>
        <item x="31"/>
        <item x="28"/>
        <item x="29"/>
        <item x="30"/>
        <item x="2"/>
        <item x="9"/>
        <item x="32"/>
        <item x="76"/>
        <item x="33"/>
        <item x="77"/>
        <item x="127"/>
        <item x="40"/>
        <item x="53"/>
        <item x="41"/>
        <item x="67"/>
        <item x="19"/>
        <item x="163"/>
        <item x="66"/>
        <item x="125"/>
        <item x="65"/>
        <item x="161"/>
        <item x="63"/>
        <item x="43"/>
        <item x="78"/>
        <item x="16"/>
        <item x="18"/>
        <item x="79"/>
        <item x="21"/>
        <item x="17"/>
        <item x="20"/>
        <item x="160"/>
        <item x="55"/>
        <item x="64"/>
        <item x="115"/>
        <item x="113"/>
        <item x="175"/>
        <item x="126"/>
        <item x="112"/>
        <item x="42"/>
        <item x="10"/>
        <item x="52"/>
        <item x="162"/>
        <item x="75"/>
        <item x="39"/>
        <item x="151"/>
        <item x="124"/>
        <item x="54"/>
        <item x="128"/>
        <item x="80"/>
        <item x="27"/>
        <item x="68"/>
        <item x="88"/>
        <item x="101"/>
        <item x="152"/>
        <item x="164"/>
        <item x="187"/>
        <item x="103"/>
        <item x="91"/>
        <item x="137"/>
        <item x="92"/>
        <item x="56"/>
        <item x="136"/>
        <item x="114"/>
        <item x="89"/>
        <item x="104"/>
        <item x="15"/>
        <item x="100"/>
        <item x="172"/>
        <item x="1"/>
        <item x="148"/>
        <item x="197"/>
        <item x="111"/>
        <item x="57"/>
        <item x="173"/>
        <item x="69"/>
        <item x="38"/>
        <item x="189"/>
        <item x="188"/>
        <item x="186"/>
        <item x="51"/>
        <item x="185"/>
        <item x="149"/>
        <item x="150"/>
        <item x="105"/>
        <item x="44"/>
        <item x="159"/>
        <item x="165"/>
        <item x="11"/>
        <item x="93"/>
        <item x="139"/>
        <item x="174"/>
        <item x="116"/>
        <item x="153"/>
        <item x="81"/>
        <item x="176"/>
        <item x="62"/>
        <item x="199"/>
        <item x="26"/>
        <item x="158"/>
        <item x="141"/>
        <item x="140"/>
        <item x="45"/>
        <item x="198"/>
        <item x="34"/>
        <item x="14"/>
        <item x="23"/>
        <item x="135"/>
        <item x="184"/>
        <item x="74"/>
        <item x="196"/>
        <item x="99"/>
        <item x="138"/>
        <item x="117"/>
        <item x="90"/>
        <item x="147"/>
        <item x="102"/>
        <item x="123"/>
        <item x="200"/>
        <item x="134"/>
        <item x="22"/>
        <item x="129"/>
        <item x="50"/>
        <item x="87"/>
        <item x="171"/>
        <item x="71"/>
        <item x="195"/>
        <item x="70"/>
        <item x="35"/>
        <item x="13"/>
        <item x="177"/>
        <item x="86"/>
        <item x="201"/>
        <item x="37"/>
        <item x="203"/>
        <item x="191"/>
        <item x="110"/>
        <item x="98"/>
        <item x="194"/>
        <item x="202"/>
        <item x="146"/>
        <item x="166"/>
        <item x="46"/>
        <item x="170"/>
        <item x="182"/>
        <item x="47"/>
        <item x="183"/>
        <item x="25"/>
        <item x="106"/>
        <item x="190"/>
        <item x="130"/>
        <item x="154"/>
        <item x="122"/>
        <item x="167"/>
        <item x="142"/>
        <item x="107"/>
        <item x="155"/>
        <item x="58"/>
        <item x="178"/>
        <item x="94"/>
        <item x="73"/>
        <item x="143"/>
        <item x="119"/>
        <item x="59"/>
        <item x="12"/>
        <item x="118"/>
        <item x="82"/>
        <item x="83"/>
        <item x="179"/>
        <item x="95"/>
        <item x="36"/>
        <item x="157"/>
        <item x="61"/>
        <item x="49"/>
        <item x="24"/>
        <item x="85"/>
        <item x="133"/>
        <item x="131"/>
        <item x="193"/>
        <item x="181"/>
        <item x="192"/>
        <item x="121"/>
        <item x="180"/>
        <item x="109"/>
        <item x="60"/>
        <item x="169"/>
        <item x="48"/>
        <item x="97"/>
        <item x="84"/>
        <item x="156"/>
        <item x="72"/>
        <item x="204"/>
        <item x="132"/>
        <item x="108"/>
        <item x="120"/>
        <item x="145"/>
        <item x="168"/>
        <item x="96"/>
        <item x="144"/>
        <item x="0"/>
        <item x="205"/>
        <item t="default"/>
      </items>
    </pivotField>
    <pivotField showAll="0"/>
    <pivotField showAll="0"/>
    <pivotField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nso charbon" fld="10" subtotal="average" baseField="0" baseItem="0"/>
    <dataField name="Conso pétrole" fld="11" subtotal="average" baseField="0" baseItem="0"/>
    <dataField name="Conso gaz" fld="12" subtotal="average" baseField="0" baseItem="0"/>
    <dataField name="Conso nucléaire + ENR" fld="13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10F86-FCF8-B647-8116-8C2C256266BD}" name="Tableau croisé dynamique2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oyenne des émissions CO2 (en kt)" fld="1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99886-274D-6143-850F-7F48E9494012}" name="Tableau croisé dynamique7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Imports total (en GWh)" fld="8" baseField="0" baseItem="0"/>
    <dataField name="Exports total (en GWh)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E2E7013-652B-1D44-A0A8-288C96C6D70D}" autoFormatId="16" applyNumberFormats="0" applyBorderFormats="0" applyFontFormats="0" applyPatternFormats="0" applyAlignmentFormats="0" applyWidthHeightFormats="0">
  <queryTableRefresh nextId="52" unboundColumnsRight="8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51" dataBound="0" tableColumnId="52"/>
      <queryTableField id="8" name="Column8" tableColumnId="8"/>
      <queryTableField id="15" name="Column15" tableColumnId="15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50" dataBound="0" tableColumnId="51"/>
      <queryTableField id="25" name="Column25" tableColumnId="25"/>
      <queryTableField id="26" name="Column26" tableColumnId="26"/>
      <queryTableField id="39" name="Column39" tableColumnId="39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</queryTableFields>
    <queryTableDeletedFields count="25">
      <deletedField name="Column9"/>
      <deletedField name="Column10"/>
      <deletedField name="Column11"/>
      <deletedField name="Column12"/>
      <deletedField name="Column13"/>
      <deletedField name="Column14"/>
      <deletedField name="Column16"/>
      <deletedField name="Column17"/>
      <deletedField name="Column18"/>
      <deletedField name="Column19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40"/>
      <deletedField name="Column41"/>
      <deletedField name="Column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97D33-03D9-6448-8090-77C949C7B67C}" name="_4_1_Synthese_toutes_energies_2026_04" displayName="_4_1_Synthese_toutes_energies_2026_04" ref="A1:Z207" tableType="queryTable" totalsRowShown="0">
  <autoFilter ref="A1:Z207" xr:uid="{12C97D33-03D9-6448-8090-77C949C7B67C}"/>
  <tableColumns count="26">
    <tableColumn id="1" xr3:uid="{52A94853-5954-CE4F-85A3-C3F36970A547}" uniqueName="1" name="Période" queryTableFieldId="1" dataDxfId="32"/>
    <tableColumn id="2" xr3:uid="{97F1720D-EEC1-C24A-9E92-BA70CA25B152}" uniqueName="2" name="1, Production totale" queryTableFieldId="2" dataDxfId="31"/>
    <tableColumn id="3" xr3:uid="{1FD3BA97-497A-FF40-9C25-267E65D48B9C}" uniqueName="3" name="1,1 Production charbon" queryTableFieldId="3" dataDxfId="30"/>
    <tableColumn id="4" xr3:uid="{2F82E599-2B0C-CC40-8859-43748F395216}" uniqueName="4" name="1,2 Production  pétrole" queryTableFieldId="4" dataDxfId="29"/>
    <tableColumn id="5" xr3:uid="{606FB1E9-9EFD-3445-B548-42601BBCA63D}" uniqueName="5" name="1,3 Production gaz" queryTableFieldId="5" dataDxfId="28"/>
    <tableColumn id="6" xr3:uid="{D399E061-1A01-634E-B622-E9208FEE4314}" uniqueName="6" name="1,4 Production nucléaire" queryTableFieldId="6" dataDxfId="27"/>
    <tableColumn id="7" xr3:uid="{1A497281-429D-B141-A14A-1876DA9B1222}" uniqueName="7" name="1,5 Production ENR" queryTableFieldId="7" dataDxfId="26"/>
    <tableColumn id="52" xr3:uid="{1C425F6E-10CC-E04D-8A7D-0FF8D9E2F89B}" uniqueName="52" name="Production nucléaire + ENR" queryTableFieldId="51" dataDxfId="0">
      <calculatedColumnFormula>SUM(F2,G2)</calculatedColumnFormula>
    </tableColumn>
    <tableColumn id="8" xr3:uid="{6772B6F9-AA4B-EA43-B35A-1C6437473094}" uniqueName="8" name="2,1 Imports total" queryTableFieldId="8" dataDxfId="25"/>
    <tableColumn id="15" xr3:uid="{5F8C6561-A188-D244-8365-810E33246CB7}" uniqueName="15" name="2,2 Exports total" queryTableFieldId="15" dataDxfId="24"/>
    <tableColumn id="21" xr3:uid="{13B94D4C-8866-E442-8D14-29DB158E4C2A}" uniqueName="21" name="4, Conso totale" queryTableFieldId="21" dataDxfId="23"/>
    <tableColumn id="22" xr3:uid="{7118946A-02D8-7143-9A8B-A26ED8BB9FDF}" uniqueName="22" name="4,1 Conso charbon" queryTableFieldId="22" dataDxfId="22"/>
    <tableColumn id="23" xr3:uid="{4C30537A-8FE1-9D40-A3D0-F06CB2B05583}" uniqueName="23" name="4,2 Conso pétrole" queryTableFieldId="23" dataDxfId="21"/>
    <tableColumn id="24" xr3:uid="{E95C2F7C-1270-954D-ABE7-0D2E670FDDE1}" uniqueName="24" name="4,3 Conso gaz" queryTableFieldId="24" dataDxfId="20"/>
    <tableColumn id="51" xr3:uid="{DB6F387A-4ABC-D043-BB27-CF7706055244}" uniqueName="51" name="Conso fossiles" queryTableFieldId="50" dataDxfId="1">
      <calculatedColumnFormula>SUM(L2,M2,N2)</calculatedColumnFormula>
    </tableColumn>
    <tableColumn id="25" xr3:uid="{A052ACDB-343A-EA47-8DBE-54D913FE2FDD}" uniqueName="25" name="4,4 Conso nucléaire + ENR" queryTableFieldId="25" dataDxfId="19"/>
    <tableColumn id="26" xr3:uid="{235948AE-398C-9E41-990D-3F069A37BC69}" uniqueName="26" name="5, Emissions CO2" queryTableFieldId="26" dataDxfId="18"/>
    <tableColumn id="39" xr3:uid="{805227B7-3BE2-794E-9B13-B96065680237}" uniqueName="39" name="10, Taux d'indépendance" queryTableFieldId="39" dataDxfId="17"/>
    <tableColumn id="42" xr3:uid="{46087132-B1DA-6D40-8B4D-94B72DE3B0E2}" uniqueName="42" name="Année" queryTableFieldId="42" dataDxfId="16"/>
    <tableColumn id="43" xr3:uid="{03B3A63B-7C1E-A74F-B5F1-3E9A14FDF899}" uniqueName="43" name="Mois" queryTableFieldId="43" dataDxfId="15"/>
    <tableColumn id="44" xr3:uid="{F598B3F6-7A1A-B248-A8FB-267326232CA5}" uniqueName="44" name="Part charbon" queryTableFieldId="44" dataDxfId="14"/>
    <tableColumn id="45" xr3:uid="{CBC4AC52-C67E-1F46-A847-10DE9EAC99D5}" uniqueName="45" name="Part pétrole" queryTableFieldId="45" dataDxfId="13"/>
    <tableColumn id="46" xr3:uid="{4FD302F8-D807-C74A-9CC6-5C5F1ADCE928}" uniqueName="46" name="Part Gaz" queryTableFieldId="46" dataDxfId="12"/>
    <tableColumn id="47" xr3:uid="{9B384899-8163-6B47-8B8A-FD16BE670E0F}" uniqueName="47" name="Part Nucléaire ENR" queryTableFieldId="47" dataDxfId="11"/>
    <tableColumn id="48" xr3:uid="{D448A838-7DAA-BA4F-AD02-9D8A1D7B9BAE}" uniqueName="48" name="Solde commercial" queryTableFieldId="48" dataDxfId="10"/>
    <tableColumn id="49" xr3:uid="{13011A60-D0FC-4044-A3B1-D3A08E170F56}" uniqueName="49" name="CO2 par GWh" queryTableFieldId="49" dataDxfId="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BF7B3-8A38-8F4D-93BF-19705F03E4EB}" name="Tableau2" displayName="Tableau2" ref="A1:E10" totalsRowShown="0" headerRowDxfId="8" dataDxfId="2">
  <autoFilter ref="A1:E10" xr:uid="{7D1BF7B3-8A38-8F4D-93BF-19705F03E4EB}"/>
  <tableColumns count="5">
    <tableColumn id="1" xr3:uid="{7A07647D-E70A-3D47-A187-8E4A2358170E}" name="Colonne1" dataDxfId="7"/>
    <tableColumn id="2" xr3:uid="{4D65255F-65A0-5F41-8A01-0D2023E1AE1A}" name="Conso_Totale" dataDxfId="6"/>
    <tableColumn id="3" xr3:uid="{382F208A-A776-0C4C-9D4D-B51380DA2E74}" name="Emissions_CO2" dataDxfId="5">
      <calculatedColumnFormula>AVERAGE('4 1 Synthese-toutes-energies 20'!Q:Q)</calculatedColumnFormula>
    </tableColumn>
    <tableColumn id="4" xr3:uid="{75DD3286-FDB6-7840-B749-532BE6823EE6}" name="Taux_Independance" dataDxfId="4">
      <calculatedColumnFormula>AVERAGE('4 1 Synthese-toutes-energies 20'!R:R)</calculatedColumnFormula>
    </tableColumn>
    <tableColumn id="5" xr3:uid="{7E65FE05-D5B4-E94C-A820-F5A5026B36AF}" name="Imports_Total" dataDxfId="3">
      <calculatedColumnFormula>_xleta.AVERAGE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254592-2CC0-E245-B160-AFBBF97DCC88}" name="Tableau3" displayName="Tableau3" ref="A1:D5" totalsRowShown="0">
  <autoFilter ref="A1:D5" xr:uid="{CC254592-2CC0-E245-B160-AFBBF97DCC88}"/>
  <tableColumns count="4">
    <tableColumn id="1" xr3:uid="{B16A6655-D413-974B-AECF-2D9C5A1B6CDA}" name="Colonne1"/>
    <tableColumn id="2" xr3:uid="{5BB4AD60-77CB-5F40-9D97-E0FA1B1D96C5}" name="Consommation totale - Emission CO2"/>
    <tableColumn id="3" xr3:uid="{456C1BBF-2A69-614F-8001-9EA3B21A7C56}" name="Consommation fossiles - CO2"/>
    <tableColumn id="4" xr3:uid="{FF691563-F3DF-9040-BAB0-DB32FA466353}" name="Production nucléaire + ENR - Indépen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7F34-3440-4641-A7A1-9A15E4278BF8}">
  <dimension ref="A1:Z207"/>
  <sheetViews>
    <sheetView zoomScale="141" workbookViewId="0">
      <pane xSplit="1" ySplit="1" topLeftCell="E2" activePane="bottomRight" state="frozen"/>
      <selection pane="topRight" activeCell="B1" sqref="B1"/>
      <selection pane="bottomLeft" activeCell="A3" sqref="A3"/>
      <selection pane="bottomRight" activeCell="D12" sqref="D12"/>
    </sheetView>
  </sheetViews>
  <sheetFormatPr baseColWidth="10" defaultRowHeight="16" x14ac:dyDescent="0.2"/>
  <cols>
    <col min="1" max="1" width="11.1640625" bestFit="1" customWidth="1"/>
    <col min="2" max="2" width="17.1640625" bestFit="1" customWidth="1"/>
    <col min="3" max="3" width="20" bestFit="1" customWidth="1"/>
    <col min="4" max="4" width="29.6640625" bestFit="1" customWidth="1"/>
    <col min="5" max="5" width="15.83203125" bestFit="1" customWidth="1"/>
    <col min="6" max="6" width="20.83203125" bestFit="1" customWidth="1"/>
    <col min="7" max="7" width="16.83203125" bestFit="1" customWidth="1"/>
    <col min="8" max="8" width="26.5" bestFit="1" customWidth="1"/>
    <col min="9" max="9" width="17.1640625" bestFit="1" customWidth="1"/>
    <col min="10" max="10" width="15.83203125" bestFit="1" customWidth="1"/>
    <col min="11" max="11" width="13.83203125" bestFit="1" customWidth="1"/>
    <col min="12" max="12" width="16.33203125" bestFit="1" customWidth="1"/>
    <col min="13" max="13" width="18.83203125" bestFit="1" customWidth="1"/>
    <col min="14" max="14" width="16.83203125" bestFit="1" customWidth="1"/>
    <col min="15" max="15" width="16" bestFit="1" customWidth="1"/>
    <col min="16" max="16" width="22.6640625" bestFit="1" customWidth="1"/>
    <col min="17" max="17" width="15" bestFit="1" customWidth="1"/>
    <col min="18" max="18" width="21.1640625" bestFit="1" customWidth="1"/>
    <col min="19" max="19" width="5.83203125" customWidth="1"/>
    <col min="20" max="20" width="4.83203125" customWidth="1"/>
    <col min="23" max="23" width="7.5" customWidth="1"/>
    <col min="24" max="24" width="16.33203125" customWidth="1"/>
    <col min="25" max="25" width="15.6640625" customWidth="1"/>
    <col min="26" max="26" width="12.1640625" bestFit="1" customWidth="1"/>
  </cols>
  <sheetData>
    <row r="1" spans="1:26" x14ac:dyDescent="0.2">
      <c r="A1" t="s">
        <v>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280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276</v>
      </c>
      <c r="P1" t="s">
        <v>243</v>
      </c>
      <c r="Q1" t="s">
        <v>244</v>
      </c>
      <c r="R1" t="s">
        <v>245</v>
      </c>
      <c r="S1" t="s">
        <v>228</v>
      </c>
      <c r="T1" t="s">
        <v>229</v>
      </c>
      <c r="U1" t="s">
        <v>230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</row>
    <row r="2" spans="1:2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  <c r="P2" s="1" t="s">
        <v>14</v>
      </c>
      <c r="Q2" s="1" t="s">
        <v>15</v>
      </c>
      <c r="R2" s="1" t="s">
        <v>16</v>
      </c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18</v>
      </c>
      <c r="B3" s="1">
        <v>100729.474</v>
      </c>
      <c r="C3" s="1" t="s">
        <v>17</v>
      </c>
      <c r="D3" s="1">
        <v>574.57399999999996</v>
      </c>
      <c r="E3" s="1">
        <v>643.50400000000002</v>
      </c>
      <c r="F3" s="1">
        <v>89307.744000000006</v>
      </c>
      <c r="G3" s="1">
        <v>10203.652</v>
      </c>
      <c r="H3" s="1">
        <f t="shared" ref="H2:H65" si="0">SUM(F3,G3)</f>
        <v>99511.396000000008</v>
      </c>
      <c r="I3" s="1">
        <v>130729.58900000001</v>
      </c>
      <c r="J3" s="1">
        <v>26816.958999999999</v>
      </c>
      <c r="K3" s="1">
        <v>224335.889</v>
      </c>
      <c r="L3" s="1">
        <v>6656.9560000000001</v>
      </c>
      <c r="M3" s="1">
        <v>65321.358</v>
      </c>
      <c r="N3" s="1">
        <v>50955.447999999997</v>
      </c>
      <c r="O3" s="1">
        <f t="shared" ref="O3:O65" si="1">SUM(L3,M3,N3)</f>
        <v>122933.76199999999</v>
      </c>
      <c r="P3" s="1">
        <v>101402.12699999999</v>
      </c>
      <c r="Q3" s="1">
        <v>28473.823</v>
      </c>
      <c r="R3" s="1">
        <v>44.884</v>
      </c>
      <c r="S3" s="1">
        <f>LEFT(A3,4)*1</f>
        <v>2022</v>
      </c>
      <c r="T3" s="1">
        <f>RIGHT(A3,2)*1</f>
        <v>12</v>
      </c>
      <c r="U3" s="2">
        <f>M3/K3</f>
        <v>0.2911765847683872</v>
      </c>
      <c r="V3" s="2">
        <f>N3/K3</f>
        <v>0.22713908250320125</v>
      </c>
      <c r="W3" s="2">
        <f>P3/K3</f>
        <v>0.4520102755382131</v>
      </c>
      <c r="X3" s="2">
        <f>Q3/K3</f>
        <v>0.12692495671078291</v>
      </c>
      <c r="Y3" s="1">
        <f>I3-J3</f>
        <v>103912.63</v>
      </c>
      <c r="Z3" s="1">
        <f>_4_1_Synthese_toutes_energies_2026_04[[#This Row],[5, Emissions CO2]]/_4_1_Synthese_toutes_energies_2026_04[[#This Row],[4, Conso totale]]</f>
        <v>0.12692495671078291</v>
      </c>
    </row>
    <row r="4" spans="1:26" x14ac:dyDescent="0.2">
      <c r="A4" s="1" t="s">
        <v>19</v>
      </c>
      <c r="B4" s="1">
        <v>80137.476999999999</v>
      </c>
      <c r="C4" s="1" t="s">
        <v>17</v>
      </c>
      <c r="D4" s="1">
        <v>550.34500000000003</v>
      </c>
      <c r="E4" s="1">
        <v>600.21699999999998</v>
      </c>
      <c r="F4" s="1">
        <v>69562.288</v>
      </c>
      <c r="G4" s="1">
        <v>9424.6270000000004</v>
      </c>
      <c r="H4" s="1">
        <f t="shared" si="0"/>
        <v>78986.915000000008</v>
      </c>
      <c r="I4" s="1">
        <v>119824.842</v>
      </c>
      <c r="J4" s="1">
        <v>21738.483</v>
      </c>
      <c r="K4" s="1">
        <v>185934.117</v>
      </c>
      <c r="L4" s="1">
        <v>5209.0200000000004</v>
      </c>
      <c r="M4" s="1">
        <v>64279.273999999998</v>
      </c>
      <c r="N4" s="1">
        <v>36381.572999999997</v>
      </c>
      <c r="O4" s="1">
        <f t="shared" si="1"/>
        <v>105869.867</v>
      </c>
      <c r="P4" s="1">
        <v>80064.25</v>
      </c>
      <c r="Q4" s="1">
        <v>24742.311000000002</v>
      </c>
      <c r="R4" s="1">
        <v>44.923999999999999</v>
      </c>
      <c r="S4" s="1">
        <f>LEFT(A4,4)*1</f>
        <v>2022</v>
      </c>
      <c r="T4" s="1">
        <f>RIGHT(A4,2)*1</f>
        <v>11</v>
      </c>
      <c r="U4" s="2">
        <f>M4/K4</f>
        <v>0.34570994843297098</v>
      </c>
      <c r="V4" s="2">
        <f>N4/K4</f>
        <v>0.19566916274972815</v>
      </c>
      <c r="W4" s="2">
        <f>P4/K4</f>
        <v>0.43060548161798623</v>
      </c>
      <c r="X4" s="2">
        <f>Q4/K4</f>
        <v>0.13307031221171745</v>
      </c>
      <c r="Y4" s="1">
        <f t="shared" ref="Y4:Y67" si="2">I4-J4</f>
        <v>98086.358999999997</v>
      </c>
      <c r="Z4" s="1">
        <f>_4_1_Synthese_toutes_energies_2026_04[[#This Row],[5, Emissions CO2]]/_4_1_Synthese_toutes_energies_2026_04[[#This Row],[4, Conso totale]]</f>
        <v>0.13307031221171745</v>
      </c>
    </row>
    <row r="5" spans="1:26" x14ac:dyDescent="0.2">
      <c r="A5" s="1" t="s">
        <v>20</v>
      </c>
      <c r="B5" s="1">
        <v>74126.176999999996</v>
      </c>
      <c r="C5" s="1" t="s">
        <v>17</v>
      </c>
      <c r="D5" s="1">
        <v>557.19500000000005</v>
      </c>
      <c r="E5" s="1">
        <v>607.10799999999995</v>
      </c>
      <c r="F5" s="1">
        <v>65057.226000000002</v>
      </c>
      <c r="G5" s="1">
        <v>7904.6480000000001</v>
      </c>
      <c r="H5" s="1">
        <f t="shared" si="0"/>
        <v>72961.873999999996</v>
      </c>
      <c r="I5" s="1">
        <v>120497.702</v>
      </c>
      <c r="J5" s="1">
        <v>21895.121999999999</v>
      </c>
      <c r="K5" s="1">
        <v>165831.72200000001</v>
      </c>
      <c r="L5" s="1">
        <v>4562.098</v>
      </c>
      <c r="M5" s="1">
        <v>64631.362000000001</v>
      </c>
      <c r="N5" s="1">
        <v>23400.723000000002</v>
      </c>
      <c r="O5" s="1">
        <f t="shared" si="1"/>
        <v>92594.183000000005</v>
      </c>
      <c r="P5" s="1">
        <v>73237.539000000004</v>
      </c>
      <c r="Q5" s="1">
        <v>21862.687000000002</v>
      </c>
      <c r="R5" s="1">
        <v>45.116</v>
      </c>
      <c r="S5" s="1">
        <f>LEFT(A5,4)*1</f>
        <v>2022</v>
      </c>
      <c r="T5" s="1">
        <f>RIGHT(A5,2)*1</f>
        <v>10</v>
      </c>
      <c r="U5" s="2">
        <f>M5/K5</f>
        <v>0.38974064322868213</v>
      </c>
      <c r="V5" s="2">
        <f>N5/K5</f>
        <v>0.14111125855642986</v>
      </c>
      <c r="W5" s="2">
        <f>P5/K5</f>
        <v>0.44163769221427973</v>
      </c>
      <c r="X5" s="2">
        <f>Q5/K5</f>
        <v>0.13183657949351812</v>
      </c>
      <c r="Y5" s="1">
        <f t="shared" si="2"/>
        <v>98602.58</v>
      </c>
      <c r="Z5" s="1">
        <f>_4_1_Synthese_toutes_energies_2026_04[[#This Row],[5, Emissions CO2]]/_4_1_Synthese_toutes_energies_2026_04[[#This Row],[4, Conso totale]]</f>
        <v>0.13183657949351812</v>
      </c>
    </row>
    <row r="6" spans="1:26" x14ac:dyDescent="0.2">
      <c r="A6" s="1" t="s">
        <v>21</v>
      </c>
      <c r="B6" s="1">
        <v>66361.959000000003</v>
      </c>
      <c r="C6" s="1" t="s">
        <v>17</v>
      </c>
      <c r="D6" s="1">
        <v>523.09199999999998</v>
      </c>
      <c r="E6" s="1">
        <v>565.24599999999998</v>
      </c>
      <c r="F6" s="1">
        <v>58600.02</v>
      </c>
      <c r="G6" s="1">
        <v>6673.6</v>
      </c>
      <c r="H6" s="1">
        <f t="shared" si="0"/>
        <v>65273.619999999995</v>
      </c>
      <c r="I6" s="1">
        <v>112550.966</v>
      </c>
      <c r="J6" s="1">
        <v>22588.885999999999</v>
      </c>
      <c r="K6" s="1">
        <v>165414.25899999999</v>
      </c>
      <c r="L6" s="1">
        <v>4621.0479999999998</v>
      </c>
      <c r="M6" s="1">
        <v>72503.498000000007</v>
      </c>
      <c r="N6" s="1">
        <v>19697.257000000001</v>
      </c>
      <c r="O6" s="1">
        <f t="shared" si="1"/>
        <v>96821.803</v>
      </c>
      <c r="P6" s="1">
        <v>68592.455000000002</v>
      </c>
      <c r="Q6" s="1">
        <v>22735.098999999998</v>
      </c>
      <c r="R6" s="1">
        <v>45.558</v>
      </c>
      <c r="S6" s="1">
        <f>LEFT(A6,4)*1</f>
        <v>2022</v>
      </c>
      <c r="T6" s="1">
        <f>RIGHT(A6,2)*1</f>
        <v>9</v>
      </c>
      <c r="U6" s="2">
        <f>M6/K6</f>
        <v>0.4383146799938209</v>
      </c>
      <c r="V6" s="2">
        <f>N6/K6</f>
        <v>0.11907834982956338</v>
      </c>
      <c r="W6" s="2">
        <f>P6/K6</f>
        <v>0.41467075096591283</v>
      </c>
      <c r="X6" s="2">
        <f>Q6/K6</f>
        <v>0.13744340504526881</v>
      </c>
      <c r="Y6" s="1">
        <f t="shared" si="2"/>
        <v>89962.08</v>
      </c>
      <c r="Z6" s="1">
        <f>_4_1_Synthese_toutes_energies_2026_04[[#This Row],[5, Emissions CO2]]/_4_1_Synthese_toutes_energies_2026_04[[#This Row],[4, Conso totale]]</f>
        <v>0.13744340504526881</v>
      </c>
    </row>
    <row r="7" spans="1:26" x14ac:dyDescent="0.2">
      <c r="A7" s="1" t="s">
        <v>22</v>
      </c>
      <c r="B7" s="1">
        <v>66789.792000000001</v>
      </c>
      <c r="C7" s="1" t="s">
        <v>17</v>
      </c>
      <c r="D7" s="1">
        <v>532.48599999999999</v>
      </c>
      <c r="E7" s="1">
        <v>544.08699999999999</v>
      </c>
      <c r="F7" s="1">
        <v>58554.053999999996</v>
      </c>
      <c r="G7" s="1">
        <v>7159.165</v>
      </c>
      <c r="H7" s="1">
        <f t="shared" si="0"/>
        <v>65713.218999999997</v>
      </c>
      <c r="I7" s="1">
        <v>122051.077</v>
      </c>
      <c r="J7" s="1">
        <v>23696.690999999999</v>
      </c>
      <c r="K7" s="1">
        <v>158116.21</v>
      </c>
      <c r="L7" s="1">
        <v>5188.1959999999999</v>
      </c>
      <c r="M7" s="1">
        <v>68438.407000000007</v>
      </c>
      <c r="N7" s="1">
        <v>15562.08</v>
      </c>
      <c r="O7" s="1">
        <f t="shared" si="1"/>
        <v>89188.683000000005</v>
      </c>
      <c r="P7" s="1">
        <v>68927.525999999998</v>
      </c>
      <c r="Q7" s="1">
        <v>20885.91</v>
      </c>
      <c r="R7" s="1">
        <v>46.484999999999999</v>
      </c>
      <c r="S7" s="1">
        <f>LEFT(A7,4)*1</f>
        <v>2022</v>
      </c>
      <c r="T7" s="1">
        <f>RIGHT(A7,2)*1</f>
        <v>8</v>
      </c>
      <c r="U7" s="2">
        <f>M7/K7</f>
        <v>0.43283612097709662</v>
      </c>
      <c r="V7" s="2">
        <f>N7/K7</f>
        <v>9.8421787367658262E-2</v>
      </c>
      <c r="W7" s="2">
        <f>P7/K7</f>
        <v>0.43592953562446257</v>
      </c>
      <c r="X7" s="2">
        <f>Q7/K7</f>
        <v>0.13209214918571602</v>
      </c>
      <c r="Y7" s="1">
        <f t="shared" si="2"/>
        <v>98354.385999999999</v>
      </c>
      <c r="Z7" s="1">
        <f>_4_1_Synthese_toutes_energies_2026_04[[#This Row],[5, Emissions CO2]]/_4_1_Synthese_toutes_energies_2026_04[[#This Row],[4, Conso totale]]</f>
        <v>0.13209214918571602</v>
      </c>
    </row>
    <row r="8" spans="1:26" x14ac:dyDescent="0.2">
      <c r="A8" s="1" t="s">
        <v>23</v>
      </c>
      <c r="B8" s="1">
        <v>69544.398000000001</v>
      </c>
      <c r="C8" s="1" t="s">
        <v>17</v>
      </c>
      <c r="D8" s="1">
        <v>560.08199999999999</v>
      </c>
      <c r="E8" s="1">
        <v>532.22699999999998</v>
      </c>
      <c r="F8" s="1">
        <v>60385.593000000001</v>
      </c>
      <c r="G8" s="1">
        <v>8066.4960000000001</v>
      </c>
      <c r="H8" s="1">
        <f t="shared" si="0"/>
        <v>68452.089000000007</v>
      </c>
      <c r="I8" s="1">
        <v>134363.01699999999</v>
      </c>
      <c r="J8" s="1">
        <v>22052.258999999998</v>
      </c>
      <c r="K8" s="1">
        <v>163971.58799999999</v>
      </c>
      <c r="L8" s="1">
        <v>4928.9380000000001</v>
      </c>
      <c r="M8" s="1">
        <v>70255.578999999998</v>
      </c>
      <c r="N8" s="1">
        <v>17118.994999999999</v>
      </c>
      <c r="O8" s="1">
        <f t="shared" si="1"/>
        <v>92303.511999999988</v>
      </c>
      <c r="P8" s="1">
        <v>71668.076000000001</v>
      </c>
      <c r="Q8" s="1">
        <v>20873.255000000001</v>
      </c>
      <c r="R8" s="1">
        <v>47.468000000000004</v>
      </c>
      <c r="S8" s="1">
        <f>LEFT(A8,4)*1</f>
        <v>2022</v>
      </c>
      <c r="T8" s="1">
        <f>RIGHT(A8,2)*1</f>
        <v>7</v>
      </c>
      <c r="U8" s="2">
        <f>M8/K8</f>
        <v>0.42846190524177885</v>
      </c>
      <c r="V8" s="2">
        <f>N8/K8</f>
        <v>0.10440220289871194</v>
      </c>
      <c r="W8" s="2">
        <f>P8/K8</f>
        <v>0.4370761841984479</v>
      </c>
      <c r="X8" s="2">
        <f>Q8/K8</f>
        <v>0.12729799872402286</v>
      </c>
      <c r="Y8" s="1">
        <f t="shared" si="2"/>
        <v>112310.758</v>
      </c>
      <c r="Z8" s="1">
        <f>_4_1_Synthese_toutes_energies_2026_04[[#This Row],[5, Emissions CO2]]/_4_1_Synthese_toutes_energies_2026_04[[#This Row],[4, Conso totale]]</f>
        <v>0.12729799872402286</v>
      </c>
    </row>
    <row r="9" spans="1:26" x14ac:dyDescent="0.2">
      <c r="A9" s="1" t="s">
        <v>24</v>
      </c>
      <c r="B9" s="1">
        <v>73797.804000000004</v>
      </c>
      <c r="C9" s="1" t="s">
        <v>17</v>
      </c>
      <c r="D9" s="1">
        <v>589.51199999999994</v>
      </c>
      <c r="E9" s="1">
        <v>488.93</v>
      </c>
      <c r="F9" s="1">
        <v>64482.038</v>
      </c>
      <c r="G9" s="1">
        <v>8237.3240000000005</v>
      </c>
      <c r="H9" s="1">
        <f t="shared" si="0"/>
        <v>72719.361999999994</v>
      </c>
      <c r="I9" s="1">
        <v>112713.85</v>
      </c>
      <c r="J9" s="1">
        <v>19913.378000000001</v>
      </c>
      <c r="K9" s="1">
        <v>163881.63399999999</v>
      </c>
      <c r="L9" s="1">
        <v>5162.2550000000001</v>
      </c>
      <c r="M9" s="1">
        <v>67846.447</v>
      </c>
      <c r="N9" s="1">
        <v>17090.107</v>
      </c>
      <c r="O9" s="1">
        <f t="shared" si="1"/>
        <v>90098.809000000008</v>
      </c>
      <c r="P9" s="1">
        <v>73782.823999999993</v>
      </c>
      <c r="Q9" s="1">
        <v>20464.407999999999</v>
      </c>
      <c r="R9" s="1">
        <v>48.308</v>
      </c>
      <c r="S9" s="1">
        <f>LEFT(A9,4)*1</f>
        <v>2022</v>
      </c>
      <c r="T9" s="1">
        <f>RIGHT(A9,2)*1</f>
        <v>6</v>
      </c>
      <c r="U9" s="2">
        <f>M9/K9</f>
        <v>0.41399664711666229</v>
      </c>
      <c r="V9" s="2">
        <f>N9/K9</f>
        <v>0.10428323530140053</v>
      </c>
      <c r="W9" s="2">
        <f>P9/K9</f>
        <v>0.45022021198543821</v>
      </c>
      <c r="X9" s="2">
        <f>Q9/K9</f>
        <v>0.12487310200971026</v>
      </c>
      <c r="Y9" s="1">
        <f t="shared" si="2"/>
        <v>92800.472000000009</v>
      </c>
      <c r="Z9" s="1">
        <f>_4_1_Synthese_toutes_energies_2026_04[[#This Row],[5, Emissions CO2]]/_4_1_Synthese_toutes_energies_2026_04[[#This Row],[4, Conso totale]]</f>
        <v>0.12487310200971026</v>
      </c>
    </row>
    <row r="10" spans="1:26" x14ac:dyDescent="0.2">
      <c r="A10" s="1" t="s">
        <v>25</v>
      </c>
      <c r="B10" s="1">
        <v>76443.365999999995</v>
      </c>
      <c r="C10" s="1" t="s">
        <v>17</v>
      </c>
      <c r="D10" s="1">
        <v>612.83399999999995</v>
      </c>
      <c r="E10" s="1">
        <v>523.15200000000004</v>
      </c>
      <c r="F10" s="1">
        <v>65809.978000000003</v>
      </c>
      <c r="G10" s="1">
        <v>9497.402</v>
      </c>
      <c r="H10" s="1">
        <f t="shared" si="0"/>
        <v>75307.38</v>
      </c>
      <c r="I10" s="1">
        <v>131307.204</v>
      </c>
      <c r="J10" s="1">
        <v>23566.460999999999</v>
      </c>
      <c r="K10" s="1">
        <v>165071.61799999999</v>
      </c>
      <c r="L10" s="1">
        <v>5304.9650000000001</v>
      </c>
      <c r="M10" s="1">
        <v>64846.254000000001</v>
      </c>
      <c r="N10" s="1">
        <v>20233.866000000002</v>
      </c>
      <c r="O10" s="1">
        <f t="shared" si="1"/>
        <v>90385.084999999992</v>
      </c>
      <c r="P10" s="1">
        <v>74686.534</v>
      </c>
      <c r="Q10" s="1">
        <v>21017.409</v>
      </c>
      <c r="R10" s="1">
        <v>48.945</v>
      </c>
      <c r="S10" s="1">
        <f>LEFT(A10,4)*1</f>
        <v>2022</v>
      </c>
      <c r="T10" s="1">
        <f>RIGHT(A10,2)*1</f>
        <v>5</v>
      </c>
      <c r="U10" s="2">
        <f>M10/K10</f>
        <v>0.39283708965644237</v>
      </c>
      <c r="V10" s="2">
        <f>N10/K10</f>
        <v>0.12257628685750208</v>
      </c>
      <c r="W10" s="2">
        <f>P10/K10</f>
        <v>0.45244927568347942</v>
      </c>
      <c r="X10" s="2">
        <f>Q10/K10</f>
        <v>0.12732297202054446</v>
      </c>
      <c r="Y10" s="1">
        <f t="shared" si="2"/>
        <v>107740.743</v>
      </c>
      <c r="Z10" s="1">
        <f>_4_1_Synthese_toutes_energies_2026_04[[#This Row],[5, Emissions CO2]]/_4_1_Synthese_toutes_energies_2026_04[[#This Row],[4, Conso totale]]</f>
        <v>0.12732297202054446</v>
      </c>
    </row>
    <row r="11" spans="1:26" x14ac:dyDescent="0.2">
      <c r="A11" s="1" t="s">
        <v>26</v>
      </c>
      <c r="B11" s="1">
        <v>81487.623000000007</v>
      </c>
      <c r="C11" s="1" t="s">
        <v>17</v>
      </c>
      <c r="D11" s="1">
        <v>602.04999999999995</v>
      </c>
      <c r="E11" s="1">
        <v>512.76900000000001</v>
      </c>
      <c r="F11" s="1">
        <v>69785.578999999998</v>
      </c>
      <c r="G11" s="1">
        <v>10587.225</v>
      </c>
      <c r="H11" s="1">
        <f t="shared" si="0"/>
        <v>80372.804000000004</v>
      </c>
      <c r="I11" s="1">
        <v>125456.01700000001</v>
      </c>
      <c r="J11" s="1">
        <v>21245.204000000002</v>
      </c>
      <c r="K11" s="1">
        <v>180066.351</v>
      </c>
      <c r="L11" s="1">
        <v>4739.9759999999997</v>
      </c>
      <c r="M11" s="1">
        <v>61794.633999999998</v>
      </c>
      <c r="N11" s="1">
        <v>32071.951000000001</v>
      </c>
      <c r="O11" s="1">
        <f t="shared" si="1"/>
        <v>98606.561000000002</v>
      </c>
      <c r="P11" s="1">
        <v>81459.790999999997</v>
      </c>
      <c r="Q11" s="1">
        <v>22794.816999999999</v>
      </c>
      <c r="R11" s="1">
        <v>49.515000000000001</v>
      </c>
      <c r="S11" s="1">
        <f>LEFT(A11,4)*1</f>
        <v>2022</v>
      </c>
      <c r="T11" s="1">
        <f>RIGHT(A11,2)*1</f>
        <v>4</v>
      </c>
      <c r="U11" s="2">
        <f>M11/K11</f>
        <v>0.34317702145249779</v>
      </c>
      <c r="V11" s="2">
        <f>N11/K11</f>
        <v>0.17811185055890871</v>
      </c>
      <c r="W11" s="2">
        <f>P11/K11</f>
        <v>0.45238763682171801</v>
      </c>
      <c r="X11" s="2">
        <f>Q11/K11</f>
        <v>0.12659120859288142</v>
      </c>
      <c r="Y11" s="1">
        <f t="shared" si="2"/>
        <v>104210.81300000001</v>
      </c>
      <c r="Z11" s="1">
        <f>_4_1_Synthese_toutes_energies_2026_04[[#This Row],[5, Emissions CO2]]/_4_1_Synthese_toutes_energies_2026_04[[#This Row],[4, Conso totale]]</f>
        <v>0.12659120859288142</v>
      </c>
    </row>
    <row r="12" spans="1:26" x14ac:dyDescent="0.2">
      <c r="A12" s="1" t="s">
        <v>27</v>
      </c>
      <c r="B12" s="1">
        <v>96469.528000000006</v>
      </c>
      <c r="C12" s="1" t="s">
        <v>17</v>
      </c>
      <c r="D12" s="1">
        <v>634.33299999999997</v>
      </c>
      <c r="E12" s="1">
        <v>520.16399999999999</v>
      </c>
      <c r="F12" s="1">
        <v>85750.866999999998</v>
      </c>
      <c r="G12" s="1">
        <v>9564.1640000000007</v>
      </c>
      <c r="H12" s="1">
        <f t="shared" si="0"/>
        <v>95315.031000000003</v>
      </c>
      <c r="I12" s="1">
        <v>135224.77299999999</v>
      </c>
      <c r="J12" s="1">
        <v>19794.914000000001</v>
      </c>
      <c r="K12" s="1">
        <v>214743.66399999999</v>
      </c>
      <c r="L12" s="1">
        <v>6943.0720000000001</v>
      </c>
      <c r="M12" s="1">
        <v>69098.021999999997</v>
      </c>
      <c r="N12" s="1">
        <v>42392.451000000001</v>
      </c>
      <c r="O12" s="1">
        <f t="shared" si="1"/>
        <v>118433.545</v>
      </c>
      <c r="P12" s="1">
        <v>96310.119000000006</v>
      </c>
      <c r="Q12" s="1">
        <v>27182.589</v>
      </c>
      <c r="R12" s="1">
        <v>49.813000000000002</v>
      </c>
      <c r="S12" s="1">
        <f>LEFT(A12,4)*1</f>
        <v>2022</v>
      </c>
      <c r="T12" s="1">
        <f>RIGHT(A12,2)*1</f>
        <v>3</v>
      </c>
      <c r="U12" s="2">
        <f>M12/K12</f>
        <v>0.32176978222742814</v>
      </c>
      <c r="V12" s="2">
        <f>N12/K12</f>
        <v>0.19740955430470816</v>
      </c>
      <c r="W12" s="2">
        <f>P12/K12</f>
        <v>0.44848875727481308</v>
      </c>
      <c r="X12" s="2">
        <f>Q12/K12</f>
        <v>0.12658156470684043</v>
      </c>
      <c r="Y12" s="1">
        <f t="shared" si="2"/>
        <v>115429.85899999998</v>
      </c>
      <c r="Z12" s="1">
        <f>_4_1_Synthese_toutes_energies_2026_04[[#This Row],[5, Emissions CO2]]/_4_1_Synthese_toutes_energies_2026_04[[#This Row],[4, Conso totale]]</f>
        <v>0.12658156470684043</v>
      </c>
    </row>
    <row r="13" spans="1:26" x14ac:dyDescent="0.2">
      <c r="A13" s="1" t="s">
        <v>28</v>
      </c>
      <c r="B13" s="1">
        <v>105939.717</v>
      </c>
      <c r="C13" s="1" t="s">
        <v>17</v>
      </c>
      <c r="D13" s="1">
        <v>563.59</v>
      </c>
      <c r="E13" s="1">
        <v>442.74</v>
      </c>
      <c r="F13" s="1">
        <v>94127.123999999996</v>
      </c>
      <c r="G13" s="1">
        <v>10806.263999999999</v>
      </c>
      <c r="H13" s="1">
        <f t="shared" si="0"/>
        <v>104933.38799999999</v>
      </c>
      <c r="I13" s="1">
        <v>107770.379</v>
      </c>
      <c r="J13" s="1">
        <v>19155.971000000001</v>
      </c>
      <c r="K13" s="1">
        <v>218307.497</v>
      </c>
      <c r="L13" s="1">
        <v>6817.3310000000001</v>
      </c>
      <c r="M13" s="1">
        <v>63052.822999999997</v>
      </c>
      <c r="N13" s="1">
        <v>45348.396000000001</v>
      </c>
      <c r="O13" s="1">
        <f t="shared" si="1"/>
        <v>115218.54999999999</v>
      </c>
      <c r="P13" s="1">
        <v>103088.948</v>
      </c>
      <c r="Q13" s="1">
        <v>26121.538</v>
      </c>
      <c r="R13" s="1">
        <v>50.148000000000003</v>
      </c>
      <c r="S13" s="1">
        <f>LEFT(A13,4)*1</f>
        <v>2022</v>
      </c>
      <c r="T13" s="1">
        <f>RIGHT(A13,2)*1</f>
        <v>2</v>
      </c>
      <c r="U13" s="2">
        <f>M13/K13</f>
        <v>0.28882573373098586</v>
      </c>
      <c r="V13" s="2">
        <f>N13/K13</f>
        <v>0.20772715835773611</v>
      </c>
      <c r="W13" s="2">
        <f>P13/K13</f>
        <v>0.47221900033969061</v>
      </c>
      <c r="X13" s="2">
        <f>Q13/K13</f>
        <v>0.11965479133316251</v>
      </c>
      <c r="Y13" s="1">
        <f t="shared" si="2"/>
        <v>88614.407999999996</v>
      </c>
      <c r="Z13" s="1">
        <f>_4_1_Synthese_toutes_energies_2026_04[[#This Row],[5, Emissions CO2]]/_4_1_Synthese_toutes_energies_2026_04[[#This Row],[4, Conso totale]]</f>
        <v>0.11965479133316251</v>
      </c>
    </row>
    <row r="14" spans="1:26" x14ac:dyDescent="0.2">
      <c r="A14" s="1" t="s">
        <v>29</v>
      </c>
      <c r="B14" s="1">
        <v>122963.489</v>
      </c>
      <c r="C14" s="1" t="s">
        <v>17</v>
      </c>
      <c r="D14" s="1">
        <v>623.66099999999994</v>
      </c>
      <c r="E14" s="1">
        <v>472.19900000000001</v>
      </c>
      <c r="F14" s="1">
        <v>111862.39999999999</v>
      </c>
      <c r="G14" s="1">
        <v>10005.227999999999</v>
      </c>
      <c r="H14" s="1">
        <f t="shared" si="0"/>
        <v>121867.628</v>
      </c>
      <c r="I14" s="1">
        <v>128714.902</v>
      </c>
      <c r="J14" s="1">
        <v>22249.813999999998</v>
      </c>
      <c r="K14" s="1">
        <v>255223.163</v>
      </c>
      <c r="L14" s="1">
        <v>7333.3459999999995</v>
      </c>
      <c r="M14" s="1">
        <v>63972.506999999998</v>
      </c>
      <c r="N14" s="1">
        <v>61053.741000000002</v>
      </c>
      <c r="O14" s="1">
        <f t="shared" si="1"/>
        <v>132359.59400000001</v>
      </c>
      <c r="P14" s="1">
        <v>122863.568</v>
      </c>
      <c r="Q14" s="1">
        <v>29528.624</v>
      </c>
      <c r="R14" s="1">
        <v>50.255000000000003</v>
      </c>
      <c r="S14" s="1">
        <f>LEFT(A14,4)*1</f>
        <v>2022</v>
      </c>
      <c r="T14" s="1">
        <f>RIGHT(A14,2)*1</f>
        <v>1</v>
      </c>
      <c r="U14" s="2">
        <f>M14/K14</f>
        <v>0.2506532175529852</v>
      </c>
      <c r="V14" s="2">
        <f>N14/K14</f>
        <v>0.23921708469697164</v>
      </c>
      <c r="W14" s="2">
        <f>P14/K14</f>
        <v>0.48139661994550237</v>
      </c>
      <c r="X14" s="2">
        <f>Q14/K14</f>
        <v>0.11569727313504065</v>
      </c>
      <c r="Y14" s="1">
        <f t="shared" si="2"/>
        <v>106465.088</v>
      </c>
      <c r="Z14" s="1">
        <f>_4_1_Synthese_toutes_energies_2026_04[[#This Row],[5, Emissions CO2]]/_4_1_Synthese_toutes_energies_2026_04[[#This Row],[4, Conso totale]]</f>
        <v>0.11569727313504065</v>
      </c>
    </row>
    <row r="15" spans="1:26" x14ac:dyDescent="0.2">
      <c r="A15" s="1" t="s">
        <v>30</v>
      </c>
      <c r="B15" s="1">
        <v>111844.675</v>
      </c>
      <c r="C15" s="1" t="s">
        <v>17</v>
      </c>
      <c r="D15" s="1">
        <v>622.43399999999997</v>
      </c>
      <c r="E15" s="1">
        <v>464.75900000000001</v>
      </c>
      <c r="F15" s="1">
        <v>100376.851</v>
      </c>
      <c r="G15" s="1">
        <v>10380.630999999999</v>
      </c>
      <c r="H15" s="1">
        <f t="shared" si="0"/>
        <v>110757.48199999999</v>
      </c>
      <c r="I15" s="1">
        <v>123177.33900000001</v>
      </c>
      <c r="J15" s="1">
        <v>24647.358</v>
      </c>
      <c r="K15" s="1">
        <v>247069.90100000001</v>
      </c>
      <c r="L15" s="1">
        <v>7143.0429999999997</v>
      </c>
      <c r="M15" s="1">
        <v>71436.002999999997</v>
      </c>
      <c r="N15" s="1">
        <v>55796.277999999998</v>
      </c>
      <c r="O15" s="1">
        <f t="shared" si="1"/>
        <v>134375.32399999999</v>
      </c>
      <c r="P15" s="1">
        <v>112694.577</v>
      </c>
      <c r="Q15" s="1">
        <v>30304.5</v>
      </c>
      <c r="R15" s="1">
        <v>50.454999999999998</v>
      </c>
      <c r="S15" s="1">
        <f>LEFT(A15,4)*1</f>
        <v>2021</v>
      </c>
      <c r="T15" s="1">
        <f>RIGHT(A15,2)*1</f>
        <v>12</v>
      </c>
      <c r="U15" s="2">
        <f>M15/K15</f>
        <v>0.2891327624727546</v>
      </c>
      <c r="V15" s="2">
        <f>N15/K15</f>
        <v>0.22583195190578878</v>
      </c>
      <c r="W15" s="2">
        <f>P15/K15</f>
        <v>0.45612426501113951</v>
      </c>
      <c r="X15" s="2">
        <f>Q15/K15</f>
        <v>0.12265557187396937</v>
      </c>
      <c r="Y15" s="1">
        <f t="shared" si="2"/>
        <v>98529.981</v>
      </c>
      <c r="Z15" s="1">
        <f>_4_1_Synthese_toutes_energies_2026_04[[#This Row],[5, Emissions CO2]]/_4_1_Synthese_toutes_energies_2026_04[[#This Row],[4, Conso totale]]</f>
        <v>0.12265557187396937</v>
      </c>
    </row>
    <row r="16" spans="1:26" x14ac:dyDescent="0.2">
      <c r="A16" s="1" t="s">
        <v>31</v>
      </c>
      <c r="B16" s="1">
        <v>105192.852</v>
      </c>
      <c r="C16" s="1" t="s">
        <v>17</v>
      </c>
      <c r="D16" s="1">
        <v>601.67899999999997</v>
      </c>
      <c r="E16" s="1">
        <v>427.161</v>
      </c>
      <c r="F16" s="1">
        <v>96607.448999999993</v>
      </c>
      <c r="G16" s="1">
        <v>7556.5630000000001</v>
      </c>
      <c r="H16" s="1">
        <f t="shared" si="0"/>
        <v>104164.01199999999</v>
      </c>
      <c r="I16" s="1">
        <v>122144.663</v>
      </c>
      <c r="J16" s="1">
        <v>20452.039000000001</v>
      </c>
      <c r="K16" s="1">
        <v>231778.29300000001</v>
      </c>
      <c r="L16" s="1">
        <v>7173.8829999999998</v>
      </c>
      <c r="M16" s="1">
        <v>68746.3</v>
      </c>
      <c r="N16" s="1">
        <v>50894.33</v>
      </c>
      <c r="O16" s="1">
        <f t="shared" si="1"/>
        <v>126814.51300000001</v>
      </c>
      <c r="P16" s="1">
        <v>104963.781</v>
      </c>
      <c r="Q16" s="1">
        <v>28349.595000000001</v>
      </c>
      <c r="R16" s="1">
        <v>50.881999999999998</v>
      </c>
      <c r="S16" s="1">
        <f>LEFT(A16,4)*1</f>
        <v>2021</v>
      </c>
      <c r="T16" s="1">
        <f>RIGHT(A16,2)*1</f>
        <v>11</v>
      </c>
      <c r="U16" s="2">
        <f>M16/K16</f>
        <v>0.29660370309138484</v>
      </c>
      <c r="V16" s="2">
        <f>N16/K16</f>
        <v>0.21958195196475971</v>
      </c>
      <c r="W16" s="2">
        <f>P16/K16</f>
        <v>0.45286286149324606</v>
      </c>
      <c r="X16" s="2">
        <f>Q16/K16</f>
        <v>0.122313416985947</v>
      </c>
      <c r="Y16" s="1">
        <f t="shared" si="2"/>
        <v>101692.624</v>
      </c>
      <c r="Z16" s="1">
        <f>_4_1_Synthese_toutes_energies_2026_04[[#This Row],[5, Emissions CO2]]/_4_1_Synthese_toutes_energies_2026_04[[#This Row],[4, Conso totale]]</f>
        <v>0.122313416985947</v>
      </c>
    </row>
    <row r="17" spans="1:26" x14ac:dyDescent="0.2">
      <c r="A17" s="1" t="s">
        <v>32</v>
      </c>
      <c r="B17" s="1">
        <v>106390.891</v>
      </c>
      <c r="C17" s="1" t="s">
        <v>17</v>
      </c>
      <c r="D17" s="1">
        <v>508.113</v>
      </c>
      <c r="E17" s="1">
        <v>410.76299999999998</v>
      </c>
      <c r="F17" s="1">
        <v>97571.430999999997</v>
      </c>
      <c r="G17" s="1">
        <v>7900.5839999999998</v>
      </c>
      <c r="H17" s="1">
        <f t="shared" si="0"/>
        <v>105472.015</v>
      </c>
      <c r="I17" s="1">
        <v>121128.899</v>
      </c>
      <c r="J17" s="1">
        <v>20421.863000000001</v>
      </c>
      <c r="K17" s="1">
        <v>214059.101</v>
      </c>
      <c r="L17" s="1">
        <v>7152.473</v>
      </c>
      <c r="M17" s="1">
        <v>75978.179000000004</v>
      </c>
      <c r="N17" s="1">
        <v>29761.620999999999</v>
      </c>
      <c r="O17" s="1">
        <f t="shared" si="1"/>
        <v>112892.273</v>
      </c>
      <c r="P17" s="1">
        <v>101166.82799999999</v>
      </c>
      <c r="Q17" s="1">
        <v>25579.041000000001</v>
      </c>
      <c r="R17" s="1">
        <v>51.548999999999999</v>
      </c>
      <c r="S17" s="1">
        <f>LEFT(A17,4)*1</f>
        <v>2021</v>
      </c>
      <c r="T17" s="1">
        <f>RIGHT(A17,2)*1</f>
        <v>10</v>
      </c>
      <c r="U17" s="2">
        <f>M17/K17</f>
        <v>0.35494019476424882</v>
      </c>
      <c r="V17" s="2">
        <f>N17/K17</f>
        <v>0.13903459773943458</v>
      </c>
      <c r="W17" s="2">
        <f>P17/K17</f>
        <v>0.47261166438328633</v>
      </c>
      <c r="X17" s="2">
        <f>Q17/K17</f>
        <v>0.11949522762874727</v>
      </c>
      <c r="Y17" s="1">
        <f t="shared" si="2"/>
        <v>100707.03600000001</v>
      </c>
      <c r="Z17" s="1">
        <f>_4_1_Synthese_toutes_energies_2026_04[[#This Row],[5, Emissions CO2]]/_4_1_Synthese_toutes_energies_2026_04[[#This Row],[4, Conso totale]]</f>
        <v>0.11949522762874727</v>
      </c>
    </row>
    <row r="18" spans="1:26" x14ac:dyDescent="0.2">
      <c r="A18" s="1" t="s">
        <v>33</v>
      </c>
      <c r="B18" s="1">
        <v>100392.75199999999</v>
      </c>
      <c r="C18" s="1" t="s">
        <v>17</v>
      </c>
      <c r="D18" s="1">
        <v>623.32100000000003</v>
      </c>
      <c r="E18" s="1">
        <v>360.97500000000002</v>
      </c>
      <c r="F18" s="1">
        <v>92746.183999999994</v>
      </c>
      <c r="G18" s="1">
        <v>6662.2719999999999</v>
      </c>
      <c r="H18" s="1">
        <f t="shared" si="0"/>
        <v>99408.455999999991</v>
      </c>
      <c r="I18" s="1">
        <v>103646.557</v>
      </c>
      <c r="J18" s="1">
        <v>20108.867999999999</v>
      </c>
      <c r="K18" s="1">
        <v>191196.946</v>
      </c>
      <c r="L18" s="1">
        <v>6994.0360000000001</v>
      </c>
      <c r="M18" s="1">
        <v>72931.922000000006</v>
      </c>
      <c r="N18" s="1">
        <v>17650.755000000001</v>
      </c>
      <c r="O18" s="1">
        <f t="shared" si="1"/>
        <v>97576.713000000018</v>
      </c>
      <c r="P18" s="1">
        <v>93620.233999999997</v>
      </c>
      <c r="Q18" s="1">
        <v>22061.422999999999</v>
      </c>
      <c r="R18" s="1">
        <v>51.512999999999998</v>
      </c>
      <c r="S18" s="1">
        <f>LEFT(A18,4)*1</f>
        <v>2021</v>
      </c>
      <c r="T18" s="1">
        <f>RIGHT(A18,2)*1</f>
        <v>9</v>
      </c>
      <c r="U18" s="2">
        <f>M18/K18</f>
        <v>0.38144919950761141</v>
      </c>
      <c r="V18" s="2">
        <f>N18/K18</f>
        <v>9.2317138789444891E-2</v>
      </c>
      <c r="W18" s="2">
        <f>P18/K18</f>
        <v>0.48965339645121736</v>
      </c>
      <c r="X18" s="2">
        <f>Q18/K18</f>
        <v>0.11538585454183981</v>
      </c>
      <c r="Y18" s="1">
        <f t="shared" si="2"/>
        <v>83537.688999999998</v>
      </c>
      <c r="Z18" s="1">
        <f>_4_1_Synthese_toutes_energies_2026_04[[#This Row],[5, Emissions CO2]]/_4_1_Synthese_toutes_energies_2026_04[[#This Row],[4, Conso totale]]</f>
        <v>0.11538585454183981</v>
      </c>
    </row>
    <row r="19" spans="1:26" x14ac:dyDescent="0.2">
      <c r="A19" s="1" t="s">
        <v>34</v>
      </c>
      <c r="B19" s="1">
        <v>102611.946</v>
      </c>
      <c r="C19" s="1" t="s">
        <v>17</v>
      </c>
      <c r="D19" s="1">
        <v>650.89400000000001</v>
      </c>
      <c r="E19" s="1">
        <v>355.74900000000002</v>
      </c>
      <c r="F19" s="1">
        <v>93107.481</v>
      </c>
      <c r="G19" s="1">
        <v>8497.8220000000001</v>
      </c>
      <c r="H19" s="1">
        <f t="shared" si="0"/>
        <v>101605.303</v>
      </c>
      <c r="I19" s="1">
        <v>125146.427</v>
      </c>
      <c r="J19" s="1">
        <v>23887.254000000001</v>
      </c>
      <c r="K19" s="1">
        <v>183786.568</v>
      </c>
      <c r="L19" s="1">
        <v>5999.5240000000003</v>
      </c>
      <c r="M19" s="1">
        <v>69854.563999999998</v>
      </c>
      <c r="N19" s="1">
        <v>13969.124</v>
      </c>
      <c r="O19" s="1">
        <f t="shared" si="1"/>
        <v>89823.212</v>
      </c>
      <c r="P19" s="1">
        <v>93963.357000000004</v>
      </c>
      <c r="Q19" s="1">
        <v>20749.761999999999</v>
      </c>
      <c r="R19" s="1">
        <v>51.006</v>
      </c>
      <c r="S19" s="1">
        <f>LEFT(A19,4)*1</f>
        <v>2021</v>
      </c>
      <c r="T19" s="1">
        <f>RIGHT(A19,2)*1</f>
        <v>8</v>
      </c>
      <c r="U19" s="2">
        <f>M19/K19</f>
        <v>0.38008525193201276</v>
      </c>
      <c r="V19" s="2">
        <f>N19/K19</f>
        <v>7.6007317357381629E-2</v>
      </c>
      <c r="W19" s="2">
        <f>P19/K19</f>
        <v>0.51126346186517835</v>
      </c>
      <c r="X19" s="2">
        <f>Q19/K19</f>
        <v>0.11290140637481189</v>
      </c>
      <c r="Y19" s="1">
        <f t="shared" si="2"/>
        <v>101259.173</v>
      </c>
      <c r="Z19" s="1">
        <f>_4_1_Synthese_toutes_energies_2026_04[[#This Row],[5, Emissions CO2]]/_4_1_Synthese_toutes_energies_2026_04[[#This Row],[4, Conso totale]]</f>
        <v>0.11290140637481189</v>
      </c>
    </row>
    <row r="20" spans="1:26" x14ac:dyDescent="0.2">
      <c r="A20" s="1" t="s">
        <v>35</v>
      </c>
      <c r="B20" s="1">
        <v>101938.52099999999</v>
      </c>
      <c r="C20" s="1" t="s">
        <v>17</v>
      </c>
      <c r="D20" s="1">
        <v>640.62699999999995</v>
      </c>
      <c r="E20" s="1">
        <v>342.03399999999999</v>
      </c>
      <c r="F20" s="1">
        <v>91149.167000000001</v>
      </c>
      <c r="G20" s="1">
        <v>9806.6929999999993</v>
      </c>
      <c r="H20" s="1">
        <f t="shared" si="0"/>
        <v>100955.86</v>
      </c>
      <c r="I20" s="1">
        <v>116657.776</v>
      </c>
      <c r="J20" s="1">
        <v>20989.695</v>
      </c>
      <c r="K20" s="1">
        <v>188801.39499999999</v>
      </c>
      <c r="L20" s="1">
        <v>5892.5529999999999</v>
      </c>
      <c r="M20" s="1">
        <v>73058.017000000007</v>
      </c>
      <c r="N20" s="1">
        <v>16216.032999999999</v>
      </c>
      <c r="O20" s="1">
        <f t="shared" si="1"/>
        <v>95166.603000000003</v>
      </c>
      <c r="P20" s="1">
        <v>93634.792000000001</v>
      </c>
      <c r="Q20" s="1">
        <v>21535.487000000001</v>
      </c>
      <c r="R20" s="1">
        <v>50.613999999999997</v>
      </c>
      <c r="S20" s="1">
        <f>LEFT(A20,4)*1</f>
        <v>2021</v>
      </c>
      <c r="T20" s="1">
        <f>RIGHT(A20,2)*1</f>
        <v>7</v>
      </c>
      <c r="U20" s="2">
        <f>M20/K20</f>
        <v>0.38695697666852519</v>
      </c>
      <c r="V20" s="2">
        <f>N20/K20</f>
        <v>8.588937067970287E-2</v>
      </c>
      <c r="W20" s="2">
        <f>P20/K20</f>
        <v>0.49594332711365829</v>
      </c>
      <c r="X20" s="2">
        <f>Q20/K20</f>
        <v>0.11406423665460735</v>
      </c>
      <c r="Y20" s="1">
        <f t="shared" si="2"/>
        <v>95668.081000000006</v>
      </c>
      <c r="Z20" s="1">
        <f>_4_1_Synthese_toutes_energies_2026_04[[#This Row],[5, Emissions CO2]]/_4_1_Synthese_toutes_energies_2026_04[[#This Row],[4, Conso totale]]</f>
        <v>0.11406423665460735</v>
      </c>
    </row>
    <row r="21" spans="1:26" x14ac:dyDescent="0.2">
      <c r="A21" s="1" t="s">
        <v>36</v>
      </c>
      <c r="B21" s="1">
        <v>98680.767999999996</v>
      </c>
      <c r="C21" s="1" t="s">
        <v>17</v>
      </c>
      <c r="D21" s="1">
        <v>639.35199999999998</v>
      </c>
      <c r="E21" s="1">
        <v>305.44799999999998</v>
      </c>
      <c r="F21" s="1">
        <v>88324.864000000001</v>
      </c>
      <c r="G21" s="1">
        <v>9411.1049999999996</v>
      </c>
      <c r="H21" s="1">
        <f t="shared" si="0"/>
        <v>97735.968999999997</v>
      </c>
      <c r="I21" s="1">
        <v>113826.66800000001</v>
      </c>
      <c r="J21" s="1">
        <v>18290.261999999999</v>
      </c>
      <c r="K21" s="1">
        <v>182801.63699999999</v>
      </c>
      <c r="L21" s="1">
        <v>6008.6940000000004</v>
      </c>
      <c r="M21" s="1">
        <v>68802.858999999997</v>
      </c>
      <c r="N21" s="1">
        <v>17105.574000000001</v>
      </c>
      <c r="O21" s="1">
        <f t="shared" si="1"/>
        <v>91917.127000000008</v>
      </c>
      <c r="P21" s="1">
        <v>90884.509000000005</v>
      </c>
      <c r="Q21" s="1">
        <v>20881.253000000001</v>
      </c>
      <c r="R21" s="1">
        <v>50.125999999999998</v>
      </c>
      <c r="S21" s="1">
        <f>LEFT(A21,4)*1</f>
        <v>2021</v>
      </c>
      <c r="T21" s="1">
        <f>RIGHT(A21,2)*1</f>
        <v>6</v>
      </c>
      <c r="U21" s="2">
        <f>M21/K21</f>
        <v>0.37637988438801562</v>
      </c>
      <c r="V21" s="2">
        <f>N21/K21</f>
        <v>9.3574512136343727E-2</v>
      </c>
      <c r="W21" s="2">
        <f>P21/K21</f>
        <v>0.4971755750743086</v>
      </c>
      <c r="X21" s="2">
        <f>Q21/K21</f>
        <v>0.11422902629695818</v>
      </c>
      <c r="Y21" s="1">
        <f t="shared" si="2"/>
        <v>95536.406000000003</v>
      </c>
      <c r="Z21" s="1">
        <f>_4_1_Synthese_toutes_energies_2026_04[[#This Row],[5, Emissions CO2]]/_4_1_Synthese_toutes_energies_2026_04[[#This Row],[4, Conso totale]]</f>
        <v>0.11422902629695818</v>
      </c>
    </row>
    <row r="22" spans="1:26" x14ac:dyDescent="0.2">
      <c r="A22" s="1" t="s">
        <v>37</v>
      </c>
      <c r="B22" s="1">
        <v>100959.9</v>
      </c>
      <c r="C22" s="1" t="s">
        <v>17</v>
      </c>
      <c r="D22" s="1">
        <v>662.73299999999995</v>
      </c>
      <c r="E22" s="1">
        <v>320.7</v>
      </c>
      <c r="F22" s="1">
        <v>87953.998999999996</v>
      </c>
      <c r="G22" s="1">
        <v>12022.468000000001</v>
      </c>
      <c r="H22" s="1">
        <f t="shared" si="0"/>
        <v>99976.467000000004</v>
      </c>
      <c r="I22" s="1">
        <v>121479.818</v>
      </c>
      <c r="J22" s="1">
        <v>17379.174999999999</v>
      </c>
      <c r="K22" s="1">
        <v>186103.557</v>
      </c>
      <c r="L22" s="1">
        <v>5702.9459999999999</v>
      </c>
      <c r="M22" s="1">
        <v>60020.086000000003</v>
      </c>
      <c r="N22" s="1">
        <v>26323.699000000001</v>
      </c>
      <c r="O22" s="1">
        <f t="shared" si="1"/>
        <v>92046.731</v>
      </c>
      <c r="P22" s="1">
        <v>94056.827000000005</v>
      </c>
      <c r="Q22" s="1">
        <v>20758.112000000001</v>
      </c>
      <c r="R22" s="1">
        <v>49.834000000000003</v>
      </c>
      <c r="S22" s="1">
        <f>LEFT(A22,4)*1</f>
        <v>2021</v>
      </c>
      <c r="T22" s="1">
        <f>RIGHT(A22,2)*1</f>
        <v>5</v>
      </c>
      <c r="U22" s="2">
        <f>M22/K22</f>
        <v>0.32250907488028291</v>
      </c>
      <c r="V22" s="2">
        <f>N22/K22</f>
        <v>0.14144651195463179</v>
      </c>
      <c r="W22" s="2">
        <f>P22/K22</f>
        <v>0.50540047979845981</v>
      </c>
      <c r="X22" s="2">
        <f>Q22/K22</f>
        <v>0.11154065153091083</v>
      </c>
      <c r="Y22" s="1">
        <f t="shared" si="2"/>
        <v>104100.643</v>
      </c>
      <c r="Z22" s="1">
        <f>_4_1_Synthese_toutes_energies_2026_04[[#This Row],[5, Emissions CO2]]/_4_1_Synthese_toutes_energies_2026_04[[#This Row],[4, Conso totale]]</f>
        <v>0.11154065153091083</v>
      </c>
    </row>
    <row r="23" spans="1:26" x14ac:dyDescent="0.2">
      <c r="A23" s="1" t="s">
        <v>38</v>
      </c>
      <c r="B23" s="1">
        <v>96347.01</v>
      </c>
      <c r="C23" s="1" t="s">
        <v>17</v>
      </c>
      <c r="D23" s="1">
        <v>644.21199999999999</v>
      </c>
      <c r="E23" s="1">
        <v>302.40499999999997</v>
      </c>
      <c r="F23" s="1">
        <v>86700.854999999996</v>
      </c>
      <c r="G23" s="1">
        <v>8699.5390000000007</v>
      </c>
      <c r="H23" s="1">
        <f t="shared" si="0"/>
        <v>95400.394</v>
      </c>
      <c r="I23" s="1">
        <v>120255.156</v>
      </c>
      <c r="J23" s="1">
        <v>20766.420999999998</v>
      </c>
      <c r="K23" s="1">
        <v>194971.03599999999</v>
      </c>
      <c r="L23" s="1">
        <v>6129.8370000000004</v>
      </c>
      <c r="M23" s="1">
        <v>58223.055999999997</v>
      </c>
      <c r="N23" s="1">
        <v>36663.220999999998</v>
      </c>
      <c r="O23" s="1">
        <f t="shared" si="1"/>
        <v>101016.114</v>
      </c>
      <c r="P23" s="1">
        <v>93954.922000000006</v>
      </c>
      <c r="Q23" s="1">
        <v>22994.138999999999</v>
      </c>
      <c r="R23" s="1">
        <v>49.987000000000002</v>
      </c>
      <c r="S23" s="1">
        <f>LEFT(A23,4)*1</f>
        <v>2021</v>
      </c>
      <c r="T23" s="1">
        <f>RIGHT(A23,2)*1</f>
        <v>4</v>
      </c>
      <c r="U23" s="2">
        <f>M23/K23</f>
        <v>0.29862412999641647</v>
      </c>
      <c r="V23" s="2">
        <f>N23/K23</f>
        <v>0.18804444881751564</v>
      </c>
      <c r="W23" s="2">
        <f>P23/K23</f>
        <v>0.48189168979950442</v>
      </c>
      <c r="X23" s="2">
        <f>Q23/K23</f>
        <v>0.11793617899224786</v>
      </c>
      <c r="Y23" s="1">
        <f t="shared" si="2"/>
        <v>99488.735000000001</v>
      </c>
      <c r="Z23" s="1">
        <f>_4_1_Synthese_toutes_energies_2026_04[[#This Row],[5, Emissions CO2]]/_4_1_Synthese_toutes_energies_2026_04[[#This Row],[4, Conso totale]]</f>
        <v>0.11793617899224786</v>
      </c>
    </row>
    <row r="24" spans="1:26" x14ac:dyDescent="0.2">
      <c r="A24" s="1" t="s">
        <v>39</v>
      </c>
      <c r="B24" s="1">
        <v>112745.606</v>
      </c>
      <c r="C24" s="1" t="s">
        <v>17</v>
      </c>
      <c r="D24" s="1">
        <v>657.69</v>
      </c>
      <c r="E24" s="1">
        <v>305.34899999999999</v>
      </c>
      <c r="F24" s="1">
        <v>100674.872</v>
      </c>
      <c r="G24" s="1">
        <v>11107.695</v>
      </c>
      <c r="H24" s="1">
        <f t="shared" si="0"/>
        <v>111782.56700000001</v>
      </c>
      <c r="I24" s="1">
        <v>125023.22900000001</v>
      </c>
      <c r="J24" s="1">
        <v>19841.107</v>
      </c>
      <c r="K24" s="1">
        <v>230433.948</v>
      </c>
      <c r="L24" s="1">
        <v>6903.0389999999998</v>
      </c>
      <c r="M24" s="1">
        <v>67841.755000000005</v>
      </c>
      <c r="N24" s="1">
        <v>47131.239000000001</v>
      </c>
      <c r="O24" s="1">
        <f t="shared" si="1"/>
        <v>121876.03300000001</v>
      </c>
      <c r="P24" s="1">
        <v>108557.91499999999</v>
      </c>
      <c r="Q24" s="1">
        <v>27487.170999999998</v>
      </c>
      <c r="R24" s="1">
        <v>50.758000000000003</v>
      </c>
      <c r="S24" s="1">
        <f>LEFT(A24,4)*1</f>
        <v>2021</v>
      </c>
      <c r="T24" s="1">
        <f>RIGHT(A24,2)*1</f>
        <v>3</v>
      </c>
      <c r="U24" s="2">
        <f>M24/K24</f>
        <v>0.29440868235265405</v>
      </c>
      <c r="V24" s="2">
        <f>N24/K24</f>
        <v>0.2045325326804712</v>
      </c>
      <c r="W24" s="2">
        <f>P24/K24</f>
        <v>0.47110209212750193</v>
      </c>
      <c r="X24" s="2">
        <f>Q24/K24</f>
        <v>0.11928438165716797</v>
      </c>
      <c r="Y24" s="1">
        <f t="shared" si="2"/>
        <v>105182.122</v>
      </c>
      <c r="Z24" s="1">
        <f>_4_1_Synthese_toutes_energies_2026_04[[#This Row],[5, Emissions CO2]]/_4_1_Synthese_toutes_energies_2026_04[[#This Row],[4, Conso totale]]</f>
        <v>0.11928438165716797</v>
      </c>
    </row>
    <row r="25" spans="1:26" x14ac:dyDescent="0.2">
      <c r="A25" s="1" t="s">
        <v>40</v>
      </c>
      <c r="B25" s="1">
        <v>109324.545</v>
      </c>
      <c r="C25" s="1" t="s">
        <v>17</v>
      </c>
      <c r="D25" s="1">
        <v>601.00199999999995</v>
      </c>
      <c r="E25" s="1">
        <v>250.553</v>
      </c>
      <c r="F25" s="1">
        <v>96487.993000000002</v>
      </c>
      <c r="G25" s="1">
        <v>11984.998</v>
      </c>
      <c r="H25" s="1">
        <f t="shared" si="0"/>
        <v>108472.99100000001</v>
      </c>
      <c r="I25" s="1">
        <v>103219.91099999999</v>
      </c>
      <c r="J25" s="1">
        <v>18303.243999999999</v>
      </c>
      <c r="K25" s="1">
        <v>219686.34899999999</v>
      </c>
      <c r="L25" s="1">
        <v>6512.8890000000001</v>
      </c>
      <c r="M25" s="1">
        <v>59949.256000000001</v>
      </c>
      <c r="N25" s="1">
        <v>48160.938000000002</v>
      </c>
      <c r="O25" s="1">
        <f t="shared" si="1"/>
        <v>114623.08300000001</v>
      </c>
      <c r="P25" s="1">
        <v>105063.266</v>
      </c>
      <c r="Q25" s="1">
        <v>25494.646000000001</v>
      </c>
      <c r="R25" s="1">
        <v>51.033999999999999</v>
      </c>
      <c r="S25" s="1">
        <f>LEFT(A25,4)*1</f>
        <v>2021</v>
      </c>
      <c r="T25" s="1">
        <f>RIGHT(A25,2)*1</f>
        <v>2</v>
      </c>
      <c r="U25" s="2">
        <f>M25/K25</f>
        <v>0.27288566755688587</v>
      </c>
      <c r="V25" s="2">
        <f>N25/K25</f>
        <v>0.21922590192438404</v>
      </c>
      <c r="W25" s="2">
        <f>P25/K25</f>
        <v>0.47824212327366783</v>
      </c>
      <c r="X25" s="2">
        <f>Q25/K25</f>
        <v>0.11605020574127708</v>
      </c>
      <c r="Y25" s="1">
        <f t="shared" si="2"/>
        <v>84916.666999999987</v>
      </c>
      <c r="Z25" s="1">
        <f>_4_1_Synthese_toutes_energies_2026_04[[#This Row],[5, Emissions CO2]]/_4_1_Synthese_toutes_energies_2026_04[[#This Row],[4, Conso totale]]</f>
        <v>0.11605020574127708</v>
      </c>
    </row>
    <row r="26" spans="1:26" x14ac:dyDescent="0.2">
      <c r="A26" s="1" t="s">
        <v>41</v>
      </c>
      <c r="B26" s="1">
        <v>130964.128</v>
      </c>
      <c r="C26" s="1" t="s">
        <v>17</v>
      </c>
      <c r="D26" s="1">
        <v>673.49099999999999</v>
      </c>
      <c r="E26" s="1">
        <v>270.392</v>
      </c>
      <c r="F26" s="1">
        <v>118085.182</v>
      </c>
      <c r="G26" s="1">
        <v>11935.063</v>
      </c>
      <c r="H26" s="1">
        <f t="shared" si="0"/>
        <v>130020.245</v>
      </c>
      <c r="I26" s="1">
        <v>120975.16899999999</v>
      </c>
      <c r="J26" s="1">
        <v>17818.775000000001</v>
      </c>
      <c r="K26" s="1">
        <v>261040.98300000001</v>
      </c>
      <c r="L26" s="1">
        <v>7940.6959999999999</v>
      </c>
      <c r="M26" s="1">
        <v>62260.815999999999</v>
      </c>
      <c r="N26" s="1">
        <v>62809.237999999998</v>
      </c>
      <c r="O26" s="1">
        <f t="shared" si="1"/>
        <v>133010.75</v>
      </c>
      <c r="P26" s="1">
        <v>128030.23299999999</v>
      </c>
      <c r="Q26" s="1">
        <v>29592.929</v>
      </c>
      <c r="R26" s="1">
        <v>51.203000000000003</v>
      </c>
      <c r="S26" s="1">
        <f>LEFT(A26,4)*1</f>
        <v>2021</v>
      </c>
      <c r="T26" s="1">
        <f>RIGHT(A26,2)*1</f>
        <v>1</v>
      </c>
      <c r="U26" s="2">
        <f>M26/K26</f>
        <v>0.23850973622789337</v>
      </c>
      <c r="V26" s="2">
        <f>N26/K26</f>
        <v>0.2406106400541711</v>
      </c>
      <c r="W26" s="2">
        <f>P26/K26</f>
        <v>0.49046027764919958</v>
      </c>
      <c r="X26" s="2">
        <f>Q26/K26</f>
        <v>0.11336506880990407</v>
      </c>
      <c r="Y26" s="1">
        <f t="shared" si="2"/>
        <v>103156.394</v>
      </c>
      <c r="Z26" s="1">
        <f>_4_1_Synthese_toutes_energies_2026_04[[#This Row],[5, Emissions CO2]]/_4_1_Synthese_toutes_energies_2026_04[[#This Row],[4, Conso totale]]</f>
        <v>0.11336506880990407</v>
      </c>
    </row>
    <row r="27" spans="1:26" x14ac:dyDescent="0.2">
      <c r="A27" s="1" t="s">
        <v>42</v>
      </c>
      <c r="B27" s="1">
        <v>121073.148</v>
      </c>
      <c r="C27" s="1" t="s">
        <v>17</v>
      </c>
      <c r="D27" s="1">
        <v>658.07899999999995</v>
      </c>
      <c r="E27" s="1">
        <v>262.67700000000002</v>
      </c>
      <c r="F27" s="1">
        <v>109533.554</v>
      </c>
      <c r="G27" s="1">
        <v>10618.838</v>
      </c>
      <c r="H27" s="1">
        <f t="shared" si="0"/>
        <v>120152.39200000001</v>
      </c>
      <c r="I27" s="1">
        <v>102095.609</v>
      </c>
      <c r="J27" s="1">
        <v>20806.877</v>
      </c>
      <c r="K27" s="1">
        <v>243962.53599999999</v>
      </c>
      <c r="L27" s="1">
        <v>7112.5990000000002</v>
      </c>
      <c r="M27" s="1">
        <v>64592.694000000003</v>
      </c>
      <c r="N27" s="1">
        <v>54549.171999999999</v>
      </c>
      <c r="O27" s="1">
        <f t="shared" si="1"/>
        <v>126254.465</v>
      </c>
      <c r="P27" s="1">
        <v>117708.071</v>
      </c>
      <c r="Q27" s="1">
        <v>28208.703000000001</v>
      </c>
      <c r="R27" s="1">
        <v>51.173999999999999</v>
      </c>
      <c r="S27" s="1">
        <f>LEFT(A27,4)*1</f>
        <v>2020</v>
      </c>
      <c r="T27" s="1">
        <f>RIGHT(A27,2)*1</f>
        <v>12</v>
      </c>
      <c r="U27" s="2">
        <f>M27/K27</f>
        <v>0.26476480798674762</v>
      </c>
      <c r="V27" s="2">
        <f>N27/K27</f>
        <v>0.22359651155618418</v>
      </c>
      <c r="W27" s="2">
        <f>P27/K27</f>
        <v>0.48248420814907417</v>
      </c>
      <c r="X27" s="2">
        <f>Q27/K27</f>
        <v>0.11562719203738726</v>
      </c>
      <c r="Y27" s="1">
        <f t="shared" si="2"/>
        <v>81288.731999999989</v>
      </c>
      <c r="Z27" s="1">
        <f>_4_1_Synthese_toutes_energies_2026_04[[#This Row],[5, Emissions CO2]]/_4_1_Synthese_toutes_energies_2026_04[[#This Row],[4, Conso totale]]</f>
        <v>0.11562719203738726</v>
      </c>
    </row>
    <row r="28" spans="1:26" x14ac:dyDescent="0.2">
      <c r="A28" s="1" t="s">
        <v>43</v>
      </c>
      <c r="B28" s="1">
        <v>109782.902</v>
      </c>
      <c r="C28" s="1" t="s">
        <v>17</v>
      </c>
      <c r="D28" s="1">
        <v>646.97299999999996</v>
      </c>
      <c r="E28" s="1">
        <v>232.553</v>
      </c>
      <c r="F28" s="1">
        <v>100429.253</v>
      </c>
      <c r="G28" s="1">
        <v>8474.1219999999994</v>
      </c>
      <c r="H28" s="1">
        <f t="shared" si="0"/>
        <v>108903.375</v>
      </c>
      <c r="I28" s="1">
        <v>109894.632</v>
      </c>
      <c r="J28" s="1">
        <v>22458.284</v>
      </c>
      <c r="K28" s="1">
        <v>207991.033</v>
      </c>
      <c r="L28" s="1">
        <v>5715.4859999999999</v>
      </c>
      <c r="M28" s="1">
        <v>54313.169000000002</v>
      </c>
      <c r="N28" s="1">
        <v>43837.822</v>
      </c>
      <c r="O28" s="1">
        <f t="shared" si="1"/>
        <v>103866.477</v>
      </c>
      <c r="P28" s="1">
        <v>104124.556</v>
      </c>
      <c r="Q28" s="1">
        <v>22663.078000000001</v>
      </c>
      <c r="R28" s="1">
        <v>51.088000000000001</v>
      </c>
      <c r="S28" s="1">
        <f>LEFT(A28,4)*1</f>
        <v>2020</v>
      </c>
      <c r="T28" s="1">
        <f>RIGHT(A28,2)*1</f>
        <v>11</v>
      </c>
      <c r="U28" s="2">
        <f>M28/K28</f>
        <v>0.26113226237017634</v>
      </c>
      <c r="V28" s="2">
        <f>N28/K28</f>
        <v>0.21076784593881986</v>
      </c>
      <c r="W28" s="2">
        <f>P28/K28</f>
        <v>0.50062040895772653</v>
      </c>
      <c r="X28" s="2">
        <f>Q28/K28</f>
        <v>0.10896180317542825</v>
      </c>
      <c r="Y28" s="1">
        <f t="shared" si="2"/>
        <v>87436.347999999998</v>
      </c>
      <c r="Z28" s="1">
        <f>_4_1_Synthese_toutes_energies_2026_04[[#This Row],[5, Emissions CO2]]/_4_1_Synthese_toutes_energies_2026_04[[#This Row],[4, Conso totale]]</f>
        <v>0.10896180317542825</v>
      </c>
    </row>
    <row r="29" spans="1:26" x14ac:dyDescent="0.2">
      <c r="A29" s="1" t="s">
        <v>44</v>
      </c>
      <c r="B29" s="1">
        <v>101525.16800000001</v>
      </c>
      <c r="C29" s="1" t="s">
        <v>17</v>
      </c>
      <c r="D29" s="1">
        <v>694.01700000000005</v>
      </c>
      <c r="E29" s="1">
        <v>214.19900000000001</v>
      </c>
      <c r="F29" s="1">
        <v>90211.445999999996</v>
      </c>
      <c r="G29" s="1">
        <v>10405.507</v>
      </c>
      <c r="H29" s="1">
        <f t="shared" si="0"/>
        <v>100616.95299999999</v>
      </c>
      <c r="I29" s="1">
        <v>116933.198</v>
      </c>
      <c r="J29" s="1">
        <v>18449.420999999998</v>
      </c>
      <c r="K29" s="1">
        <v>206368.32699999999</v>
      </c>
      <c r="L29" s="1" t="s">
        <v>45</v>
      </c>
      <c r="M29" s="1">
        <v>68990.521999999997</v>
      </c>
      <c r="N29" s="1">
        <v>34313.529000000002</v>
      </c>
      <c r="O29" s="1">
        <f t="shared" si="1"/>
        <v>103304.05100000001</v>
      </c>
      <c r="P29" s="1">
        <v>97778.277000000002</v>
      </c>
      <c r="Q29" s="1">
        <v>24319.416000000001</v>
      </c>
      <c r="R29" s="1">
        <v>50.396000000000001</v>
      </c>
      <c r="S29" s="1">
        <f>LEFT(A29,4)*1</f>
        <v>2020</v>
      </c>
      <c r="T29" s="1">
        <f>RIGHT(A29,2)*1</f>
        <v>10</v>
      </c>
      <c r="U29" s="2">
        <f>M29/K29</f>
        <v>0.33430770604638377</v>
      </c>
      <c r="V29" s="2">
        <f>N29/K29</f>
        <v>0.16627323339206024</v>
      </c>
      <c r="W29" s="2">
        <f>P29/K29</f>
        <v>0.47380466964777984</v>
      </c>
      <c r="X29" s="2">
        <f>Q29/K29</f>
        <v>0.11784471170326444</v>
      </c>
      <c r="Y29" s="1">
        <f t="shared" si="2"/>
        <v>98483.777000000002</v>
      </c>
      <c r="Z29" s="1">
        <f>_4_1_Synthese_toutes_energies_2026_04[[#This Row],[5, Emissions CO2]]/_4_1_Synthese_toutes_energies_2026_04[[#This Row],[4, Conso totale]]</f>
        <v>0.11784471170326444</v>
      </c>
    </row>
    <row r="30" spans="1:26" x14ac:dyDescent="0.2">
      <c r="A30" s="1" t="s">
        <v>46</v>
      </c>
      <c r="B30" s="1">
        <v>77602.293999999994</v>
      </c>
      <c r="C30" s="1" t="s">
        <v>17</v>
      </c>
      <c r="D30" s="1">
        <v>670.59799999999996</v>
      </c>
      <c r="E30" s="1">
        <v>169.381</v>
      </c>
      <c r="F30" s="1">
        <v>69877.497000000003</v>
      </c>
      <c r="G30" s="1">
        <v>6884.8180000000002</v>
      </c>
      <c r="H30" s="1">
        <f t="shared" si="0"/>
        <v>76762.315000000002</v>
      </c>
      <c r="I30" s="1">
        <v>107135.68799999999</v>
      </c>
      <c r="J30" s="1">
        <v>19728.939999999999</v>
      </c>
      <c r="K30" s="1">
        <v>171334.57500000001</v>
      </c>
      <c r="L30" s="1">
        <v>5521.9369999999999</v>
      </c>
      <c r="M30" s="1">
        <v>67821.017000000007</v>
      </c>
      <c r="N30" s="1">
        <v>20677.267</v>
      </c>
      <c r="O30" s="1">
        <f t="shared" si="1"/>
        <v>94020.22100000002</v>
      </c>
      <c r="P30" s="1">
        <v>77314.354000000007</v>
      </c>
      <c r="Q30" s="1">
        <v>21216.001</v>
      </c>
      <c r="R30" s="1">
        <v>50.331000000000003</v>
      </c>
      <c r="S30" s="1">
        <f>LEFT(A30,4)*1</f>
        <v>2020</v>
      </c>
      <c r="T30" s="1">
        <f>RIGHT(A30,2)*1</f>
        <v>9</v>
      </c>
      <c r="U30" s="2">
        <f>M30/K30</f>
        <v>0.39583964299091412</v>
      </c>
      <c r="V30" s="2">
        <f>N30/K30</f>
        <v>0.12068356313954727</v>
      </c>
      <c r="W30" s="2">
        <f>P30/K30</f>
        <v>0.45124782315536721</v>
      </c>
      <c r="X30" s="2">
        <f>Q30/K30</f>
        <v>0.12382790221996931</v>
      </c>
      <c r="Y30" s="1">
        <f t="shared" si="2"/>
        <v>87406.747999999992</v>
      </c>
      <c r="Z30" s="1">
        <f>_4_1_Synthese_toutes_energies_2026_04[[#This Row],[5, Emissions CO2]]/_4_1_Synthese_toutes_energies_2026_04[[#This Row],[4, Conso totale]]</f>
        <v>0.12382790221996931</v>
      </c>
    </row>
    <row r="31" spans="1:26" x14ac:dyDescent="0.2">
      <c r="A31" s="1" t="s">
        <v>47</v>
      </c>
      <c r="B31" s="1">
        <v>81972.312999999995</v>
      </c>
      <c r="C31" s="1" t="s">
        <v>17</v>
      </c>
      <c r="D31" s="1">
        <v>686.45399999999995</v>
      </c>
      <c r="E31" s="1">
        <v>170.565</v>
      </c>
      <c r="F31" s="1">
        <v>73715.968999999997</v>
      </c>
      <c r="G31" s="1">
        <v>7399.3249999999998</v>
      </c>
      <c r="H31" s="1">
        <f t="shared" si="0"/>
        <v>81115.293999999994</v>
      </c>
      <c r="I31" s="1">
        <v>109287.552</v>
      </c>
      <c r="J31" s="1">
        <v>20941.083999999999</v>
      </c>
      <c r="K31" s="1">
        <v>162187.94399999999</v>
      </c>
      <c r="L31" s="1">
        <v>4574.6620000000003</v>
      </c>
      <c r="M31" s="1">
        <v>61741.955999999998</v>
      </c>
      <c r="N31" s="1">
        <v>16497.511999999999</v>
      </c>
      <c r="O31" s="1">
        <f t="shared" si="1"/>
        <v>82814.13</v>
      </c>
      <c r="P31" s="1">
        <v>79373.815000000002</v>
      </c>
      <c r="Q31" s="1">
        <v>18754.808000000001</v>
      </c>
      <c r="R31" s="1">
        <v>50.631999999999998</v>
      </c>
      <c r="S31" s="1">
        <f>LEFT(A31,4)*1</f>
        <v>2020</v>
      </c>
      <c r="T31" s="1">
        <f>RIGHT(A31,2)*1</f>
        <v>8</v>
      </c>
      <c r="U31" s="2">
        <f>M31/K31</f>
        <v>0.38068153820360412</v>
      </c>
      <c r="V31" s="2">
        <f>N31/K31</f>
        <v>0.10171848531479011</v>
      </c>
      <c r="W31" s="2">
        <f>P31/K31</f>
        <v>0.48939405138522507</v>
      </c>
      <c r="X31" s="2">
        <f>Q31/K31</f>
        <v>0.11563626455490429</v>
      </c>
      <c r="Y31" s="1">
        <f t="shared" si="2"/>
        <v>88346.467999999993</v>
      </c>
      <c r="Z31" s="1">
        <f>_4_1_Synthese_toutes_energies_2026_04[[#This Row],[5, Emissions CO2]]/_4_1_Synthese_toutes_energies_2026_04[[#This Row],[4, Conso totale]]</f>
        <v>0.11563626455490429</v>
      </c>
    </row>
    <row r="32" spans="1:26" x14ac:dyDescent="0.2">
      <c r="A32" s="1" t="s">
        <v>48</v>
      </c>
      <c r="B32" s="1">
        <v>81744.634000000005</v>
      </c>
      <c r="C32" s="1" t="s">
        <v>17</v>
      </c>
      <c r="D32" s="1">
        <v>659.14599999999996</v>
      </c>
      <c r="E32" s="1">
        <v>170.733</v>
      </c>
      <c r="F32" s="1">
        <v>72325.808000000005</v>
      </c>
      <c r="G32" s="1">
        <v>8588.9470000000001</v>
      </c>
      <c r="H32" s="1">
        <f t="shared" si="0"/>
        <v>80914.755000000005</v>
      </c>
      <c r="I32" s="1">
        <v>109687.436</v>
      </c>
      <c r="J32" s="1">
        <v>23761.375</v>
      </c>
      <c r="K32" s="1">
        <v>172399.22899999999</v>
      </c>
      <c r="L32" s="1">
        <v>4697.799</v>
      </c>
      <c r="M32" s="1">
        <v>69557.301000000007</v>
      </c>
      <c r="N32" s="1">
        <v>18530.294999999998</v>
      </c>
      <c r="O32" s="1">
        <f t="shared" si="1"/>
        <v>92785.395000000004</v>
      </c>
      <c r="P32" s="1">
        <v>79613.834000000003</v>
      </c>
      <c r="Q32" s="1">
        <v>20644.256000000001</v>
      </c>
      <c r="R32" s="1">
        <v>50.764000000000003</v>
      </c>
      <c r="S32" s="1">
        <f>LEFT(A32,4)*1</f>
        <v>2020</v>
      </c>
      <c r="T32" s="1">
        <f>RIGHT(A32,2)*1</f>
        <v>7</v>
      </c>
      <c r="U32" s="2">
        <f>M32/K32</f>
        <v>0.40346642733535665</v>
      </c>
      <c r="V32" s="2">
        <f>N32/K32</f>
        <v>0.10748479043372056</v>
      </c>
      <c r="W32" s="2">
        <f>P32/K32</f>
        <v>0.46179924621356633</v>
      </c>
      <c r="X32" s="2">
        <f>Q32/K32</f>
        <v>0.1197468000277426</v>
      </c>
      <c r="Y32" s="1">
        <f t="shared" si="2"/>
        <v>85926.061000000002</v>
      </c>
      <c r="Z32" s="1">
        <f>_4_1_Synthese_toutes_energies_2026_04[[#This Row],[5, Emissions CO2]]/_4_1_Synthese_toutes_energies_2026_04[[#This Row],[4, Conso totale]]</f>
        <v>0.1197468000277426</v>
      </c>
    </row>
    <row r="33" spans="1:26" x14ac:dyDescent="0.2">
      <c r="A33" s="1" t="s">
        <v>49</v>
      </c>
      <c r="B33" s="1">
        <v>79671.085000000006</v>
      </c>
      <c r="C33" s="1" t="s">
        <v>17</v>
      </c>
      <c r="D33" s="1">
        <v>597.65800000000002</v>
      </c>
      <c r="E33" s="1">
        <v>162.06299999999999</v>
      </c>
      <c r="F33" s="1">
        <v>68777.752999999997</v>
      </c>
      <c r="G33" s="1">
        <v>10133.611000000001</v>
      </c>
      <c r="H33" s="1">
        <f t="shared" si="0"/>
        <v>78911.364000000001</v>
      </c>
      <c r="I33" s="1">
        <v>109907.022</v>
      </c>
      <c r="J33" s="1">
        <v>21176.344000000001</v>
      </c>
      <c r="K33" s="1">
        <v>158949.21400000001</v>
      </c>
      <c r="L33" s="1">
        <v>3649.5439999999999</v>
      </c>
      <c r="M33" s="1">
        <v>60431.925999999999</v>
      </c>
      <c r="N33" s="1">
        <v>19277.864000000001</v>
      </c>
      <c r="O33" s="1">
        <f t="shared" si="1"/>
        <v>83359.334000000003</v>
      </c>
      <c r="P33" s="1">
        <v>75589.879000000001</v>
      </c>
      <c r="Q33" s="1">
        <v>18535.758000000002</v>
      </c>
      <c r="R33" s="1">
        <v>50.957999999999998</v>
      </c>
      <c r="S33" s="1">
        <f>LEFT(A33,4)*1</f>
        <v>2020</v>
      </c>
      <c r="T33" s="1">
        <f>RIGHT(A33,2)*1</f>
        <v>6</v>
      </c>
      <c r="U33" s="2">
        <f>M33/K33</f>
        <v>0.38019644438128519</v>
      </c>
      <c r="V33" s="2">
        <f>N33/K33</f>
        <v>0.12128316658426509</v>
      </c>
      <c r="W33" s="2">
        <f>P33/K33</f>
        <v>0.47555994205797075</v>
      </c>
      <c r="X33" s="2">
        <f>Q33/K33</f>
        <v>0.11661434198724632</v>
      </c>
      <c r="Y33" s="1">
        <f t="shared" si="2"/>
        <v>88730.678</v>
      </c>
      <c r="Z33" s="1">
        <f>_4_1_Synthese_toutes_energies_2026_04[[#This Row],[5, Emissions CO2]]/_4_1_Synthese_toutes_energies_2026_04[[#This Row],[4, Conso totale]]</f>
        <v>0.11661434198724632</v>
      </c>
    </row>
    <row r="34" spans="1:26" x14ac:dyDescent="0.2">
      <c r="A34" s="1" t="s">
        <v>50</v>
      </c>
      <c r="B34" s="1">
        <v>91285.304999999993</v>
      </c>
      <c r="C34" s="1" t="s">
        <v>17</v>
      </c>
      <c r="D34" s="1">
        <v>401.08499999999998</v>
      </c>
      <c r="E34" s="1">
        <v>166.68899999999999</v>
      </c>
      <c r="F34" s="1">
        <v>79563.073000000004</v>
      </c>
      <c r="G34" s="1">
        <v>11154.458000000001</v>
      </c>
      <c r="H34" s="1">
        <f t="shared" si="0"/>
        <v>90717.531000000003</v>
      </c>
      <c r="I34" s="1">
        <v>119653.34699999999</v>
      </c>
      <c r="J34" s="1">
        <v>21358.335999999999</v>
      </c>
      <c r="K34" s="1">
        <v>159352.361</v>
      </c>
      <c r="L34" s="1">
        <v>4394.0529999999999</v>
      </c>
      <c r="M34" s="1">
        <v>50712.504999999997</v>
      </c>
      <c r="N34" s="1">
        <v>19922.374</v>
      </c>
      <c r="O34" s="1">
        <f t="shared" si="1"/>
        <v>75028.932000000001</v>
      </c>
      <c r="P34" s="1">
        <v>84323.429000000004</v>
      </c>
      <c r="Q34" s="1">
        <v>16738.677</v>
      </c>
      <c r="R34" s="1">
        <v>51.164999999999999</v>
      </c>
      <c r="S34" s="1">
        <f>LEFT(A34,4)*1</f>
        <v>2020</v>
      </c>
      <c r="T34" s="1">
        <f>RIGHT(A34,2)*1</f>
        <v>5</v>
      </c>
      <c r="U34" s="2">
        <f>M34/K34</f>
        <v>0.31824131554599305</v>
      </c>
      <c r="V34" s="2">
        <f>N34/K34</f>
        <v>0.12502089002622307</v>
      </c>
      <c r="W34" s="2">
        <f>P34/K34</f>
        <v>0.52916334888819128</v>
      </c>
      <c r="X34" s="2">
        <f>Q34/K34</f>
        <v>0.10504191400088511</v>
      </c>
      <c r="Y34" s="1">
        <f t="shared" si="2"/>
        <v>98295.010999999999</v>
      </c>
      <c r="Z34" s="1">
        <f>_4_1_Synthese_toutes_energies_2026_04[[#This Row],[5, Emissions CO2]]/_4_1_Synthese_toutes_energies_2026_04[[#This Row],[4, Conso totale]]</f>
        <v>0.10504191400088511</v>
      </c>
    </row>
    <row r="35" spans="1:26" x14ac:dyDescent="0.2">
      <c r="A35" s="1" t="s">
        <v>51</v>
      </c>
      <c r="B35" s="1">
        <v>95343.116999999998</v>
      </c>
      <c r="C35" s="1" t="s">
        <v>17</v>
      </c>
      <c r="D35" s="1">
        <v>452.63600000000002</v>
      </c>
      <c r="E35" s="1">
        <v>161.06</v>
      </c>
      <c r="F35" s="1">
        <v>85870.558999999994</v>
      </c>
      <c r="G35" s="1">
        <v>8858.8610000000008</v>
      </c>
      <c r="H35" s="1">
        <f t="shared" si="0"/>
        <v>94729.42</v>
      </c>
      <c r="I35" s="1">
        <v>104086.103</v>
      </c>
      <c r="J35" s="1">
        <v>24033.742999999999</v>
      </c>
      <c r="K35" s="1">
        <v>156717.94500000001</v>
      </c>
      <c r="L35" s="1">
        <v>4122.1180000000004</v>
      </c>
      <c r="M35" s="1">
        <v>42171.218000000001</v>
      </c>
      <c r="N35" s="1">
        <v>21388.562999999998</v>
      </c>
      <c r="O35" s="1">
        <f t="shared" si="1"/>
        <v>67681.899000000005</v>
      </c>
      <c r="P35" s="1">
        <v>89036.046000000002</v>
      </c>
      <c r="Q35" s="1">
        <v>14804.465</v>
      </c>
      <c r="R35" s="1">
        <v>50.948</v>
      </c>
      <c r="S35" s="1">
        <f>LEFT(A35,4)*1</f>
        <v>2020</v>
      </c>
      <c r="T35" s="1">
        <f>RIGHT(A35,2)*1</f>
        <v>4</v>
      </c>
      <c r="U35" s="2">
        <f>M35/K35</f>
        <v>0.26908991181577835</v>
      </c>
      <c r="V35" s="2">
        <f>N35/K35</f>
        <v>0.13647807211867152</v>
      </c>
      <c r="W35" s="2">
        <f>P35/K35</f>
        <v>0.56812923370070989</v>
      </c>
      <c r="X35" s="2">
        <f>Q35/K35</f>
        <v>9.4465665690039516E-2</v>
      </c>
      <c r="Y35" s="1">
        <f t="shared" si="2"/>
        <v>80052.36</v>
      </c>
      <c r="Z35" s="1">
        <f>_4_1_Synthese_toutes_energies_2026_04[[#This Row],[5, Emissions CO2]]/_4_1_Synthese_toutes_energies_2026_04[[#This Row],[4, Conso totale]]</f>
        <v>9.4465665690039516E-2</v>
      </c>
    </row>
    <row r="36" spans="1:26" x14ac:dyDescent="0.2">
      <c r="A36" s="1" t="s">
        <v>52</v>
      </c>
      <c r="B36" s="1">
        <v>111681.276</v>
      </c>
      <c r="C36" s="1" t="s">
        <v>17</v>
      </c>
      <c r="D36" s="1">
        <v>695.81200000000001</v>
      </c>
      <c r="E36" s="1">
        <v>162.00399999999999</v>
      </c>
      <c r="F36" s="1">
        <v>97714.37</v>
      </c>
      <c r="G36" s="1">
        <v>13109.09</v>
      </c>
      <c r="H36" s="1">
        <f t="shared" si="0"/>
        <v>110823.45999999999</v>
      </c>
      <c r="I36" s="1">
        <v>122199.761</v>
      </c>
      <c r="J36" s="1">
        <v>25216.644</v>
      </c>
      <c r="K36" s="1">
        <v>215638.785</v>
      </c>
      <c r="L36" s="1">
        <v>5403.9319999999998</v>
      </c>
      <c r="M36" s="1">
        <v>61447.275999999998</v>
      </c>
      <c r="N36" s="1">
        <v>43957.514999999999</v>
      </c>
      <c r="O36" s="1">
        <f t="shared" si="1"/>
        <v>110808.723</v>
      </c>
      <c r="P36" s="1">
        <v>104830.06200000001</v>
      </c>
      <c r="Q36" s="1">
        <v>24593.407999999999</v>
      </c>
      <c r="R36" s="1">
        <v>50.317999999999998</v>
      </c>
      <c r="S36" s="1">
        <f>LEFT(A36,4)*1</f>
        <v>2020</v>
      </c>
      <c r="T36" s="1">
        <f>RIGHT(A36,2)*1</f>
        <v>3</v>
      </c>
      <c r="U36" s="2">
        <f>M36/K36</f>
        <v>0.28495465692778782</v>
      </c>
      <c r="V36" s="2">
        <f>N36/K36</f>
        <v>0.20384790704510786</v>
      </c>
      <c r="W36" s="2">
        <f>P36/K36</f>
        <v>0.48613732450774105</v>
      </c>
      <c r="X36" s="2">
        <f>Q36/K36</f>
        <v>0.11404909371938818</v>
      </c>
      <c r="Y36" s="1">
        <f t="shared" si="2"/>
        <v>96983.116999999998</v>
      </c>
      <c r="Z36" s="1">
        <f>_4_1_Synthese_toutes_energies_2026_04[[#This Row],[5, Emissions CO2]]/_4_1_Synthese_toutes_energies_2026_04[[#This Row],[4, Conso totale]]</f>
        <v>0.11404909371938818</v>
      </c>
    </row>
    <row r="37" spans="1:26" x14ac:dyDescent="0.2">
      <c r="A37" s="1" t="s">
        <v>53</v>
      </c>
      <c r="B37" s="1">
        <v>119587.17</v>
      </c>
      <c r="C37" s="1" t="s">
        <v>17</v>
      </c>
      <c r="D37" s="1">
        <v>684.779</v>
      </c>
      <c r="E37" s="1">
        <v>141.43700000000001</v>
      </c>
      <c r="F37" s="1">
        <v>105638.334</v>
      </c>
      <c r="G37" s="1">
        <v>13122.62</v>
      </c>
      <c r="H37" s="1">
        <f t="shared" si="0"/>
        <v>118760.954</v>
      </c>
      <c r="I37" s="1">
        <v>111452.60799999999</v>
      </c>
      <c r="J37" s="1">
        <v>26185.581999999999</v>
      </c>
      <c r="K37" s="1">
        <v>232012.85699999999</v>
      </c>
      <c r="L37" s="1">
        <v>6175.2190000000001</v>
      </c>
      <c r="M37" s="1">
        <v>67059.142999999996</v>
      </c>
      <c r="N37" s="1">
        <v>46768.671999999999</v>
      </c>
      <c r="O37" s="1">
        <f t="shared" si="1"/>
        <v>120003.03399999999</v>
      </c>
      <c r="P37" s="1">
        <v>112009.82399999999</v>
      </c>
      <c r="Q37" s="1">
        <v>27227.206999999999</v>
      </c>
      <c r="R37" s="1">
        <v>50.393000000000001</v>
      </c>
      <c r="S37" s="1">
        <f>LEFT(A37,4)*1</f>
        <v>2020</v>
      </c>
      <c r="T37" s="1">
        <f>RIGHT(A37,2)*1</f>
        <v>2</v>
      </c>
      <c r="U37" s="2">
        <f>M37/K37</f>
        <v>0.28903201256644151</v>
      </c>
      <c r="V37" s="2">
        <f>N37/K37</f>
        <v>0.20157793238156627</v>
      </c>
      <c r="W37" s="2">
        <f>P37/K37</f>
        <v>0.48277421108606927</v>
      </c>
      <c r="X37" s="2">
        <f>Q37/K37</f>
        <v>0.11735214742862289</v>
      </c>
      <c r="Y37" s="1">
        <f t="shared" si="2"/>
        <v>85267.025999999998</v>
      </c>
      <c r="Z37" s="1">
        <f>_4_1_Synthese_toutes_energies_2026_04[[#This Row],[5, Emissions CO2]]/_4_1_Synthese_toutes_energies_2026_04[[#This Row],[4, Conso totale]]</f>
        <v>0.11735214742862289</v>
      </c>
    </row>
    <row r="38" spans="1:26" x14ac:dyDescent="0.2">
      <c r="A38" s="1" t="s">
        <v>54</v>
      </c>
      <c r="B38" s="1">
        <v>130780.026</v>
      </c>
      <c r="C38" s="1" t="s">
        <v>17</v>
      </c>
      <c r="D38" s="1">
        <v>708.49099999999999</v>
      </c>
      <c r="E38" s="1">
        <v>144.30199999999999</v>
      </c>
      <c r="F38" s="1">
        <v>118755.94100000001</v>
      </c>
      <c r="G38" s="1">
        <v>11171.290999999999</v>
      </c>
      <c r="H38" s="1">
        <f t="shared" si="0"/>
        <v>129927.232</v>
      </c>
      <c r="I38" s="1">
        <v>117276.77</v>
      </c>
      <c r="J38" s="1">
        <v>24221.929</v>
      </c>
      <c r="K38" s="1">
        <v>262024.66500000001</v>
      </c>
      <c r="L38" s="1">
        <v>6829.4470000000001</v>
      </c>
      <c r="M38" s="1">
        <v>71479.834000000003</v>
      </c>
      <c r="N38" s="1">
        <v>58305.58</v>
      </c>
      <c r="O38" s="1">
        <f t="shared" si="1"/>
        <v>136614.861</v>
      </c>
      <c r="P38" s="1">
        <v>125409.804</v>
      </c>
      <c r="Q38" s="1">
        <v>30979.055</v>
      </c>
      <c r="R38" s="1">
        <v>50.381</v>
      </c>
      <c r="S38" s="1">
        <f>LEFT(A38,4)*1</f>
        <v>2020</v>
      </c>
      <c r="T38" s="1">
        <f>RIGHT(A38,2)*1</f>
        <v>1</v>
      </c>
      <c r="U38" s="2">
        <f>M38/K38</f>
        <v>0.27279811234564499</v>
      </c>
      <c r="V38" s="2">
        <f>N38/K38</f>
        <v>0.22251943342814692</v>
      </c>
      <c r="W38" s="2">
        <f>P38/K38</f>
        <v>0.47861831633292995</v>
      </c>
      <c r="X38" s="2">
        <f>Q38/K38</f>
        <v>0.11822953766585294</v>
      </c>
      <c r="Y38" s="1">
        <f t="shared" si="2"/>
        <v>93054.841</v>
      </c>
      <c r="Z38" s="1">
        <f>_4_1_Synthese_toutes_energies_2026_04[[#This Row],[5, Emissions CO2]]/_4_1_Synthese_toutes_energies_2026_04[[#This Row],[4, Conso totale]]</f>
        <v>0.11822953766585294</v>
      </c>
    </row>
    <row r="39" spans="1:26" x14ac:dyDescent="0.2">
      <c r="A39" s="1" t="s">
        <v>55</v>
      </c>
      <c r="B39" s="1">
        <v>119523.961</v>
      </c>
      <c r="C39" s="1" t="s">
        <v>17</v>
      </c>
      <c r="D39" s="1">
        <v>711.07</v>
      </c>
      <c r="E39" s="1">
        <v>141.767</v>
      </c>
      <c r="F39" s="1">
        <v>105413.8</v>
      </c>
      <c r="G39" s="1">
        <v>13257.324000000001</v>
      </c>
      <c r="H39" s="1">
        <f t="shared" si="0"/>
        <v>118671.12400000001</v>
      </c>
      <c r="I39" s="1">
        <v>127542.967</v>
      </c>
      <c r="J39" s="1">
        <v>23163.775000000001</v>
      </c>
      <c r="K39" s="1">
        <v>244893.78700000001</v>
      </c>
      <c r="L39" s="1">
        <v>6347.9780000000001</v>
      </c>
      <c r="M39" s="1">
        <v>69780.582999999999</v>
      </c>
      <c r="N39" s="1">
        <v>53663.805999999997</v>
      </c>
      <c r="O39" s="1">
        <f t="shared" si="1"/>
        <v>129792.367</v>
      </c>
      <c r="P39" s="1">
        <v>115101.421</v>
      </c>
      <c r="Q39" s="1">
        <v>29575.141</v>
      </c>
      <c r="R39" s="1">
        <v>50.213999999999999</v>
      </c>
      <c r="S39" s="1">
        <f>LEFT(A39,4)*1</f>
        <v>2019</v>
      </c>
      <c r="T39" s="1">
        <f>RIGHT(A39,2)*1</f>
        <v>12</v>
      </c>
      <c r="U39" s="2">
        <f>M39/K39</f>
        <v>0.28494223497797433</v>
      </c>
      <c r="V39" s="2">
        <f>N39/K39</f>
        <v>0.21913094103934941</v>
      </c>
      <c r="W39" s="2">
        <f>P39/K39</f>
        <v>0.47000547629246303</v>
      </c>
      <c r="X39" s="2">
        <f>Q39/K39</f>
        <v>0.1207672165239537</v>
      </c>
      <c r="Y39" s="1">
        <f t="shared" si="2"/>
        <v>104379.19200000001</v>
      </c>
      <c r="Z39" s="1">
        <f>_4_1_Synthese_toutes_energies_2026_04[[#This Row],[5, Emissions CO2]]/_4_1_Synthese_toutes_energies_2026_04[[#This Row],[4, Conso totale]]</f>
        <v>0.1207672165239537</v>
      </c>
    </row>
    <row r="40" spans="1:26" x14ac:dyDescent="0.2">
      <c r="A40" s="1" t="s">
        <v>56</v>
      </c>
      <c r="B40" s="1">
        <v>104563.239</v>
      </c>
      <c r="C40" s="1" t="s">
        <v>17</v>
      </c>
      <c r="D40" s="1">
        <v>717.65200000000004</v>
      </c>
      <c r="E40" s="1">
        <v>124.2</v>
      </c>
      <c r="F40" s="1">
        <v>93100.702000000005</v>
      </c>
      <c r="G40" s="1">
        <v>10620.684999999999</v>
      </c>
      <c r="H40" s="1">
        <f t="shared" si="0"/>
        <v>103721.387</v>
      </c>
      <c r="I40" s="1">
        <v>137799.97899999999</v>
      </c>
      <c r="J40" s="1">
        <v>22131.825000000001</v>
      </c>
      <c r="K40" s="1">
        <v>229887.70699999999</v>
      </c>
      <c r="L40" s="1">
        <v>6786.1450000000004</v>
      </c>
      <c r="M40" s="1">
        <v>70062.366999999998</v>
      </c>
      <c r="N40" s="1">
        <v>50705.944000000003</v>
      </c>
      <c r="O40" s="1">
        <f t="shared" si="1"/>
        <v>127554.45600000001</v>
      </c>
      <c r="P40" s="1">
        <v>102333.251</v>
      </c>
      <c r="Q40" s="1">
        <v>28744.403999999999</v>
      </c>
      <c r="R40" s="1">
        <v>50.497999999999998</v>
      </c>
      <c r="S40" s="1">
        <f>LEFT(A40,4)*1</f>
        <v>2019</v>
      </c>
      <c r="T40" s="1">
        <f>RIGHT(A40,2)*1</f>
        <v>11</v>
      </c>
      <c r="U40" s="2">
        <f>M40/K40</f>
        <v>0.30476778386414544</v>
      </c>
      <c r="V40" s="2">
        <f>N40/K40</f>
        <v>0.22056831425092255</v>
      </c>
      <c r="W40" s="2">
        <f>P40/K40</f>
        <v>0.44514451135919159</v>
      </c>
      <c r="X40" s="2">
        <f>Q40/K40</f>
        <v>0.12503671629557817</v>
      </c>
      <c r="Y40" s="1">
        <f t="shared" si="2"/>
        <v>115668.15399999999</v>
      </c>
      <c r="Z40" s="1">
        <f>_4_1_Synthese_toutes_energies_2026_04[[#This Row],[5, Emissions CO2]]/_4_1_Synthese_toutes_energies_2026_04[[#This Row],[4, Conso totale]]</f>
        <v>0.12503671629557817</v>
      </c>
    </row>
    <row r="41" spans="1:26" x14ac:dyDescent="0.2">
      <c r="A41" s="1" t="s">
        <v>57</v>
      </c>
      <c r="B41" s="1">
        <v>102025.173</v>
      </c>
      <c r="C41" s="1" t="s">
        <v>17</v>
      </c>
      <c r="D41" s="1">
        <v>768.74300000000005</v>
      </c>
      <c r="E41" s="1">
        <v>122.7</v>
      </c>
      <c r="F41" s="1">
        <v>92959.701000000001</v>
      </c>
      <c r="G41" s="1">
        <v>8174.03</v>
      </c>
      <c r="H41" s="1">
        <f t="shared" si="0"/>
        <v>101133.731</v>
      </c>
      <c r="I41" s="1">
        <v>136373.682</v>
      </c>
      <c r="J41" s="1">
        <v>26100.488000000001</v>
      </c>
      <c r="K41" s="1">
        <v>210440.198</v>
      </c>
      <c r="L41" s="1">
        <v>5924.7780000000002</v>
      </c>
      <c r="M41" s="1">
        <v>77481.474000000002</v>
      </c>
      <c r="N41" s="1">
        <v>30182.708999999999</v>
      </c>
      <c r="O41" s="1">
        <f t="shared" si="1"/>
        <v>113588.96100000001</v>
      </c>
      <c r="P41" s="1">
        <v>96851.236999999994</v>
      </c>
      <c r="Q41" s="1">
        <v>25740.879000000001</v>
      </c>
      <c r="R41" s="1">
        <v>50.636000000000003</v>
      </c>
      <c r="S41" s="1">
        <f>LEFT(A41,4)*1</f>
        <v>2019</v>
      </c>
      <c r="T41" s="1">
        <f>RIGHT(A41,2)*1</f>
        <v>10</v>
      </c>
      <c r="U41" s="2">
        <f>M41/K41</f>
        <v>0.36818761214052842</v>
      </c>
      <c r="V41" s="2">
        <f>N41/K41</f>
        <v>0.14342653773781375</v>
      </c>
      <c r="W41" s="2">
        <f>P41/K41</f>
        <v>0.46023163787367277</v>
      </c>
      <c r="X41" s="2">
        <f>Q41/K41</f>
        <v>0.12231921108532696</v>
      </c>
      <c r="Y41" s="1">
        <f t="shared" si="2"/>
        <v>110273.194</v>
      </c>
      <c r="Z41" s="1">
        <f>_4_1_Synthese_toutes_energies_2026_04[[#This Row],[5, Emissions CO2]]/_4_1_Synthese_toutes_energies_2026_04[[#This Row],[4, Conso totale]]</f>
        <v>0.12231921108532696</v>
      </c>
    </row>
    <row r="42" spans="1:26" x14ac:dyDescent="0.2">
      <c r="A42" s="1" t="s">
        <v>58</v>
      </c>
      <c r="B42" s="1">
        <v>95436.751000000004</v>
      </c>
      <c r="C42" s="1" t="s">
        <v>17</v>
      </c>
      <c r="D42" s="1">
        <v>720.83900000000006</v>
      </c>
      <c r="E42" s="1">
        <v>114.712</v>
      </c>
      <c r="F42" s="1">
        <v>88010.441000000006</v>
      </c>
      <c r="G42" s="1">
        <v>6590.759</v>
      </c>
      <c r="H42" s="1">
        <f t="shared" si="0"/>
        <v>94601.200000000012</v>
      </c>
      <c r="I42" s="1">
        <v>113770.448</v>
      </c>
      <c r="J42" s="1">
        <v>27507.758000000002</v>
      </c>
      <c r="K42" s="1">
        <v>192423.04000000001</v>
      </c>
      <c r="L42" s="1">
        <v>5870.6629999999996</v>
      </c>
      <c r="M42" s="1">
        <v>76660.206999999995</v>
      </c>
      <c r="N42" s="1">
        <v>20185.008999999998</v>
      </c>
      <c r="O42" s="1">
        <f t="shared" si="1"/>
        <v>102715.87899999999</v>
      </c>
      <c r="P42" s="1">
        <v>89707.16</v>
      </c>
      <c r="Q42" s="1">
        <v>23568.001</v>
      </c>
      <c r="R42" s="1">
        <v>50.615000000000002</v>
      </c>
      <c r="S42" s="1">
        <f>LEFT(A42,4)*1</f>
        <v>2019</v>
      </c>
      <c r="T42" s="1">
        <f>RIGHT(A42,2)*1</f>
        <v>9</v>
      </c>
      <c r="U42" s="2">
        <f>M42/K42</f>
        <v>0.39839411642181721</v>
      </c>
      <c r="V42" s="2">
        <f>N42/K42</f>
        <v>0.10489912746415396</v>
      </c>
      <c r="W42" s="2">
        <f>P42/K42</f>
        <v>0.46619760294817086</v>
      </c>
      <c r="X42" s="2">
        <f>Q42/K42</f>
        <v>0.12248014063180791</v>
      </c>
      <c r="Y42" s="1">
        <f t="shared" si="2"/>
        <v>86262.69</v>
      </c>
      <c r="Z42" s="1">
        <f>_4_1_Synthese_toutes_energies_2026_04[[#This Row],[5, Emissions CO2]]/_4_1_Synthese_toutes_energies_2026_04[[#This Row],[4, Conso totale]]</f>
        <v>0.12248014063180791</v>
      </c>
    </row>
    <row r="43" spans="1:26" x14ac:dyDescent="0.2">
      <c r="A43" s="1" t="s">
        <v>59</v>
      </c>
      <c r="B43" s="1">
        <v>96602.835000000006</v>
      </c>
      <c r="C43" s="1" t="s">
        <v>17</v>
      </c>
      <c r="D43" s="1">
        <v>755.95</v>
      </c>
      <c r="E43" s="1">
        <v>101.256</v>
      </c>
      <c r="F43" s="1">
        <v>88794.004000000001</v>
      </c>
      <c r="G43" s="1">
        <v>6951.6239999999998</v>
      </c>
      <c r="H43" s="1">
        <f t="shared" si="0"/>
        <v>95745.627999999997</v>
      </c>
      <c r="I43" s="1">
        <v>135439.09299999999</v>
      </c>
      <c r="J43" s="1">
        <v>27723.79</v>
      </c>
      <c r="K43" s="1">
        <v>184795.495</v>
      </c>
      <c r="L43" s="1">
        <v>6147.8360000000002</v>
      </c>
      <c r="M43" s="1">
        <v>72320.986000000004</v>
      </c>
      <c r="N43" s="1">
        <v>16157.965</v>
      </c>
      <c r="O43" s="1">
        <f t="shared" si="1"/>
        <v>94626.786999999997</v>
      </c>
      <c r="P43" s="1">
        <v>90168.709000000003</v>
      </c>
      <c r="Q43" s="1">
        <v>21569.106</v>
      </c>
      <c r="R43" s="1">
        <v>50.831000000000003</v>
      </c>
      <c r="S43" s="1">
        <f>LEFT(A43,4)*1</f>
        <v>2019</v>
      </c>
      <c r="T43" s="1">
        <f>RIGHT(A43,2)*1</f>
        <v>8</v>
      </c>
      <c r="U43" s="2">
        <f>M43/K43</f>
        <v>0.39135686722233143</v>
      </c>
      <c r="V43" s="2">
        <f>N43/K43</f>
        <v>8.7437007054744498E-2</v>
      </c>
      <c r="W43" s="2">
        <f>P43/K43</f>
        <v>0.48793780930644443</v>
      </c>
      <c r="X43" s="2">
        <f>Q43/K43</f>
        <v>0.1167187868946697</v>
      </c>
      <c r="Y43" s="1">
        <f t="shared" si="2"/>
        <v>107715.30299999999</v>
      </c>
      <c r="Z43" s="1">
        <f>_4_1_Synthese_toutes_energies_2026_04[[#This Row],[5, Emissions CO2]]/_4_1_Synthese_toutes_energies_2026_04[[#This Row],[4, Conso totale]]</f>
        <v>0.1167187868946697</v>
      </c>
    </row>
    <row r="44" spans="1:26" x14ac:dyDescent="0.2">
      <c r="A44" s="1" t="s">
        <v>60</v>
      </c>
      <c r="B44" s="1">
        <v>101710.728</v>
      </c>
      <c r="C44" s="1" t="s">
        <v>17</v>
      </c>
      <c r="D44" s="1">
        <v>596.61900000000003</v>
      </c>
      <c r="E44" s="1">
        <v>92.322999999999993</v>
      </c>
      <c r="F44" s="1">
        <v>93226.275999999998</v>
      </c>
      <c r="G44" s="1">
        <v>7795.51</v>
      </c>
      <c r="H44" s="1">
        <f t="shared" si="0"/>
        <v>101021.78599999999</v>
      </c>
      <c r="I44" s="1">
        <v>137071.41500000001</v>
      </c>
      <c r="J44" s="1">
        <v>30413.151000000002</v>
      </c>
      <c r="K44" s="1">
        <v>202338.76800000001</v>
      </c>
      <c r="L44" s="1">
        <v>6358.63</v>
      </c>
      <c r="M44" s="1">
        <v>81580.039999999994</v>
      </c>
      <c r="N44" s="1">
        <v>19001.858</v>
      </c>
      <c r="O44" s="1">
        <f t="shared" si="1"/>
        <v>106940.52799999999</v>
      </c>
      <c r="P44" s="1">
        <v>95398.24</v>
      </c>
      <c r="Q44" s="1">
        <v>24412.564999999999</v>
      </c>
      <c r="R44" s="1">
        <v>50.713999999999999</v>
      </c>
      <c r="S44" s="1">
        <f>LEFT(A44,4)*1</f>
        <v>2019</v>
      </c>
      <c r="T44" s="1">
        <f>RIGHT(A44,2)*1</f>
        <v>7</v>
      </c>
      <c r="U44" s="2">
        <f>M44/K44</f>
        <v>0.40318541427513283</v>
      </c>
      <c r="V44" s="2">
        <f>N44/K44</f>
        <v>9.3911108522712755E-2</v>
      </c>
      <c r="W44" s="2">
        <f>P44/K44</f>
        <v>0.47147781388092669</v>
      </c>
      <c r="X44" s="2">
        <f>Q44/K44</f>
        <v>0.12065194051196357</v>
      </c>
      <c r="Y44" s="1">
        <f t="shared" si="2"/>
        <v>106658.26400000001</v>
      </c>
      <c r="Z44" s="1">
        <f>_4_1_Synthese_toutes_energies_2026_04[[#This Row],[5, Emissions CO2]]/_4_1_Synthese_toutes_energies_2026_04[[#This Row],[4, Conso totale]]</f>
        <v>0.12065194051196357</v>
      </c>
    </row>
    <row r="45" spans="1:26" x14ac:dyDescent="0.2">
      <c r="A45" s="1" t="s">
        <v>61</v>
      </c>
      <c r="B45" s="1">
        <v>101141.435</v>
      </c>
      <c r="C45" s="1" t="s">
        <v>17</v>
      </c>
      <c r="D45" s="1">
        <v>596.61900000000003</v>
      </c>
      <c r="E45" s="1">
        <v>93.822000000000003</v>
      </c>
      <c r="F45" s="1">
        <v>91228.342000000004</v>
      </c>
      <c r="G45" s="1">
        <v>9222.652</v>
      </c>
      <c r="H45" s="1">
        <f t="shared" si="0"/>
        <v>100450.99400000001</v>
      </c>
      <c r="I45" s="1">
        <v>126630.026</v>
      </c>
      <c r="J45" s="1">
        <v>27450.417000000001</v>
      </c>
      <c r="K45" s="1">
        <v>190999.02499999999</v>
      </c>
      <c r="L45" s="1">
        <v>6342.9570000000003</v>
      </c>
      <c r="M45" s="1">
        <v>72901.407999999996</v>
      </c>
      <c r="N45" s="1">
        <v>18430.566999999999</v>
      </c>
      <c r="O45" s="1">
        <f t="shared" si="1"/>
        <v>97674.931999999986</v>
      </c>
      <c r="P45" s="1">
        <v>93324.092999999993</v>
      </c>
      <c r="Q45" s="1">
        <v>22278.934000000001</v>
      </c>
      <c r="R45" s="1">
        <v>50.841999999999999</v>
      </c>
      <c r="S45" s="1">
        <f>LEFT(A45,4)*1</f>
        <v>2019</v>
      </c>
      <c r="T45" s="1">
        <f>RIGHT(A45,2)*1</f>
        <v>6</v>
      </c>
      <c r="U45" s="2">
        <f>M45/K45</f>
        <v>0.38168471278845534</v>
      </c>
      <c r="V45" s="2">
        <f>N45/K45</f>
        <v>9.649560776553702E-2</v>
      </c>
      <c r="W45" s="2">
        <f>P45/K45</f>
        <v>0.48861031096886487</v>
      </c>
      <c r="X45" s="2">
        <f>Q45/K45</f>
        <v>0.11664422894305351</v>
      </c>
      <c r="Y45" s="1">
        <f t="shared" si="2"/>
        <v>99179.608999999997</v>
      </c>
      <c r="Z45" s="1">
        <f>_4_1_Synthese_toutes_energies_2026_04[[#This Row],[5, Emissions CO2]]/_4_1_Synthese_toutes_energies_2026_04[[#This Row],[4, Conso totale]]</f>
        <v>0.11664422894305351</v>
      </c>
    </row>
    <row r="46" spans="1:26" x14ac:dyDescent="0.2">
      <c r="A46" s="1" t="s">
        <v>62</v>
      </c>
      <c r="B46" s="1">
        <v>110939.223</v>
      </c>
      <c r="C46" s="1" t="s">
        <v>17</v>
      </c>
      <c r="D46" s="1">
        <v>584.69799999999998</v>
      </c>
      <c r="E46" s="1">
        <v>101.79300000000001</v>
      </c>
      <c r="F46" s="1">
        <v>100989.601</v>
      </c>
      <c r="G46" s="1">
        <v>9263.1309999999994</v>
      </c>
      <c r="H46" s="1">
        <f t="shared" si="0"/>
        <v>110252.73199999999</v>
      </c>
      <c r="I46" s="1">
        <v>143585.40900000001</v>
      </c>
      <c r="J46" s="1">
        <v>30575.168000000001</v>
      </c>
      <c r="K46" s="1">
        <v>208492.38800000001</v>
      </c>
      <c r="L46" s="1">
        <v>6212.8090000000002</v>
      </c>
      <c r="M46" s="1">
        <v>72304.592999999993</v>
      </c>
      <c r="N46" s="1">
        <v>27195.356</v>
      </c>
      <c r="O46" s="1">
        <f t="shared" si="1"/>
        <v>105712.75799999999</v>
      </c>
      <c r="P46" s="1">
        <v>102779.63</v>
      </c>
      <c r="Q46" s="1">
        <v>23834.272000000001</v>
      </c>
      <c r="R46" s="1">
        <v>50.84</v>
      </c>
      <c r="S46" s="1">
        <f>LEFT(A46,4)*1</f>
        <v>2019</v>
      </c>
      <c r="T46" s="1">
        <f>RIGHT(A46,2)*1</f>
        <v>5</v>
      </c>
      <c r="U46" s="2">
        <f>M46/K46</f>
        <v>0.34679727971651414</v>
      </c>
      <c r="V46" s="2">
        <f>N46/K46</f>
        <v>0.13043812419664932</v>
      </c>
      <c r="W46" s="2">
        <f>P46/K46</f>
        <v>0.49296586309904034</v>
      </c>
      <c r="X46" s="2">
        <f>Q46/K46</f>
        <v>0.11431722869421976</v>
      </c>
      <c r="Y46" s="1">
        <f t="shared" si="2"/>
        <v>113010.24100000001</v>
      </c>
      <c r="Z46" s="1">
        <f>_4_1_Synthese_toutes_energies_2026_04[[#This Row],[5, Emissions CO2]]/_4_1_Synthese_toutes_energies_2026_04[[#This Row],[4, Conso totale]]</f>
        <v>0.11431722869421976</v>
      </c>
    </row>
    <row r="47" spans="1:26" x14ac:dyDescent="0.2">
      <c r="A47" s="1" t="s">
        <v>63</v>
      </c>
      <c r="B47" s="1">
        <v>109993.902</v>
      </c>
      <c r="C47" s="1" t="s">
        <v>17</v>
      </c>
      <c r="D47" s="1">
        <v>722.22299999999996</v>
      </c>
      <c r="E47" s="1">
        <v>100.943</v>
      </c>
      <c r="F47" s="1">
        <v>101109.583</v>
      </c>
      <c r="G47" s="1">
        <v>8061.152</v>
      </c>
      <c r="H47" s="1">
        <f t="shared" si="0"/>
        <v>109170.735</v>
      </c>
      <c r="I47" s="1">
        <v>143642.09</v>
      </c>
      <c r="J47" s="1">
        <v>30197.396000000001</v>
      </c>
      <c r="K47" s="1">
        <v>217538.03599999999</v>
      </c>
      <c r="L47" s="1">
        <v>6129.9089999999997</v>
      </c>
      <c r="M47" s="1">
        <v>73675.08</v>
      </c>
      <c r="N47" s="1">
        <v>33021.754999999997</v>
      </c>
      <c r="O47" s="1">
        <f t="shared" si="1"/>
        <v>112826.74400000001</v>
      </c>
      <c r="P47" s="1">
        <v>104711.29300000001</v>
      </c>
      <c r="Q47" s="1">
        <v>25550.724999999999</v>
      </c>
      <c r="R47" s="1">
        <v>50.918999999999997</v>
      </c>
      <c r="S47" s="1">
        <f>LEFT(A47,4)*1</f>
        <v>2019</v>
      </c>
      <c r="T47" s="1">
        <f>RIGHT(A47,2)*1</f>
        <v>4</v>
      </c>
      <c r="U47" s="2">
        <f>M47/K47</f>
        <v>0.33867677282882153</v>
      </c>
      <c r="V47" s="2">
        <f>N47/K47</f>
        <v>0.15179761483182647</v>
      </c>
      <c r="W47" s="2">
        <f>P47/K47</f>
        <v>0.48134705509614883</v>
      </c>
      <c r="X47" s="2">
        <f>Q47/K47</f>
        <v>0.11745405755157226</v>
      </c>
      <c r="Y47" s="1">
        <f t="shared" si="2"/>
        <v>113444.69399999999</v>
      </c>
      <c r="Z47" s="1">
        <f>_4_1_Synthese_toutes_energies_2026_04[[#This Row],[5, Emissions CO2]]/_4_1_Synthese_toutes_energies_2026_04[[#This Row],[4, Conso totale]]</f>
        <v>0.11745405755157226</v>
      </c>
    </row>
    <row r="48" spans="1:26" x14ac:dyDescent="0.2">
      <c r="A48" s="1" t="s">
        <v>64</v>
      </c>
      <c r="B48" s="1">
        <v>124639.387</v>
      </c>
      <c r="C48" s="1" t="s">
        <v>17</v>
      </c>
      <c r="D48" s="1">
        <v>751.01900000000001</v>
      </c>
      <c r="E48" s="1">
        <v>102.09099999999999</v>
      </c>
      <c r="F48" s="1">
        <v>112901.594</v>
      </c>
      <c r="G48" s="1">
        <v>10884.683999999999</v>
      </c>
      <c r="H48" s="1">
        <f t="shared" si="0"/>
        <v>123786.27799999999</v>
      </c>
      <c r="I48" s="1">
        <v>153692.845</v>
      </c>
      <c r="J48" s="1">
        <v>33479.351999999999</v>
      </c>
      <c r="K48" s="1">
        <v>237490.09099999999</v>
      </c>
      <c r="L48" s="1">
        <v>6368.3649999999998</v>
      </c>
      <c r="M48" s="1">
        <v>70373.607000000004</v>
      </c>
      <c r="N48" s="1">
        <v>43754.995000000003</v>
      </c>
      <c r="O48" s="1">
        <f t="shared" si="1"/>
        <v>120496.967</v>
      </c>
      <c r="P48" s="1">
        <v>116993.12300000001</v>
      </c>
      <c r="Q48" s="1">
        <v>27250.952000000001</v>
      </c>
      <c r="R48" s="1">
        <v>51.072000000000003</v>
      </c>
      <c r="S48" s="1">
        <f>LEFT(A48,4)*1</f>
        <v>2019</v>
      </c>
      <c r="T48" s="1">
        <f>RIGHT(A48,2)*1</f>
        <v>3</v>
      </c>
      <c r="U48" s="2">
        <f>M48/K48</f>
        <v>0.29632228740019306</v>
      </c>
      <c r="V48" s="2">
        <f>N48/K48</f>
        <v>0.18423924474389966</v>
      </c>
      <c r="W48" s="2">
        <f>P48/K48</f>
        <v>0.49262317643391706</v>
      </c>
      <c r="X48" s="2">
        <f>Q48/K48</f>
        <v>0.11474563795590109</v>
      </c>
      <c r="Y48" s="1">
        <f t="shared" si="2"/>
        <v>120213.493</v>
      </c>
      <c r="Z48" s="1">
        <f>_4_1_Synthese_toutes_energies_2026_04[[#This Row],[5, Emissions CO2]]/_4_1_Synthese_toutes_energies_2026_04[[#This Row],[4, Conso totale]]</f>
        <v>0.11474563795590109</v>
      </c>
    </row>
    <row r="49" spans="1:26" x14ac:dyDescent="0.2">
      <c r="A49" s="1" t="s">
        <v>65</v>
      </c>
      <c r="B49" s="1">
        <v>123646.935</v>
      </c>
      <c r="C49" s="1" t="s">
        <v>17</v>
      </c>
      <c r="D49" s="1">
        <v>694.31100000000004</v>
      </c>
      <c r="E49" s="1">
        <v>89.600999999999999</v>
      </c>
      <c r="F49" s="1">
        <v>114250.76300000001</v>
      </c>
      <c r="G49" s="1">
        <v>8612.26</v>
      </c>
      <c r="H49" s="1">
        <f t="shared" si="0"/>
        <v>122863.023</v>
      </c>
      <c r="I49" s="1">
        <v>128583.08500000001</v>
      </c>
      <c r="J49" s="1">
        <v>32616.190999999999</v>
      </c>
      <c r="K49" s="1">
        <v>240705.845</v>
      </c>
      <c r="L49" s="1">
        <v>6606.9369999999999</v>
      </c>
      <c r="M49" s="1">
        <v>66723.876000000004</v>
      </c>
      <c r="N49" s="1">
        <v>50038.158000000003</v>
      </c>
      <c r="O49" s="1">
        <f t="shared" si="1"/>
        <v>123368.97100000002</v>
      </c>
      <c r="P49" s="1">
        <v>117336.874</v>
      </c>
      <c r="Q49" s="1">
        <v>27900.272000000001</v>
      </c>
      <c r="R49" s="1">
        <v>50.648000000000003</v>
      </c>
      <c r="S49" s="1">
        <f>LEFT(A49,4)*1</f>
        <v>2019</v>
      </c>
      <c r="T49" s="1">
        <f>RIGHT(A49,2)*1</f>
        <v>2</v>
      </c>
      <c r="U49" s="2">
        <f>M49/K49</f>
        <v>0.27720089638870216</v>
      </c>
      <c r="V49" s="2">
        <f>N49/K49</f>
        <v>0.20788094281632422</v>
      </c>
      <c r="W49" s="2">
        <f>P49/K49</f>
        <v>0.48746998229311794</v>
      </c>
      <c r="X49" s="2">
        <f>Q49/K49</f>
        <v>0.1159102389059144</v>
      </c>
      <c r="Y49" s="1">
        <f t="shared" si="2"/>
        <v>95966.894</v>
      </c>
      <c r="Z49" s="1">
        <f>_4_1_Synthese_toutes_energies_2026_04[[#This Row],[5, Emissions CO2]]/_4_1_Synthese_toutes_energies_2026_04[[#This Row],[4, Conso totale]]</f>
        <v>0.1159102389059144</v>
      </c>
    </row>
    <row r="50" spans="1:26" x14ac:dyDescent="0.2">
      <c r="A50" s="1" t="s">
        <v>66</v>
      </c>
      <c r="B50" s="1" t="s">
        <v>67</v>
      </c>
      <c r="C50" s="1" t="s">
        <v>17</v>
      </c>
      <c r="D50" s="1">
        <v>751.65899999999999</v>
      </c>
      <c r="E50" s="1">
        <v>85.930999999999997</v>
      </c>
      <c r="F50" s="1">
        <v>127358.57399999999</v>
      </c>
      <c r="G50" s="1">
        <v>8616.8359999999993</v>
      </c>
      <c r="H50" s="1">
        <f t="shared" si="0"/>
        <v>135975.41</v>
      </c>
      <c r="I50" s="1">
        <v>144477.92800000001</v>
      </c>
      <c r="J50" s="1">
        <v>25706.576000000001</v>
      </c>
      <c r="K50" s="1">
        <v>282755.011</v>
      </c>
      <c r="L50" s="1">
        <v>7552.7860000000001</v>
      </c>
      <c r="M50" s="1">
        <v>74074.462</v>
      </c>
      <c r="N50" s="1">
        <v>66486.402000000002</v>
      </c>
      <c r="O50" s="1">
        <f t="shared" si="1"/>
        <v>148113.65</v>
      </c>
      <c r="P50" s="1">
        <v>134641.361</v>
      </c>
      <c r="Q50" s="1">
        <v>33176.821000000004</v>
      </c>
      <c r="R50" s="1">
        <v>50.31</v>
      </c>
      <c r="S50" s="1">
        <f>LEFT(A50,4)*1</f>
        <v>2019</v>
      </c>
      <c r="T50" s="1">
        <f>RIGHT(A50,2)*1</f>
        <v>1</v>
      </c>
      <c r="U50" s="2">
        <f>M50/K50</f>
        <v>0.26197400264641107</v>
      </c>
      <c r="V50" s="2">
        <f>N50/K50</f>
        <v>0.23513783810536962</v>
      </c>
      <c r="W50" s="2">
        <f>P50/K50</f>
        <v>0.47617674581194253</v>
      </c>
      <c r="X50" s="2">
        <f>Q50/K50</f>
        <v>0.11733415751913943</v>
      </c>
      <c r="Y50" s="1">
        <f t="shared" si="2"/>
        <v>118771.35200000001</v>
      </c>
      <c r="Z50" s="1">
        <f>_4_1_Synthese_toutes_energies_2026_04[[#This Row],[5, Emissions CO2]]/_4_1_Synthese_toutes_energies_2026_04[[#This Row],[4, Conso totale]]</f>
        <v>0.11733415751913943</v>
      </c>
    </row>
    <row r="51" spans="1:26" x14ac:dyDescent="0.2">
      <c r="A51" s="1" t="s">
        <v>68</v>
      </c>
      <c r="B51" s="1">
        <v>133532.96799999999</v>
      </c>
      <c r="C51" s="1" t="s">
        <v>17</v>
      </c>
      <c r="D51" s="1">
        <v>750.27499999999998</v>
      </c>
      <c r="E51" s="1">
        <v>81.528999999999996</v>
      </c>
      <c r="F51" s="1">
        <v>123406.02</v>
      </c>
      <c r="G51" s="1">
        <v>9295.1440000000002</v>
      </c>
      <c r="H51" s="1">
        <f t="shared" si="0"/>
        <v>132701.16399999999</v>
      </c>
      <c r="I51" s="1">
        <v>139983.26800000001</v>
      </c>
      <c r="J51" s="1">
        <v>32603.913</v>
      </c>
      <c r="K51" s="1">
        <v>257777.16200000001</v>
      </c>
      <c r="L51" s="1">
        <v>7406.1620000000003</v>
      </c>
      <c r="M51" s="1">
        <v>68595.721999999994</v>
      </c>
      <c r="N51" s="1">
        <v>54317.722000000002</v>
      </c>
      <c r="O51" s="1">
        <f t="shared" si="1"/>
        <v>130319.606</v>
      </c>
      <c r="P51" s="1">
        <v>127457.557</v>
      </c>
      <c r="Q51" s="1">
        <v>29819.382000000001</v>
      </c>
      <c r="R51" s="1">
        <v>50.843000000000004</v>
      </c>
      <c r="S51" s="1">
        <f>LEFT(A51,4)*1</f>
        <v>2018</v>
      </c>
      <c r="T51" s="1">
        <f>RIGHT(A51,2)*1</f>
        <v>12</v>
      </c>
      <c r="U51" s="2">
        <f>M51/K51</f>
        <v>0.26610472963466014</v>
      </c>
      <c r="V51" s="2">
        <f>N51/K51</f>
        <v>0.21071580421852887</v>
      </c>
      <c r="W51" s="2">
        <f>P51/K51</f>
        <v>0.49444860053195866</v>
      </c>
      <c r="X51" s="2">
        <f>Q51/K51</f>
        <v>0.11567891340195606</v>
      </c>
      <c r="Y51" s="1">
        <f t="shared" si="2"/>
        <v>107379.35500000001</v>
      </c>
      <c r="Z51" s="1">
        <f>_4_1_Synthese_toutes_energies_2026_04[[#This Row],[5, Emissions CO2]]/_4_1_Synthese_toutes_energies_2026_04[[#This Row],[4, Conso totale]]</f>
        <v>0.11567891340195606</v>
      </c>
    </row>
    <row r="52" spans="1:26" x14ac:dyDescent="0.2">
      <c r="A52" s="1" t="s">
        <v>69</v>
      </c>
      <c r="B52" s="1">
        <v>112157.776</v>
      </c>
      <c r="C52" s="1" t="s">
        <v>17</v>
      </c>
      <c r="D52" s="1">
        <v>733.57399999999996</v>
      </c>
      <c r="E52" s="1">
        <v>67.587000000000003</v>
      </c>
      <c r="F52" s="1">
        <v>103937.52099999999</v>
      </c>
      <c r="G52" s="1">
        <v>7419.0940000000001</v>
      </c>
      <c r="H52" s="1">
        <f t="shared" si="0"/>
        <v>111356.61499999999</v>
      </c>
      <c r="I52" s="1">
        <v>135628.04199999999</v>
      </c>
      <c r="J52" s="1">
        <v>21909.576000000001</v>
      </c>
      <c r="K52" s="1">
        <v>237663.45300000001</v>
      </c>
      <c r="L52" s="1">
        <v>8211.7790000000005</v>
      </c>
      <c r="M52" s="1">
        <v>70143.262000000002</v>
      </c>
      <c r="N52" s="1">
        <v>49876.313000000002</v>
      </c>
      <c r="O52" s="1">
        <f t="shared" si="1"/>
        <v>128231.35399999999</v>
      </c>
      <c r="P52" s="1">
        <v>109432.099</v>
      </c>
      <c r="Q52" s="1">
        <v>29588.454000000002</v>
      </c>
      <c r="R52" s="1">
        <v>50.441000000000003</v>
      </c>
      <c r="S52" s="1">
        <f>LEFT(A52,4)*1</f>
        <v>2018</v>
      </c>
      <c r="T52" s="1">
        <f>RIGHT(A52,2)*1</f>
        <v>11</v>
      </c>
      <c r="U52" s="2">
        <f>M52/K52</f>
        <v>0.29513693045602596</v>
      </c>
      <c r="V52" s="2">
        <f>N52/K52</f>
        <v>0.20986109715405002</v>
      </c>
      <c r="W52" s="2">
        <f>P52/K52</f>
        <v>0.46044984038837472</v>
      </c>
      <c r="X52" s="2">
        <f>Q52/K52</f>
        <v>0.12449728229775404</v>
      </c>
      <c r="Y52" s="1">
        <f t="shared" si="2"/>
        <v>113718.46599999999</v>
      </c>
      <c r="Z52" s="1">
        <f>_4_1_Synthese_toutes_energies_2026_04[[#This Row],[5, Emissions CO2]]/_4_1_Synthese_toutes_energies_2026_04[[#This Row],[4, Conso totale]]</f>
        <v>0.12449728229775404</v>
      </c>
    </row>
    <row r="53" spans="1:26" x14ac:dyDescent="0.2">
      <c r="A53" s="1" t="s">
        <v>70</v>
      </c>
      <c r="B53" s="1">
        <v>107960.621</v>
      </c>
      <c r="C53" s="1" t="s">
        <v>17</v>
      </c>
      <c r="D53" s="1">
        <v>779.61699999999996</v>
      </c>
      <c r="E53" s="1">
        <v>74.697000000000003</v>
      </c>
      <c r="F53" s="1">
        <v>100772.212</v>
      </c>
      <c r="G53" s="1">
        <v>6334.0950000000003</v>
      </c>
      <c r="H53" s="1">
        <f t="shared" si="0"/>
        <v>107106.307</v>
      </c>
      <c r="I53" s="1">
        <v>149563.01300000001</v>
      </c>
      <c r="J53" s="1">
        <v>28004.976999999999</v>
      </c>
      <c r="K53" s="1">
        <v>223244.96</v>
      </c>
      <c r="L53" s="1">
        <v>8514.3430000000008</v>
      </c>
      <c r="M53" s="1">
        <v>80731.743000000002</v>
      </c>
      <c r="N53" s="1">
        <v>31473.722000000002</v>
      </c>
      <c r="O53" s="1">
        <f t="shared" si="1"/>
        <v>120719.80800000002</v>
      </c>
      <c r="P53" s="1">
        <v>102525.152</v>
      </c>
      <c r="Q53" s="1">
        <v>28257.317999999999</v>
      </c>
      <c r="R53" s="1">
        <v>50.195999999999998</v>
      </c>
      <c r="S53" s="1">
        <f>LEFT(A53,4)*1</f>
        <v>2018</v>
      </c>
      <c r="T53" s="1">
        <f>RIGHT(A53,2)*1</f>
        <v>10</v>
      </c>
      <c r="U53" s="2">
        <f>M53/K53</f>
        <v>0.3616285133603912</v>
      </c>
      <c r="V53" s="2">
        <f>N53/K53</f>
        <v>0.1409829005770164</v>
      </c>
      <c r="W53" s="2">
        <f>P53/K53</f>
        <v>0.45924957051661996</v>
      </c>
      <c r="X53" s="2">
        <f>Q53/K53</f>
        <v>0.1265753905485705</v>
      </c>
      <c r="Y53" s="1">
        <f t="shared" si="2"/>
        <v>121558.03600000001</v>
      </c>
      <c r="Z53" s="1">
        <f>_4_1_Synthese_toutes_energies_2026_04[[#This Row],[5, Emissions CO2]]/_4_1_Synthese_toutes_energies_2026_04[[#This Row],[4, Conso totale]]</f>
        <v>0.1265753905485705</v>
      </c>
    </row>
    <row r="54" spans="1:26" x14ac:dyDescent="0.2">
      <c r="A54" s="1" t="s">
        <v>71</v>
      </c>
      <c r="B54" s="1">
        <v>102848.958</v>
      </c>
      <c r="C54" s="1" t="s">
        <v>17</v>
      </c>
      <c r="D54" s="1">
        <v>742.00599999999997</v>
      </c>
      <c r="E54" s="1">
        <v>65.033000000000001</v>
      </c>
      <c r="F54" s="1">
        <v>96104.597999999998</v>
      </c>
      <c r="G54" s="1">
        <v>5937.32</v>
      </c>
      <c r="H54" s="1">
        <f t="shared" si="0"/>
        <v>102041.91800000001</v>
      </c>
      <c r="I54" s="1">
        <v>132703.76800000001</v>
      </c>
      <c r="J54" s="1">
        <v>26016.760999999999</v>
      </c>
      <c r="K54" s="1">
        <v>195630.78899999999</v>
      </c>
      <c r="L54" s="1">
        <v>7498.4790000000003</v>
      </c>
      <c r="M54" s="1">
        <v>72292.19</v>
      </c>
      <c r="N54" s="1">
        <v>19403.286</v>
      </c>
      <c r="O54" s="1">
        <f t="shared" si="1"/>
        <v>99193.955000000016</v>
      </c>
      <c r="P54" s="1">
        <v>96436.834000000003</v>
      </c>
      <c r="Q54" s="1">
        <v>22887.280999999999</v>
      </c>
      <c r="R54" s="1">
        <v>50.07</v>
      </c>
      <c r="S54" s="1">
        <f>LEFT(A54,4)*1</f>
        <v>2018</v>
      </c>
      <c r="T54" s="1">
        <f>RIGHT(A54,2)*1</f>
        <v>9</v>
      </c>
      <c r="U54" s="2">
        <f>M54/K54</f>
        <v>0.3695338058468905</v>
      </c>
      <c r="V54" s="2">
        <f>N54/K54</f>
        <v>9.9183191455614897E-2</v>
      </c>
      <c r="W54" s="2">
        <f>P54/K54</f>
        <v>0.49295325389706429</v>
      </c>
      <c r="X54" s="2">
        <f>Q54/K54</f>
        <v>0.11699222355025109</v>
      </c>
      <c r="Y54" s="1">
        <f t="shared" si="2"/>
        <v>106687.00700000001</v>
      </c>
      <c r="Z54" s="1">
        <f>_4_1_Synthese_toutes_energies_2026_04[[#This Row],[5, Emissions CO2]]/_4_1_Synthese_toutes_energies_2026_04[[#This Row],[4, Conso totale]]</f>
        <v>0.11699222355025109</v>
      </c>
    </row>
    <row r="55" spans="1:26" x14ac:dyDescent="0.2">
      <c r="A55" s="1" t="s">
        <v>72</v>
      </c>
      <c r="B55" s="1">
        <v>95165.956999999995</v>
      </c>
      <c r="C55" s="1" t="s">
        <v>17</v>
      </c>
      <c r="D55" s="1">
        <v>763.39300000000003</v>
      </c>
      <c r="E55" s="1">
        <v>62.210999999999999</v>
      </c>
      <c r="F55" s="1">
        <v>87546.407999999996</v>
      </c>
      <c r="G55" s="1">
        <v>6793.9449999999997</v>
      </c>
      <c r="H55" s="1">
        <f t="shared" si="0"/>
        <v>94340.353000000003</v>
      </c>
      <c r="I55" s="1">
        <v>141101.11900000001</v>
      </c>
      <c r="J55" s="1">
        <v>26783.850999999999</v>
      </c>
      <c r="K55" s="1">
        <v>188132.24799999999</v>
      </c>
      <c r="L55" s="1">
        <v>7172.3270000000002</v>
      </c>
      <c r="M55" s="1">
        <v>74630.33</v>
      </c>
      <c r="N55" s="1">
        <v>16345.485000000001</v>
      </c>
      <c r="O55" s="1">
        <f t="shared" si="1"/>
        <v>98148.142000000007</v>
      </c>
      <c r="P55" s="1">
        <v>89984.106</v>
      </c>
      <c r="Q55" s="1">
        <v>22538.203000000001</v>
      </c>
      <c r="R55" s="1">
        <v>49.805999999999997</v>
      </c>
      <c r="S55" s="1">
        <f>LEFT(A55,4)*1</f>
        <v>2018</v>
      </c>
      <c r="T55" s="1">
        <f>RIGHT(A55,2)*1</f>
        <v>8</v>
      </c>
      <c r="U55" s="2">
        <f>M55/K55</f>
        <v>0.39669078955565346</v>
      </c>
      <c r="V55" s="2">
        <f>N55/K55</f>
        <v>8.6882951613909382E-2</v>
      </c>
      <c r="W55" s="2">
        <f>P55/K55</f>
        <v>0.47830240140435681</v>
      </c>
      <c r="X55" s="2">
        <f>Q55/K55</f>
        <v>0.11979978573370367</v>
      </c>
      <c r="Y55" s="1">
        <f t="shared" si="2"/>
        <v>114317.26800000001</v>
      </c>
      <c r="Z55" s="1">
        <f>_4_1_Synthese_toutes_energies_2026_04[[#This Row],[5, Emissions CO2]]/_4_1_Synthese_toutes_energies_2026_04[[#This Row],[4, Conso totale]]</f>
        <v>0.11979978573370367</v>
      </c>
    </row>
    <row r="56" spans="1:26" x14ac:dyDescent="0.2">
      <c r="A56" s="1" t="s">
        <v>73</v>
      </c>
      <c r="B56" s="1">
        <v>104530.77499999999</v>
      </c>
      <c r="C56" s="1" t="s">
        <v>17</v>
      </c>
      <c r="D56" s="1">
        <v>767.01</v>
      </c>
      <c r="E56" s="1">
        <v>57.78</v>
      </c>
      <c r="F56" s="1">
        <v>95721.775999999998</v>
      </c>
      <c r="G56" s="1">
        <v>7984.2089999999998</v>
      </c>
      <c r="H56" s="1">
        <f t="shared" si="0"/>
        <v>103705.985</v>
      </c>
      <c r="I56" s="1">
        <v>141596.84700000001</v>
      </c>
      <c r="J56" s="1">
        <v>28869.591</v>
      </c>
      <c r="K56" s="1">
        <v>201130.008</v>
      </c>
      <c r="L56" s="1">
        <v>8566.7139999999999</v>
      </c>
      <c r="M56" s="1">
        <v>77346.967000000004</v>
      </c>
      <c r="N56" s="1">
        <v>17773.32</v>
      </c>
      <c r="O56" s="1">
        <f t="shared" si="1"/>
        <v>103687.00100000002</v>
      </c>
      <c r="P56" s="1">
        <v>97443.006999999998</v>
      </c>
      <c r="Q56" s="1">
        <v>23823.973999999998</v>
      </c>
      <c r="R56" s="1">
        <v>49.871000000000002</v>
      </c>
      <c r="S56" s="1">
        <f>LEFT(A56,4)*1</f>
        <v>2018</v>
      </c>
      <c r="T56" s="1">
        <f>RIGHT(A56,2)*1</f>
        <v>7</v>
      </c>
      <c r="U56" s="2">
        <f>M56/K56</f>
        <v>0.38456204406853106</v>
      </c>
      <c r="V56" s="2">
        <f>N56/K56</f>
        <v>8.8367321101086013E-2</v>
      </c>
      <c r="W56" s="2">
        <f>P56/K56</f>
        <v>0.48447771652253896</v>
      </c>
      <c r="X56" s="2">
        <f>Q56/K56</f>
        <v>0.11845061926313849</v>
      </c>
      <c r="Y56" s="1">
        <f t="shared" si="2"/>
        <v>112727.25600000001</v>
      </c>
      <c r="Z56" s="1">
        <f>_4_1_Synthese_toutes_energies_2026_04[[#This Row],[5, Emissions CO2]]/_4_1_Synthese_toutes_energies_2026_04[[#This Row],[4, Conso totale]]</f>
        <v>0.11845061926313849</v>
      </c>
    </row>
    <row r="57" spans="1:26" x14ac:dyDescent="0.2">
      <c r="A57" s="1" t="s">
        <v>74</v>
      </c>
      <c r="B57" s="1">
        <v>102667.84699999999</v>
      </c>
      <c r="C57" s="1" t="s">
        <v>17</v>
      </c>
      <c r="D57" s="1">
        <v>757.72900000000004</v>
      </c>
      <c r="E57" s="1">
        <v>57.838999999999999</v>
      </c>
      <c r="F57" s="1">
        <v>91391.126000000004</v>
      </c>
      <c r="G57" s="1">
        <v>10461.153</v>
      </c>
      <c r="H57" s="1">
        <f t="shared" si="0"/>
        <v>101852.27900000001</v>
      </c>
      <c r="I57" s="1">
        <v>134963.155</v>
      </c>
      <c r="J57" s="1">
        <v>27484.276999999998</v>
      </c>
      <c r="K57" s="1">
        <v>194106.68799999999</v>
      </c>
      <c r="L57" s="1">
        <v>7520.518</v>
      </c>
      <c r="M57" s="1">
        <v>76065.633000000002</v>
      </c>
      <c r="N57" s="1">
        <v>16270.406000000001</v>
      </c>
      <c r="O57" s="1">
        <f t="shared" si="1"/>
        <v>99856.557000000001</v>
      </c>
      <c r="P57" s="1">
        <v>94250.131999999998</v>
      </c>
      <c r="Q57" s="1">
        <v>22899.856</v>
      </c>
      <c r="R57" s="1">
        <v>49.720999999999997</v>
      </c>
      <c r="S57" s="1">
        <f>LEFT(A57,4)*1</f>
        <v>2018</v>
      </c>
      <c r="T57" s="1">
        <f>RIGHT(A57,2)*1</f>
        <v>6</v>
      </c>
      <c r="U57" s="2">
        <f>M57/K57</f>
        <v>0.3918753845307999</v>
      </c>
      <c r="V57" s="2">
        <f>N57/K57</f>
        <v>8.382197526341803E-2</v>
      </c>
      <c r="W57" s="2">
        <f>P57/K57</f>
        <v>0.48555839559737374</v>
      </c>
      <c r="X57" s="2">
        <f>Q57/K57</f>
        <v>0.11797561555426674</v>
      </c>
      <c r="Y57" s="1">
        <f t="shared" si="2"/>
        <v>107478.878</v>
      </c>
      <c r="Z57" s="1">
        <f>_4_1_Synthese_toutes_energies_2026_04[[#This Row],[5, Emissions CO2]]/_4_1_Synthese_toutes_energies_2026_04[[#This Row],[4, Conso totale]]</f>
        <v>0.11797561555426674</v>
      </c>
    </row>
    <row r="58" spans="1:26" x14ac:dyDescent="0.2">
      <c r="A58" s="1" t="s">
        <v>75</v>
      </c>
      <c r="B58" s="1">
        <v>109003.84699999999</v>
      </c>
      <c r="C58" s="1" t="s">
        <v>17</v>
      </c>
      <c r="D58" s="1">
        <v>762.928</v>
      </c>
      <c r="E58" s="1">
        <v>56.642000000000003</v>
      </c>
      <c r="F58" s="1">
        <v>97495.217999999993</v>
      </c>
      <c r="G58" s="1">
        <v>10689.058999999999</v>
      </c>
      <c r="H58" s="1">
        <f t="shared" si="0"/>
        <v>108184.27699999999</v>
      </c>
      <c r="I58" s="1" t="s">
        <v>76</v>
      </c>
      <c r="J58" s="1">
        <v>32430.081999999999</v>
      </c>
      <c r="K58" s="1">
        <v>200561.337</v>
      </c>
      <c r="L58" s="1">
        <v>7235.7290000000003</v>
      </c>
      <c r="M58" s="1">
        <v>73522.892999999996</v>
      </c>
      <c r="N58" s="1">
        <v>19698.187999999998</v>
      </c>
      <c r="O58" s="1">
        <f t="shared" si="1"/>
        <v>100456.81</v>
      </c>
      <c r="P58" s="1">
        <v>100104.52800000001</v>
      </c>
      <c r="Q58" s="1">
        <v>23099.888999999999</v>
      </c>
      <c r="R58" s="1">
        <v>49.517000000000003</v>
      </c>
      <c r="S58" s="1">
        <f>LEFT(A58,4)*1</f>
        <v>2018</v>
      </c>
      <c r="T58" s="1">
        <f>RIGHT(A58,2)*1</f>
        <v>5</v>
      </c>
      <c r="U58" s="2">
        <f>M58/K58</f>
        <v>0.36658557476608761</v>
      </c>
      <c r="V58" s="2">
        <f>N58/K58</f>
        <v>9.8215280645042757E-2</v>
      </c>
      <c r="W58" s="2">
        <f>P58/K58</f>
        <v>0.49912176243619677</v>
      </c>
      <c r="X58" s="2">
        <f>Q58/K58</f>
        <v>0.11517618173835767</v>
      </c>
      <c r="Y58" s="1">
        <f t="shared" si="2"/>
        <v>102584.91800000001</v>
      </c>
      <c r="Z58" s="1">
        <f>_4_1_Synthese_toutes_energies_2026_04[[#This Row],[5, Emissions CO2]]/_4_1_Synthese_toutes_energies_2026_04[[#This Row],[4, Conso totale]]</f>
        <v>0.11517618173835767</v>
      </c>
    </row>
    <row r="59" spans="1:26" x14ac:dyDescent="0.2">
      <c r="A59" s="1" t="s">
        <v>77</v>
      </c>
      <c r="B59" s="1">
        <v>108602.772</v>
      </c>
      <c r="C59" s="1" t="s">
        <v>17</v>
      </c>
      <c r="D59" s="1">
        <v>762.928</v>
      </c>
      <c r="E59" s="1">
        <v>54.207999999999998</v>
      </c>
      <c r="F59" s="1">
        <v>97451.630999999994</v>
      </c>
      <c r="G59" s="1">
        <v>10334.004000000001</v>
      </c>
      <c r="H59" s="1">
        <f t="shared" si="0"/>
        <v>107785.63499999999</v>
      </c>
      <c r="I59" s="1">
        <v>136660.21599999999</v>
      </c>
      <c r="J59" s="1" t="s">
        <v>78</v>
      </c>
      <c r="K59" s="1">
        <v>206761.25099999999</v>
      </c>
      <c r="L59" s="1">
        <v>7487.0739999999996</v>
      </c>
      <c r="M59" s="1">
        <v>70351.084000000003</v>
      </c>
      <c r="N59" s="1">
        <v>26947.652999999998</v>
      </c>
      <c r="O59" s="1">
        <f t="shared" si="1"/>
        <v>104785.81099999999</v>
      </c>
      <c r="P59" s="1">
        <v>101975.44</v>
      </c>
      <c r="Q59" s="1">
        <v>23928.256000000001</v>
      </c>
      <c r="R59" s="1">
        <v>49.326999999999998</v>
      </c>
      <c r="S59" s="1">
        <f>LEFT(A59,4)*1</f>
        <v>2018</v>
      </c>
      <c r="T59" s="1">
        <f>RIGHT(A59,2)*1</f>
        <v>4</v>
      </c>
      <c r="U59" s="2">
        <f>M59/K59</f>
        <v>0.34025274880930184</v>
      </c>
      <c r="V59" s="2">
        <f>N59/K59</f>
        <v>0.13033222071189732</v>
      </c>
      <c r="W59" s="2">
        <f>P59/K59</f>
        <v>0.49320382570136417</v>
      </c>
      <c r="X59" s="2">
        <f>Q59/K59</f>
        <v>0.11572891866474537</v>
      </c>
      <c r="Y59" s="1">
        <f t="shared" si="2"/>
        <v>108632.21599999999</v>
      </c>
      <c r="Z59" s="1">
        <f>_4_1_Synthese_toutes_energies_2026_04[[#This Row],[5, Emissions CO2]]/_4_1_Synthese_toutes_energies_2026_04[[#This Row],[4, Conso totale]]</f>
        <v>0.11572891866474537</v>
      </c>
    </row>
    <row r="60" spans="1:26" x14ac:dyDescent="0.2">
      <c r="A60" s="1" t="s">
        <v>79</v>
      </c>
      <c r="B60" s="1">
        <v>125314.921</v>
      </c>
      <c r="C60" s="1" t="s">
        <v>17</v>
      </c>
      <c r="D60" s="1">
        <v>778.04700000000003</v>
      </c>
      <c r="E60" s="1">
        <v>53.86</v>
      </c>
      <c r="F60" s="1">
        <v>113291.10799999999</v>
      </c>
      <c r="G60" s="1">
        <v>11191.906000000001</v>
      </c>
      <c r="H60" s="1">
        <f t="shared" si="0"/>
        <v>124483.014</v>
      </c>
      <c r="I60" s="1">
        <v>138986.848</v>
      </c>
      <c r="J60" s="1">
        <v>27100.148000000001</v>
      </c>
      <c r="K60" s="1">
        <v>261149.611</v>
      </c>
      <c r="L60" s="1">
        <v>9016.82</v>
      </c>
      <c r="M60" s="1">
        <v>78101.5</v>
      </c>
      <c r="N60" s="1">
        <v>52942.31</v>
      </c>
      <c r="O60" s="1">
        <f t="shared" si="1"/>
        <v>140060.63</v>
      </c>
      <c r="P60" s="1">
        <v>121088.981</v>
      </c>
      <c r="Q60" s="1">
        <v>31777.415000000001</v>
      </c>
      <c r="R60" s="1">
        <v>49.246000000000002</v>
      </c>
      <c r="S60" s="1">
        <f>LEFT(A60,4)*1</f>
        <v>2018</v>
      </c>
      <c r="T60" s="1">
        <f>RIGHT(A60,2)*1</f>
        <v>3</v>
      </c>
      <c r="U60" s="2">
        <f>M60/K60</f>
        <v>0.29906803116011532</v>
      </c>
      <c r="V60" s="2">
        <f>N60/K60</f>
        <v>0.20272789148439513</v>
      </c>
      <c r="W60" s="2">
        <f>P60/K60</f>
        <v>0.46367666616972292</v>
      </c>
      <c r="X60" s="2">
        <f>Q60/K60</f>
        <v>0.12168279660964151</v>
      </c>
      <c r="Y60" s="1">
        <f t="shared" si="2"/>
        <v>111886.7</v>
      </c>
      <c r="Z60" s="1">
        <f>_4_1_Synthese_toutes_energies_2026_04[[#This Row],[5, Emissions CO2]]/_4_1_Synthese_toutes_energies_2026_04[[#This Row],[4, Conso totale]]</f>
        <v>0.12168279660964151</v>
      </c>
    </row>
    <row r="61" spans="1:26" x14ac:dyDescent="0.2">
      <c r="A61" s="1" t="s">
        <v>80</v>
      </c>
      <c r="B61" s="1">
        <v>126624.55899999999</v>
      </c>
      <c r="C61" s="1" t="s">
        <v>17</v>
      </c>
      <c r="D61" s="1">
        <v>673.37699999999995</v>
      </c>
      <c r="E61" s="1">
        <v>47.58</v>
      </c>
      <c r="F61" s="1">
        <v>115269.05</v>
      </c>
      <c r="G61" s="1">
        <v>10634.552</v>
      </c>
      <c r="H61" s="1">
        <f t="shared" si="0"/>
        <v>125903.602</v>
      </c>
      <c r="I61" s="1">
        <v>136069.66</v>
      </c>
      <c r="J61" s="1">
        <v>26529.555</v>
      </c>
      <c r="K61" s="1">
        <v>264731.967</v>
      </c>
      <c r="L61" s="1">
        <v>9425.0249999999996</v>
      </c>
      <c r="M61" s="1">
        <v>69652.017000000007</v>
      </c>
      <c r="N61" s="1">
        <v>62880.025000000001</v>
      </c>
      <c r="O61" s="1">
        <f t="shared" si="1"/>
        <v>141957.06700000001</v>
      </c>
      <c r="P61" s="1">
        <v>122774.9</v>
      </c>
      <c r="Q61" s="1">
        <v>32063.788</v>
      </c>
      <c r="R61" s="1">
        <v>49.448</v>
      </c>
      <c r="S61" s="1">
        <f>LEFT(A61,4)*1</f>
        <v>2018</v>
      </c>
      <c r="T61" s="1">
        <f>RIGHT(A61,2)*1</f>
        <v>2</v>
      </c>
      <c r="U61" s="2">
        <f>M61/K61</f>
        <v>0.26310391521398702</v>
      </c>
      <c r="V61" s="2">
        <f>N61/K61</f>
        <v>0.23752335508465436</v>
      </c>
      <c r="W61" s="2">
        <f>P61/K61</f>
        <v>0.4637705880076054</v>
      </c>
      <c r="X61" s="2">
        <f>Q61/K61</f>
        <v>0.12111793057466309</v>
      </c>
      <c r="Y61" s="1">
        <f t="shared" si="2"/>
        <v>109540.10500000001</v>
      </c>
      <c r="Z61" s="1">
        <f>_4_1_Synthese_toutes_energies_2026_04[[#This Row],[5, Emissions CO2]]/_4_1_Synthese_toutes_energies_2026_04[[#This Row],[4, Conso totale]]</f>
        <v>0.12111793057466309</v>
      </c>
    </row>
    <row r="62" spans="1:26" x14ac:dyDescent="0.2">
      <c r="A62" s="1" t="s">
        <v>81</v>
      </c>
      <c r="B62" s="1">
        <v>141850.57399999999</v>
      </c>
      <c r="C62" s="1" t="s">
        <v>17</v>
      </c>
      <c r="D62" s="1">
        <v>731.52700000000004</v>
      </c>
      <c r="E62" s="1">
        <v>49.91</v>
      </c>
      <c r="F62" s="1">
        <v>129237.35799999999</v>
      </c>
      <c r="G62" s="1">
        <v>11831.779</v>
      </c>
      <c r="H62" s="1">
        <f t="shared" si="0"/>
        <v>141069.13699999999</v>
      </c>
      <c r="I62" s="1">
        <v>140831.42800000001</v>
      </c>
      <c r="J62" s="1">
        <v>32267.82</v>
      </c>
      <c r="K62" s="1">
        <v>264195.201</v>
      </c>
      <c r="L62" s="1">
        <v>8411.8490000000002</v>
      </c>
      <c r="M62" s="1">
        <v>68778.615000000005</v>
      </c>
      <c r="N62" s="1">
        <v>53227.463000000003</v>
      </c>
      <c r="O62" s="1">
        <f t="shared" si="1"/>
        <v>130417.92700000001</v>
      </c>
      <c r="P62" s="1">
        <v>133777.274</v>
      </c>
      <c r="Q62" s="1">
        <v>29525.858</v>
      </c>
      <c r="R62" s="1">
        <v>49.521000000000001</v>
      </c>
      <c r="S62" s="1">
        <f>LEFT(A62,4)*1</f>
        <v>2018</v>
      </c>
      <c r="T62" s="1">
        <f>RIGHT(A62,2)*1</f>
        <v>1</v>
      </c>
      <c r="U62" s="2">
        <f>M62/K62</f>
        <v>0.26033256750943029</v>
      </c>
      <c r="V62" s="2">
        <f>N62/K62</f>
        <v>0.20147021141387048</v>
      </c>
      <c r="W62" s="2">
        <f>P62/K62</f>
        <v>0.50635769875320336</v>
      </c>
      <c r="X62" s="2">
        <f>Q62/K62</f>
        <v>0.1117577377947906</v>
      </c>
      <c r="Y62" s="1">
        <f t="shared" si="2"/>
        <v>108563.60800000001</v>
      </c>
      <c r="Z62" s="1">
        <f>_4_1_Synthese_toutes_energies_2026_04[[#This Row],[5, Emissions CO2]]/_4_1_Synthese_toutes_energies_2026_04[[#This Row],[4, Conso totale]]</f>
        <v>0.1117577377947906</v>
      </c>
    </row>
    <row r="63" spans="1:26" x14ac:dyDescent="0.2">
      <c r="A63" s="1" t="s">
        <v>82</v>
      </c>
      <c r="B63" s="1">
        <v>128392.72199999999</v>
      </c>
      <c r="C63" s="1" t="s">
        <v>17</v>
      </c>
      <c r="D63" s="1">
        <v>750.13499999999999</v>
      </c>
      <c r="E63" s="1">
        <v>48.100999999999999</v>
      </c>
      <c r="F63" s="1">
        <v>118870.359</v>
      </c>
      <c r="G63" s="1">
        <v>8724.1270000000004</v>
      </c>
      <c r="H63" s="1">
        <f t="shared" si="0"/>
        <v>127594.486</v>
      </c>
      <c r="I63" s="1">
        <v>155296.908</v>
      </c>
      <c r="J63" s="1">
        <v>27697.477999999999</v>
      </c>
      <c r="K63" s="1">
        <v>269071.25300000003</v>
      </c>
      <c r="L63" s="1">
        <v>8233.02</v>
      </c>
      <c r="M63" s="1">
        <v>72411.043000000005</v>
      </c>
      <c r="N63" s="1">
        <v>61771.872000000003</v>
      </c>
      <c r="O63" s="1">
        <f t="shared" si="1"/>
        <v>142415.935</v>
      </c>
      <c r="P63" s="1">
        <v>126655.318</v>
      </c>
      <c r="Q63" s="1">
        <v>32406.144</v>
      </c>
      <c r="R63" s="1">
        <v>48.750999999999998</v>
      </c>
      <c r="S63" s="1">
        <f>LEFT(A63,4)*1</f>
        <v>2017</v>
      </c>
      <c r="T63" s="1">
        <f>RIGHT(A63,2)*1</f>
        <v>12</v>
      </c>
      <c r="U63" s="2">
        <f>M63/K63</f>
        <v>0.26911475006213315</v>
      </c>
      <c r="V63" s="2">
        <f>N63/K63</f>
        <v>0.22957440198934964</v>
      </c>
      <c r="W63" s="2">
        <f>P63/K63</f>
        <v>0.47071293045192009</v>
      </c>
      <c r="X63" s="2">
        <f>Q63/K63</f>
        <v>0.12043703531569758</v>
      </c>
      <c r="Y63" s="1">
        <f t="shared" si="2"/>
        <v>127599.43</v>
      </c>
      <c r="Z63" s="1">
        <f>_4_1_Synthese_toutes_energies_2026_04[[#This Row],[5, Emissions CO2]]/_4_1_Synthese_toutes_energies_2026_04[[#This Row],[4, Conso totale]]</f>
        <v>0.12043703531569758</v>
      </c>
    </row>
    <row r="64" spans="1:26" x14ac:dyDescent="0.2">
      <c r="A64" s="1" t="s">
        <v>83</v>
      </c>
      <c r="B64" s="1">
        <v>104152.595</v>
      </c>
      <c r="C64" s="1" t="s">
        <v>17</v>
      </c>
      <c r="D64" s="1">
        <v>737.9</v>
      </c>
      <c r="E64" s="1">
        <v>46.12</v>
      </c>
      <c r="F64" s="1">
        <v>96864.569000000003</v>
      </c>
      <c r="G64" s="1">
        <v>6504.0060000000003</v>
      </c>
      <c r="H64" s="1">
        <f t="shared" si="0"/>
        <v>103368.575</v>
      </c>
      <c r="I64" s="1">
        <v>152644.321</v>
      </c>
      <c r="J64" s="1">
        <v>23735.421999999999</v>
      </c>
      <c r="K64" s="1">
        <v>234910.497</v>
      </c>
      <c r="L64" s="1">
        <v>9179.3169999999991</v>
      </c>
      <c r="M64" s="1">
        <v>68809.138999999996</v>
      </c>
      <c r="N64" s="1">
        <v>53005.214</v>
      </c>
      <c r="O64" s="1">
        <f t="shared" si="1"/>
        <v>130993.66999999998</v>
      </c>
      <c r="P64" s="1">
        <v>103916.826</v>
      </c>
      <c r="Q64" s="1">
        <v>30137.957999999999</v>
      </c>
      <c r="R64" s="1">
        <v>48.558</v>
      </c>
      <c r="S64" s="1">
        <f>LEFT(A64,4)*1</f>
        <v>2017</v>
      </c>
      <c r="T64" s="1">
        <f>RIGHT(A64,2)*1</f>
        <v>11</v>
      </c>
      <c r="U64" s="2">
        <f>M64/K64</f>
        <v>0.292916408073497</v>
      </c>
      <c r="V64" s="2">
        <f>N64/K64</f>
        <v>0.22564004025754542</v>
      </c>
      <c r="W64" s="2">
        <f>P64/K64</f>
        <v>0.44236774144664981</v>
      </c>
      <c r="X64" s="2">
        <f>Q64/K64</f>
        <v>0.12829549290000436</v>
      </c>
      <c r="Y64" s="1">
        <f t="shared" si="2"/>
        <v>128908.899</v>
      </c>
      <c r="Z64" s="1">
        <f>_4_1_Synthese_toutes_energies_2026_04[[#This Row],[5, Emissions CO2]]/_4_1_Synthese_toutes_energies_2026_04[[#This Row],[4, Conso totale]]</f>
        <v>0.12829549290000436</v>
      </c>
    </row>
    <row r="65" spans="1:26" x14ac:dyDescent="0.2">
      <c r="A65" s="1" t="s">
        <v>84</v>
      </c>
      <c r="B65" s="1">
        <v>95837.331999999995</v>
      </c>
      <c r="C65" s="1" t="s">
        <v>17</v>
      </c>
      <c r="D65" s="1">
        <v>751.298</v>
      </c>
      <c r="E65" s="1">
        <v>48.244999999999997</v>
      </c>
      <c r="F65" s="1">
        <v>89679.724000000002</v>
      </c>
      <c r="G65" s="1">
        <v>5358.0649999999996</v>
      </c>
      <c r="H65" s="1">
        <f t="shared" si="0"/>
        <v>95037.789000000004</v>
      </c>
      <c r="I65" s="1">
        <v>146339.18599999999</v>
      </c>
      <c r="J65" s="1">
        <v>28536.964</v>
      </c>
      <c r="K65" s="1">
        <v>205842.35200000001</v>
      </c>
      <c r="L65" s="1">
        <v>8793.4310000000005</v>
      </c>
      <c r="M65" s="1">
        <v>71807.725000000006</v>
      </c>
      <c r="N65" s="1">
        <v>32625.901999999998</v>
      </c>
      <c r="O65" s="1">
        <f t="shared" si="1"/>
        <v>113227.058</v>
      </c>
      <c r="P65" s="1">
        <v>92615.293999999994</v>
      </c>
      <c r="Q65" s="1">
        <v>26122.44</v>
      </c>
      <c r="R65" s="1">
        <v>48.661000000000001</v>
      </c>
      <c r="S65" s="1">
        <f>LEFT(A65,4)*1</f>
        <v>2017</v>
      </c>
      <c r="T65" s="1">
        <f>RIGHT(A65,2)*1</f>
        <v>10</v>
      </c>
      <c r="U65" s="2">
        <f>M65/K65</f>
        <v>0.34884815637940242</v>
      </c>
      <c r="V65" s="2">
        <f>N65/K65</f>
        <v>0.15849946176285432</v>
      </c>
      <c r="W65" s="2">
        <f>P65/K65</f>
        <v>0.44993313135092816</v>
      </c>
      <c r="X65" s="2">
        <f>Q65/K65</f>
        <v>0.126905079281255</v>
      </c>
      <c r="Y65" s="1">
        <f t="shared" si="2"/>
        <v>117802.22199999998</v>
      </c>
      <c r="Z65" s="1">
        <f>_4_1_Synthese_toutes_energies_2026_04[[#This Row],[5, Emissions CO2]]/_4_1_Synthese_toutes_energies_2026_04[[#This Row],[4, Conso totale]]</f>
        <v>0.126905079281255</v>
      </c>
    </row>
    <row r="66" spans="1:26" x14ac:dyDescent="0.2">
      <c r="A66" s="1" t="s">
        <v>85</v>
      </c>
      <c r="B66" s="1">
        <v>99921.751999999993</v>
      </c>
      <c r="C66" s="1" t="s">
        <v>17</v>
      </c>
      <c r="D66" s="1">
        <v>730.36400000000003</v>
      </c>
      <c r="E66" s="1">
        <v>41.091000000000001</v>
      </c>
      <c r="F66" s="1">
        <v>93701.03</v>
      </c>
      <c r="G66" s="1">
        <v>5449.2669999999998</v>
      </c>
      <c r="H66" s="1">
        <f t="shared" ref="H66:H129" si="3">SUM(F66,G66)</f>
        <v>99150.296999999991</v>
      </c>
      <c r="I66" s="1">
        <v>131110.405</v>
      </c>
      <c r="J66" s="1">
        <v>32318.81</v>
      </c>
      <c r="K66" s="1">
        <v>203986.166</v>
      </c>
      <c r="L66" s="1">
        <v>8954.2080000000005</v>
      </c>
      <c r="M66" s="1">
        <v>77657.08</v>
      </c>
      <c r="N66" s="1">
        <v>22783.976999999999</v>
      </c>
      <c r="O66" s="1">
        <f t="shared" ref="O66:O129" si="4">SUM(L66,M66,N66)</f>
        <v>109395.265</v>
      </c>
      <c r="P66" s="1">
        <v>94590.9</v>
      </c>
      <c r="Q66" s="1">
        <v>25188.008999999998</v>
      </c>
      <c r="R66" s="1">
        <v>48.527000000000001</v>
      </c>
      <c r="S66" s="1">
        <f>LEFT(A66,4)*1</f>
        <v>2017</v>
      </c>
      <c r="T66" s="1">
        <f>RIGHT(A66,2)*1</f>
        <v>9</v>
      </c>
      <c r="U66" s="2">
        <f>M66/K66</f>
        <v>0.38069777731887955</v>
      </c>
      <c r="V66" s="2">
        <f>N66/K66</f>
        <v>0.11169373613306698</v>
      </c>
      <c r="W66" s="2">
        <f>P66/K66</f>
        <v>0.46371232841348659</v>
      </c>
      <c r="X66" s="2">
        <f>Q66/K66</f>
        <v>0.12347900592435272</v>
      </c>
      <c r="Y66" s="1">
        <f t="shared" si="2"/>
        <v>98791.595000000001</v>
      </c>
      <c r="Z66" s="1">
        <f>_4_1_Synthese_toutes_energies_2026_04[[#This Row],[5, Emissions CO2]]/_4_1_Synthese_toutes_energies_2026_04[[#This Row],[4, Conso totale]]</f>
        <v>0.12347900592435272</v>
      </c>
    </row>
    <row r="67" spans="1:26" x14ac:dyDescent="0.2">
      <c r="A67" s="1" t="s">
        <v>86</v>
      </c>
      <c r="B67" s="1">
        <v>97816.626000000004</v>
      </c>
      <c r="C67" s="1" t="s">
        <v>17</v>
      </c>
      <c r="D67" s="1">
        <v>733.12</v>
      </c>
      <c r="E67" s="1">
        <v>43.892000000000003</v>
      </c>
      <c r="F67" s="1">
        <v>91336.843999999997</v>
      </c>
      <c r="G67" s="1">
        <v>5702.77</v>
      </c>
      <c r="H67" s="1">
        <f t="shared" si="3"/>
        <v>97039.614000000001</v>
      </c>
      <c r="I67" s="1">
        <v>133577.45699999999</v>
      </c>
      <c r="J67" s="1">
        <v>26943.530999999999</v>
      </c>
      <c r="K67" s="1">
        <v>189944.04300000001</v>
      </c>
      <c r="L67" s="1">
        <v>7243.6459999999997</v>
      </c>
      <c r="M67" s="1">
        <v>74549.172000000006</v>
      </c>
      <c r="N67" s="1">
        <v>15694.637000000001</v>
      </c>
      <c r="O67" s="1">
        <f t="shared" si="4"/>
        <v>97487.455000000002</v>
      </c>
      <c r="P67" s="1">
        <v>92456.588000000003</v>
      </c>
      <c r="Q67" s="1">
        <v>22082.251</v>
      </c>
      <c r="R67" s="1">
        <v>48.408999999999999</v>
      </c>
      <c r="S67" s="1">
        <f>LEFT(A67,4)*1</f>
        <v>2017</v>
      </c>
      <c r="T67" s="1">
        <f>RIGHT(A67,2)*1</f>
        <v>8</v>
      </c>
      <c r="U67" s="2">
        <f>M67/K67</f>
        <v>0.39247965254693462</v>
      </c>
      <c r="V67" s="2">
        <f>N67/K67</f>
        <v>8.2627687355270207E-2</v>
      </c>
      <c r="W67" s="2">
        <f>P67/K67</f>
        <v>0.48675697610585239</v>
      </c>
      <c r="X67" s="2">
        <f>Q67/K67</f>
        <v>0.1162566124803398</v>
      </c>
      <c r="Y67" s="1">
        <f t="shared" si="2"/>
        <v>106633.92599999999</v>
      </c>
      <c r="Z67" s="1">
        <f>_4_1_Synthese_toutes_energies_2026_04[[#This Row],[5, Emissions CO2]]/_4_1_Synthese_toutes_energies_2026_04[[#This Row],[4, Conso totale]]</f>
        <v>0.1162566124803398</v>
      </c>
    </row>
    <row r="68" spans="1:26" x14ac:dyDescent="0.2">
      <c r="A68" s="1" t="s">
        <v>87</v>
      </c>
      <c r="B68" s="1">
        <v>97436.557000000001</v>
      </c>
      <c r="C68" s="1" t="s">
        <v>17</v>
      </c>
      <c r="D68" s="1">
        <v>737.34199999999998</v>
      </c>
      <c r="E68" s="1">
        <v>41.866999999999997</v>
      </c>
      <c r="F68" s="1">
        <v>90039.040999999997</v>
      </c>
      <c r="G68" s="1">
        <v>6618.3069999999998</v>
      </c>
      <c r="H68" s="1">
        <f t="shared" si="3"/>
        <v>96657.347999999998</v>
      </c>
      <c r="I68" s="1">
        <v>147144.084</v>
      </c>
      <c r="J68" s="1">
        <v>30060.058000000001</v>
      </c>
      <c r="K68" s="1">
        <v>195008.56899999999</v>
      </c>
      <c r="L68" s="1">
        <v>9219.5159999999996</v>
      </c>
      <c r="M68" s="1">
        <v>76300.312999999995</v>
      </c>
      <c r="N68" s="1">
        <v>17412.288</v>
      </c>
      <c r="O68" s="1">
        <f t="shared" si="4"/>
        <v>102932.117</v>
      </c>
      <c r="P68" s="1">
        <v>92076.452000000005</v>
      </c>
      <c r="Q68" s="1">
        <v>23363.875</v>
      </c>
      <c r="R68" s="1">
        <v>48.319000000000003</v>
      </c>
      <c r="S68" s="1">
        <f>LEFT(A68,4)*1</f>
        <v>2017</v>
      </c>
      <c r="T68" s="1">
        <f>RIGHT(A68,2)*1</f>
        <v>7</v>
      </c>
      <c r="U68" s="2">
        <f>M68/K68</f>
        <v>0.39126646275733656</v>
      </c>
      <c r="V68" s="2">
        <f>N68/K68</f>
        <v>8.9289860898369044E-2</v>
      </c>
      <c r="W68" s="2">
        <f>P68/K68</f>
        <v>0.47216618465622406</v>
      </c>
      <c r="X68" s="2">
        <f>Q68/K68</f>
        <v>0.11980947873116284</v>
      </c>
      <c r="Y68" s="1">
        <f t="shared" ref="Y68:Y131" si="5">I68-J68</f>
        <v>117084.026</v>
      </c>
      <c r="Z68" s="1">
        <f>_4_1_Synthese_toutes_energies_2026_04[[#This Row],[5, Emissions CO2]]/_4_1_Synthese_toutes_energies_2026_04[[#This Row],[4, Conso totale]]</f>
        <v>0.11980947873116284</v>
      </c>
    </row>
    <row r="69" spans="1:26" x14ac:dyDescent="0.2">
      <c r="A69" s="1" t="s">
        <v>88</v>
      </c>
      <c r="B69" s="1">
        <v>94410.142999999996</v>
      </c>
      <c r="C69" s="1" t="s">
        <v>17</v>
      </c>
      <c r="D69" s="1">
        <v>721.38599999999997</v>
      </c>
      <c r="E69" s="1">
        <v>41.567999999999998</v>
      </c>
      <c r="F69" s="1">
        <v>86043.752999999997</v>
      </c>
      <c r="G69" s="1">
        <v>7603.4359999999997</v>
      </c>
      <c r="H69" s="1">
        <f t="shared" si="3"/>
        <v>93647.188999999998</v>
      </c>
      <c r="I69" s="1">
        <v>121727.442</v>
      </c>
      <c r="J69" s="1">
        <v>28502.368999999999</v>
      </c>
      <c r="K69" s="1">
        <v>188506.505</v>
      </c>
      <c r="L69" s="1">
        <v>7343.4290000000001</v>
      </c>
      <c r="M69" s="1">
        <v>74267.959000000003</v>
      </c>
      <c r="N69" s="1">
        <v>16702.968000000001</v>
      </c>
      <c r="O69" s="1">
        <f t="shared" si="4"/>
        <v>98314.356</v>
      </c>
      <c r="P69" s="1">
        <v>90192.15</v>
      </c>
      <c r="Q69" s="1">
        <v>22167.327000000001</v>
      </c>
      <c r="R69" s="1">
        <v>48.42</v>
      </c>
      <c r="S69" s="1">
        <f>LEFT(A69,4)*1</f>
        <v>2017</v>
      </c>
      <c r="T69" s="1">
        <f>RIGHT(A69,2)*1</f>
        <v>6</v>
      </c>
      <c r="U69" s="2">
        <f>M69/K69</f>
        <v>0.39398088145552324</v>
      </c>
      <c r="V69" s="2">
        <f>N69/K69</f>
        <v>8.8606852055317667E-2</v>
      </c>
      <c r="W69" s="2">
        <f>P69/K69</f>
        <v>0.47845643310823671</v>
      </c>
      <c r="X69" s="2">
        <f>Q69/K69</f>
        <v>0.11759449362238189</v>
      </c>
      <c r="Y69" s="1">
        <f t="shared" si="5"/>
        <v>93225.073000000004</v>
      </c>
      <c r="Z69" s="1">
        <f>_4_1_Synthese_toutes_energies_2026_04[[#This Row],[5, Emissions CO2]]/_4_1_Synthese_toutes_energies_2026_04[[#This Row],[4, Conso totale]]</f>
        <v>0.11759449362238189</v>
      </c>
    </row>
    <row r="70" spans="1:26" x14ac:dyDescent="0.2">
      <c r="A70" s="1" t="s">
        <v>89</v>
      </c>
      <c r="B70" s="1">
        <v>104654.893</v>
      </c>
      <c r="C70" s="1" t="s">
        <v>17</v>
      </c>
      <c r="D70" s="1">
        <v>768.74300000000005</v>
      </c>
      <c r="E70" s="1">
        <v>44.877000000000002</v>
      </c>
      <c r="F70" s="1">
        <v>95666.748999999996</v>
      </c>
      <c r="G70" s="1">
        <v>8174.5240000000003</v>
      </c>
      <c r="H70" s="1">
        <f t="shared" si="3"/>
        <v>103841.273</v>
      </c>
      <c r="I70" s="1">
        <v>142241.77900000001</v>
      </c>
      <c r="J70" s="1">
        <v>30896.02</v>
      </c>
      <c r="K70" s="1">
        <v>202089.58900000001</v>
      </c>
      <c r="L70" s="1">
        <v>8456.3269999999993</v>
      </c>
      <c r="M70" s="1">
        <v>72527.517999999996</v>
      </c>
      <c r="N70" s="1">
        <v>23136.579000000002</v>
      </c>
      <c r="O70" s="1">
        <f t="shared" si="4"/>
        <v>104120.424</v>
      </c>
      <c r="P70" s="1">
        <v>97969.165999999997</v>
      </c>
      <c r="Q70" s="1">
        <v>23720.232</v>
      </c>
      <c r="R70" s="1">
        <v>48.689</v>
      </c>
      <c r="S70" s="1">
        <f>LEFT(A70,4)*1</f>
        <v>2017</v>
      </c>
      <c r="T70" s="1">
        <f>RIGHT(A70,2)*1</f>
        <v>5</v>
      </c>
      <c r="U70" s="2">
        <f>M70/K70</f>
        <v>0.35888794845339606</v>
      </c>
      <c r="V70" s="2">
        <f>N70/K70</f>
        <v>0.11448674379757386</v>
      </c>
      <c r="W70" s="2">
        <f>P70/K70</f>
        <v>0.48478086617317034</v>
      </c>
      <c r="X70" s="2">
        <f>Q70/K70</f>
        <v>0.11737483418801944</v>
      </c>
      <c r="Y70" s="1">
        <f t="shared" si="5"/>
        <v>111345.75900000001</v>
      </c>
      <c r="Z70" s="1">
        <f>_4_1_Synthese_toutes_energies_2026_04[[#This Row],[5, Emissions CO2]]/_4_1_Synthese_toutes_energies_2026_04[[#This Row],[4, Conso totale]]</f>
        <v>0.11737483418801944</v>
      </c>
    </row>
    <row r="71" spans="1:26" x14ac:dyDescent="0.2">
      <c r="A71" s="1" t="s">
        <v>90</v>
      </c>
      <c r="B71" s="1">
        <v>108390.567</v>
      </c>
      <c r="C71" s="1" t="s">
        <v>17</v>
      </c>
      <c r="D71" s="1">
        <v>752.46100000000001</v>
      </c>
      <c r="E71" s="1">
        <v>45.112000000000002</v>
      </c>
      <c r="F71" s="1">
        <v>101042.997</v>
      </c>
      <c r="G71" s="1">
        <v>6549.9960000000001</v>
      </c>
      <c r="H71" s="1">
        <f t="shared" si="3"/>
        <v>107592.993</v>
      </c>
      <c r="I71" s="1">
        <v>133150.326</v>
      </c>
      <c r="J71" s="1">
        <v>27343.949000000001</v>
      </c>
      <c r="K71" s="1">
        <v>210741.81899999999</v>
      </c>
      <c r="L71" s="1">
        <v>8500.2009999999991</v>
      </c>
      <c r="M71" s="1">
        <v>68039.756999999998</v>
      </c>
      <c r="N71" s="1">
        <v>31998.795999999998</v>
      </c>
      <c r="O71" s="1">
        <f t="shared" si="4"/>
        <v>108538.754</v>
      </c>
      <c r="P71" s="1">
        <v>102203.06600000001</v>
      </c>
      <c r="Q71" s="1">
        <v>24456.39</v>
      </c>
      <c r="R71" s="1">
        <v>48.661000000000001</v>
      </c>
      <c r="S71" s="1">
        <f>LEFT(A71,4)*1</f>
        <v>2017</v>
      </c>
      <c r="T71" s="1">
        <f>RIGHT(A71,2)*1</f>
        <v>4</v>
      </c>
      <c r="U71" s="2">
        <f>M71/K71</f>
        <v>0.32285835494283172</v>
      </c>
      <c r="V71" s="2">
        <f>N71/K71</f>
        <v>0.15183885263892496</v>
      </c>
      <c r="W71" s="2">
        <f>P71/K71</f>
        <v>0.48496813060154903</v>
      </c>
      <c r="X71" s="2">
        <f>Q71/K71</f>
        <v>0.11604906001119787</v>
      </c>
      <c r="Y71" s="1">
        <f t="shared" si="5"/>
        <v>105806.37700000001</v>
      </c>
      <c r="Z71" s="1">
        <f>_4_1_Synthese_toutes_energies_2026_04[[#This Row],[5, Emissions CO2]]/_4_1_Synthese_toutes_energies_2026_04[[#This Row],[4, Conso totale]]</f>
        <v>0.11604906001119787</v>
      </c>
    </row>
    <row r="72" spans="1:26" x14ac:dyDescent="0.2">
      <c r="A72" s="1" t="s">
        <v>91</v>
      </c>
      <c r="B72" s="1">
        <v>119087.84</v>
      </c>
      <c r="C72" s="1" t="s">
        <v>17</v>
      </c>
      <c r="D72" s="1">
        <v>740.83100000000002</v>
      </c>
      <c r="E72" s="1">
        <v>46.835000000000001</v>
      </c>
      <c r="F72" s="1">
        <v>108798.41899999999</v>
      </c>
      <c r="G72" s="1">
        <v>9501.7559999999994</v>
      </c>
      <c r="H72" s="1">
        <f t="shared" si="3"/>
        <v>118300.17499999999</v>
      </c>
      <c r="I72" s="1">
        <v>146921.283</v>
      </c>
      <c r="J72" s="1">
        <v>30770.488000000001</v>
      </c>
      <c r="K72" s="1">
        <v>237587.44899999999</v>
      </c>
      <c r="L72" s="1">
        <v>7720.9110000000001</v>
      </c>
      <c r="M72" s="1">
        <v>74423.183999999994</v>
      </c>
      <c r="N72" s="1">
        <v>43518.961000000003</v>
      </c>
      <c r="O72" s="1">
        <f t="shared" si="4"/>
        <v>125663.05600000001</v>
      </c>
      <c r="P72" s="1">
        <v>111924.393</v>
      </c>
      <c r="Q72" s="1">
        <v>28158.465</v>
      </c>
      <c r="R72" s="1">
        <v>48.561</v>
      </c>
      <c r="S72" s="1">
        <f>LEFT(A72,4)*1</f>
        <v>2017</v>
      </c>
      <c r="T72" s="1">
        <f>RIGHT(A72,2)*1</f>
        <v>3</v>
      </c>
      <c r="U72" s="2">
        <f>M72/K72</f>
        <v>0.31324543578899233</v>
      </c>
      <c r="V72" s="2">
        <f>N72/K72</f>
        <v>0.18317028607011981</v>
      </c>
      <c r="W72" s="2">
        <f>P72/K72</f>
        <v>0.47108714484324465</v>
      </c>
      <c r="X72" s="2">
        <f>Q72/K72</f>
        <v>0.11851831870125429</v>
      </c>
      <c r="Y72" s="1">
        <f t="shared" si="5"/>
        <v>116150.795</v>
      </c>
      <c r="Z72" s="1">
        <f>_4_1_Synthese_toutes_energies_2026_04[[#This Row],[5, Emissions CO2]]/_4_1_Synthese_toutes_energies_2026_04[[#This Row],[4, Conso totale]]</f>
        <v>0.11851831870125429</v>
      </c>
    </row>
    <row r="73" spans="1:26" x14ac:dyDescent="0.2">
      <c r="A73" s="1" t="s">
        <v>92</v>
      </c>
      <c r="B73" s="1">
        <v>115150.04399999999</v>
      </c>
      <c r="C73" s="1" t="s">
        <v>17</v>
      </c>
      <c r="D73" s="1">
        <v>651.28</v>
      </c>
      <c r="E73" s="1">
        <v>39.795999999999999</v>
      </c>
      <c r="F73" s="1">
        <v>107040.272</v>
      </c>
      <c r="G73" s="1">
        <v>7418.6949999999997</v>
      </c>
      <c r="H73" s="1">
        <f t="shared" si="3"/>
        <v>114458.967</v>
      </c>
      <c r="I73" s="1">
        <v>137457.73199999999</v>
      </c>
      <c r="J73" s="1">
        <v>22468.473999999998</v>
      </c>
      <c r="K73" s="1">
        <v>237617.897</v>
      </c>
      <c r="L73" s="1">
        <v>9173.0239999999994</v>
      </c>
      <c r="M73" s="1">
        <v>67404.490999999995</v>
      </c>
      <c r="N73" s="1">
        <v>50123.341</v>
      </c>
      <c r="O73" s="1">
        <f t="shared" si="4"/>
        <v>126700.856</v>
      </c>
      <c r="P73" s="1">
        <v>110917.041</v>
      </c>
      <c r="Q73" s="1">
        <v>28499.558000000001</v>
      </c>
      <c r="R73" s="1">
        <v>48.54</v>
      </c>
      <c r="S73" s="1">
        <f>LEFT(A73,4)*1</f>
        <v>2017</v>
      </c>
      <c r="T73" s="1">
        <f>RIGHT(A73,2)*1</f>
        <v>2</v>
      </c>
      <c r="U73" s="2">
        <f>M73/K73</f>
        <v>0.28366756818826655</v>
      </c>
      <c r="V73" s="2">
        <f>N73/K73</f>
        <v>0.2109409334600752</v>
      </c>
      <c r="W73" s="2">
        <f>P73/K73</f>
        <v>0.4667874028024076</v>
      </c>
      <c r="X73" s="2">
        <f>Q73/K73</f>
        <v>0.1199386004161126</v>
      </c>
      <c r="Y73" s="1">
        <f t="shared" si="5"/>
        <v>114989.25799999999</v>
      </c>
      <c r="Z73" s="1">
        <f>_4_1_Synthese_toutes_energies_2026_04[[#This Row],[5, Emissions CO2]]/_4_1_Synthese_toutes_energies_2026_04[[#This Row],[4, Conso totale]]</f>
        <v>0.1199386004161126</v>
      </c>
    </row>
    <row r="74" spans="1:26" x14ac:dyDescent="0.2">
      <c r="A74" s="1" t="s">
        <v>93</v>
      </c>
      <c r="B74" s="1">
        <v>136563.16699999999</v>
      </c>
      <c r="C74" s="1" t="s">
        <v>17</v>
      </c>
      <c r="D74" s="1">
        <v>737.34199999999998</v>
      </c>
      <c r="E74" s="1">
        <v>39.741</v>
      </c>
      <c r="F74" s="1">
        <v>128272.379</v>
      </c>
      <c r="G74" s="1">
        <v>7513.7049999999999</v>
      </c>
      <c r="H74" s="1">
        <f t="shared" si="3"/>
        <v>135786.084</v>
      </c>
      <c r="I74" s="1">
        <v>154406.38500000001</v>
      </c>
      <c r="J74" s="1">
        <v>23751.225999999999</v>
      </c>
      <c r="K74" s="1">
        <v>295004.728</v>
      </c>
      <c r="L74" s="1">
        <v>11825.575999999999</v>
      </c>
      <c r="M74" s="1">
        <v>73770.369000000006</v>
      </c>
      <c r="N74" s="1">
        <v>72929.197</v>
      </c>
      <c r="O74" s="1">
        <f t="shared" si="4"/>
        <v>158525.14199999999</v>
      </c>
      <c r="P74" s="1">
        <v>136479.58600000001</v>
      </c>
      <c r="Q74" s="1">
        <v>35756.438999999998</v>
      </c>
      <c r="R74" s="1">
        <v>48.813000000000002</v>
      </c>
      <c r="S74" s="1">
        <f>LEFT(A74,4)*1</f>
        <v>2017</v>
      </c>
      <c r="T74" s="1">
        <f>RIGHT(A74,2)*1</f>
        <v>1</v>
      </c>
      <c r="U74" s="2">
        <f>M74/K74</f>
        <v>0.25006503963556814</v>
      </c>
      <c r="V74" s="2">
        <f>N74/K74</f>
        <v>0.2472136548265762</v>
      </c>
      <c r="W74" s="2">
        <f>P74/K74</f>
        <v>0.46263524969674386</v>
      </c>
      <c r="X74" s="2">
        <f>Q74/K74</f>
        <v>0.12120632520845563</v>
      </c>
      <c r="Y74" s="1">
        <f t="shared" si="5"/>
        <v>130655.15900000001</v>
      </c>
      <c r="Z74" s="1">
        <f>_4_1_Synthese_toutes_energies_2026_04[[#This Row],[5, Emissions CO2]]/_4_1_Synthese_toutes_energies_2026_04[[#This Row],[4, Conso totale]]</f>
        <v>0.12120632520845563</v>
      </c>
    </row>
    <row r="75" spans="1:26" x14ac:dyDescent="0.2">
      <c r="A75" s="1" t="s">
        <v>94</v>
      </c>
      <c r="B75" s="1">
        <v>123331.662</v>
      </c>
      <c r="C75" s="1" t="s">
        <v>17</v>
      </c>
      <c r="D75" s="1">
        <v>767.58</v>
      </c>
      <c r="E75" s="1">
        <v>42.704999999999998</v>
      </c>
      <c r="F75" s="1">
        <v>116283.806</v>
      </c>
      <c r="G75" s="1">
        <v>6237.5709999999999</v>
      </c>
      <c r="H75" s="1">
        <f t="shared" si="3"/>
        <v>122521.37699999999</v>
      </c>
      <c r="I75" s="1">
        <v>153451.889</v>
      </c>
      <c r="J75" s="1">
        <v>28251.897000000001</v>
      </c>
      <c r="K75" s="1">
        <v>269266.93199999997</v>
      </c>
      <c r="L75" s="1">
        <v>9699.7309999999998</v>
      </c>
      <c r="M75" s="1">
        <v>73916.744000000006</v>
      </c>
      <c r="N75" s="1">
        <v>63213.612999999998</v>
      </c>
      <c r="O75" s="1">
        <f t="shared" si="4"/>
        <v>146830.08799999999</v>
      </c>
      <c r="P75" s="1">
        <v>122436.844</v>
      </c>
      <c r="Q75" s="1">
        <v>33663.178999999996</v>
      </c>
      <c r="R75" s="1">
        <v>49.499000000000002</v>
      </c>
      <c r="S75" s="1">
        <f>LEFT(A75,4)*1</f>
        <v>2016</v>
      </c>
      <c r="T75" s="1">
        <f>RIGHT(A75,2)*1</f>
        <v>12</v>
      </c>
      <c r="U75" s="2">
        <f>M75/K75</f>
        <v>0.2745110342773171</v>
      </c>
      <c r="V75" s="2">
        <f>N75/K75</f>
        <v>0.23476188676595464</v>
      </c>
      <c r="W75" s="2">
        <f>P75/K75</f>
        <v>0.45470434520344299</v>
      </c>
      <c r="X75" s="2">
        <f>Q75/K75</f>
        <v>0.12501787259937289</v>
      </c>
      <c r="Y75" s="1">
        <f t="shared" si="5"/>
        <v>125199.992</v>
      </c>
      <c r="Z75" s="1">
        <f>_4_1_Synthese_toutes_energies_2026_04[[#This Row],[5, Emissions CO2]]/_4_1_Synthese_toutes_energies_2026_04[[#This Row],[4, Conso totale]]</f>
        <v>0.12501787259937289</v>
      </c>
    </row>
    <row r="76" spans="1:26" x14ac:dyDescent="0.2">
      <c r="A76" s="1" t="s">
        <v>95</v>
      </c>
      <c r="B76" s="1">
        <v>106634.67600000001</v>
      </c>
      <c r="C76" s="1" t="s">
        <v>17</v>
      </c>
      <c r="D76" s="1">
        <v>737.34199999999998</v>
      </c>
      <c r="E76" s="1">
        <v>39.03</v>
      </c>
      <c r="F76" s="1">
        <v>99125.531000000003</v>
      </c>
      <c r="G76" s="1">
        <v>6732.7719999999999</v>
      </c>
      <c r="H76" s="1">
        <f t="shared" si="3"/>
        <v>105858.303</v>
      </c>
      <c r="I76" s="1">
        <v>143036.39199999999</v>
      </c>
      <c r="J76" s="1">
        <v>25067.815999999999</v>
      </c>
      <c r="K76" s="1">
        <v>234364.59099999999</v>
      </c>
      <c r="L76" s="1">
        <v>9789.51</v>
      </c>
      <c r="M76" s="1">
        <v>67231.914000000004</v>
      </c>
      <c r="N76" s="1">
        <v>52129.211000000003</v>
      </c>
      <c r="O76" s="1">
        <f t="shared" si="4"/>
        <v>129150.63500000001</v>
      </c>
      <c r="P76" s="1">
        <v>105213.95600000001</v>
      </c>
      <c r="Q76" s="1">
        <v>29799.629000000001</v>
      </c>
      <c r="R76" s="1">
        <v>50.168999999999997</v>
      </c>
      <c r="S76" s="1">
        <f>LEFT(A76,4)*1</f>
        <v>2016</v>
      </c>
      <c r="T76" s="1">
        <f>RIGHT(A76,2)*1</f>
        <v>11</v>
      </c>
      <c r="U76" s="2">
        <f>M76/K76</f>
        <v>0.28686890674538806</v>
      </c>
      <c r="V76" s="2">
        <f>N76/K76</f>
        <v>0.22242784533948648</v>
      </c>
      <c r="W76" s="2">
        <f>P76/K76</f>
        <v>0.4489328168178785</v>
      </c>
      <c r="X76" s="2">
        <f>Q76/K76</f>
        <v>0.12715073071767913</v>
      </c>
      <c r="Y76" s="1">
        <f t="shared" si="5"/>
        <v>117968.576</v>
      </c>
      <c r="Z76" s="1">
        <f>_4_1_Synthese_toutes_energies_2026_04[[#This Row],[5, Emissions CO2]]/_4_1_Synthese_toutes_energies_2026_04[[#This Row],[4, Conso totale]]</f>
        <v>0.12715073071767913</v>
      </c>
    </row>
    <row r="77" spans="1:26" x14ac:dyDescent="0.2">
      <c r="A77" s="1" t="s">
        <v>96</v>
      </c>
      <c r="B77" s="1">
        <v>98410.987999999998</v>
      </c>
      <c r="C77" s="1" t="s">
        <v>17</v>
      </c>
      <c r="D77" s="1">
        <v>782.69899999999996</v>
      </c>
      <c r="E77" s="1">
        <v>44.601999999999997</v>
      </c>
      <c r="F77" s="1">
        <v>92610.347999999998</v>
      </c>
      <c r="G77" s="1">
        <v>4973.3379999999997</v>
      </c>
      <c r="H77" s="1">
        <f t="shared" si="3"/>
        <v>97583.686000000002</v>
      </c>
      <c r="I77" s="1">
        <v>145717.99600000001</v>
      </c>
      <c r="J77" s="1">
        <v>22149.828000000001</v>
      </c>
      <c r="K77" s="1">
        <v>218520.89</v>
      </c>
      <c r="L77" s="1">
        <v>9385.8729999999996</v>
      </c>
      <c r="M77" s="1">
        <v>75246.205000000002</v>
      </c>
      <c r="N77" s="1">
        <v>37075.004000000001</v>
      </c>
      <c r="O77" s="1">
        <f t="shared" si="4"/>
        <v>121707.08200000001</v>
      </c>
      <c r="P77" s="1">
        <v>96813.808000000005</v>
      </c>
      <c r="Q77" s="1">
        <v>28126.491999999998</v>
      </c>
      <c r="R77" s="1">
        <v>50.83</v>
      </c>
      <c r="S77" s="1">
        <f>LEFT(A77,4)*1</f>
        <v>2016</v>
      </c>
      <c r="T77" s="1">
        <f>RIGHT(A77,2)*1</f>
        <v>10</v>
      </c>
      <c r="U77" s="2">
        <f>M77/K77</f>
        <v>0.34434330283022369</v>
      </c>
      <c r="V77" s="2">
        <f>N77/K77</f>
        <v>0.16966343126279596</v>
      </c>
      <c r="W77" s="2">
        <f>P77/K77</f>
        <v>0.44304143187408762</v>
      </c>
      <c r="X77" s="2">
        <f>Q77/K77</f>
        <v>0.12871305805133779</v>
      </c>
      <c r="Y77" s="1">
        <f t="shared" si="5"/>
        <v>123568.16800000001</v>
      </c>
      <c r="Z77" s="1">
        <f>_4_1_Synthese_toutes_energies_2026_04[[#This Row],[5, Emissions CO2]]/_4_1_Synthese_toutes_energies_2026_04[[#This Row],[4, Conso totale]]</f>
        <v>0.12871305805133779</v>
      </c>
    </row>
    <row r="78" spans="1:26" x14ac:dyDescent="0.2">
      <c r="A78" s="1" t="s">
        <v>97</v>
      </c>
      <c r="B78" s="1">
        <v>90570.097999999998</v>
      </c>
      <c r="C78" s="1" t="s">
        <v>17</v>
      </c>
      <c r="D78" s="1">
        <v>748.97199999999998</v>
      </c>
      <c r="E78" s="1">
        <v>31.933</v>
      </c>
      <c r="F78" s="1">
        <v>84673.304000000004</v>
      </c>
      <c r="G78" s="1">
        <v>5115.8890000000001</v>
      </c>
      <c r="H78" s="1">
        <f t="shared" si="3"/>
        <v>89789.192999999999</v>
      </c>
      <c r="I78" s="1">
        <v>137205.48000000001</v>
      </c>
      <c r="J78" s="1">
        <v>23353.237000000001</v>
      </c>
      <c r="K78" s="1">
        <v>191216.87400000001</v>
      </c>
      <c r="L78" s="1">
        <v>8781.0849999999991</v>
      </c>
      <c r="M78" s="1">
        <v>74567.930999999997</v>
      </c>
      <c r="N78" s="1">
        <v>20813.592000000001</v>
      </c>
      <c r="O78" s="1">
        <f t="shared" si="4"/>
        <v>104162.60800000001</v>
      </c>
      <c r="P78" s="1">
        <v>87054.266000000003</v>
      </c>
      <c r="Q78" s="1">
        <v>24084.5</v>
      </c>
      <c r="R78" s="1">
        <v>51.305999999999997</v>
      </c>
      <c r="S78" s="1">
        <f>LEFT(A78,4)*1</f>
        <v>2016</v>
      </c>
      <c r="T78" s="1">
        <f>RIGHT(A78,2)*1</f>
        <v>9</v>
      </c>
      <c r="U78" s="2">
        <f>M78/K78</f>
        <v>0.38996522346662771</v>
      </c>
      <c r="V78" s="2">
        <f>N78/K78</f>
        <v>0.10884809255902803</v>
      </c>
      <c r="W78" s="2">
        <f>P78/K78</f>
        <v>0.45526455996765219</v>
      </c>
      <c r="X78" s="2">
        <f>Q78/K78</f>
        <v>0.12595384233715692</v>
      </c>
      <c r="Y78" s="1">
        <f t="shared" si="5"/>
        <v>113852.24300000002</v>
      </c>
      <c r="Z78" s="1">
        <f>_4_1_Synthese_toutes_energies_2026_04[[#This Row],[5, Emissions CO2]]/_4_1_Synthese_toutes_energies_2026_04[[#This Row],[4, Conso totale]]</f>
        <v>0.12595384233715692</v>
      </c>
    </row>
    <row r="79" spans="1:26" x14ac:dyDescent="0.2">
      <c r="A79" s="1" t="s">
        <v>98</v>
      </c>
      <c r="B79" s="1">
        <v>93649.930999999997</v>
      </c>
      <c r="C79" s="1" t="s">
        <v>17</v>
      </c>
      <c r="D79" s="1">
        <v>796.65499999999997</v>
      </c>
      <c r="E79" s="1">
        <v>34.42</v>
      </c>
      <c r="F79" s="1">
        <v>86803.210999999996</v>
      </c>
      <c r="G79" s="1">
        <v>6015.6459999999997</v>
      </c>
      <c r="H79" s="1">
        <f t="shared" si="3"/>
        <v>92818.856999999989</v>
      </c>
      <c r="I79" s="1">
        <v>138702.05600000001</v>
      </c>
      <c r="J79" s="1">
        <v>26338.055</v>
      </c>
      <c r="K79" s="1">
        <v>186288.82699999999</v>
      </c>
      <c r="L79" s="1">
        <v>6915.6719999999996</v>
      </c>
      <c r="M79" s="1">
        <v>73970.964000000007</v>
      </c>
      <c r="N79" s="1">
        <v>15988.538</v>
      </c>
      <c r="O79" s="1">
        <f t="shared" si="4"/>
        <v>96875.174000000014</v>
      </c>
      <c r="P79" s="1">
        <v>89413.653999999995</v>
      </c>
      <c r="Q79" s="1">
        <v>22003.518</v>
      </c>
      <c r="R79" s="1">
        <v>51.59</v>
      </c>
      <c r="S79" s="1">
        <f>LEFT(A79,4)*1</f>
        <v>2016</v>
      </c>
      <c r="T79" s="1">
        <f>RIGHT(A79,2)*1</f>
        <v>8</v>
      </c>
      <c r="U79" s="2">
        <f>M79/K79</f>
        <v>0.39707676080863408</v>
      </c>
      <c r="V79" s="2">
        <f>N79/K79</f>
        <v>8.5826607303721991E-2</v>
      </c>
      <c r="W79" s="2">
        <f>P79/K79</f>
        <v>0.47997325142854647</v>
      </c>
      <c r="X79" s="2">
        <f>Q79/K79</f>
        <v>0.11811507085178008</v>
      </c>
      <c r="Y79" s="1">
        <f t="shared" si="5"/>
        <v>112364.00100000002</v>
      </c>
      <c r="Z79" s="1">
        <f>_4_1_Synthese_toutes_energies_2026_04[[#This Row],[5, Emissions CO2]]/_4_1_Synthese_toutes_energies_2026_04[[#This Row],[4, Conso totale]]</f>
        <v>0.11811507085178008</v>
      </c>
    </row>
    <row r="80" spans="1:26" x14ac:dyDescent="0.2">
      <c r="A80" s="1" t="s">
        <v>99</v>
      </c>
      <c r="B80" s="1">
        <v>98648.521999999997</v>
      </c>
      <c r="C80" s="1" t="s">
        <v>17</v>
      </c>
      <c r="D80" s="1">
        <v>809.34299999999996</v>
      </c>
      <c r="E80" s="1">
        <v>31.907</v>
      </c>
      <c r="F80" s="1">
        <v>90469.67</v>
      </c>
      <c r="G80" s="1">
        <v>7337.6009999999997</v>
      </c>
      <c r="H80" s="1">
        <f t="shared" si="3"/>
        <v>97807.270999999993</v>
      </c>
      <c r="I80" s="1">
        <v>147155.62</v>
      </c>
      <c r="J80" s="1">
        <v>28596.582999999999</v>
      </c>
      <c r="K80" s="1">
        <v>191968.549</v>
      </c>
      <c r="L80" s="1">
        <v>6373.375</v>
      </c>
      <c r="M80" s="1">
        <v>74996.252999999997</v>
      </c>
      <c r="N80" s="1">
        <v>17082.962</v>
      </c>
      <c r="O80" s="1">
        <f t="shared" si="4"/>
        <v>98452.59</v>
      </c>
      <c r="P80" s="1">
        <v>93515.959000000003</v>
      </c>
      <c r="Q80" s="1">
        <v>21936.501</v>
      </c>
      <c r="R80" s="1">
        <v>51.960999999999999</v>
      </c>
      <c r="S80" s="1">
        <f>LEFT(A80,4)*1</f>
        <v>2016</v>
      </c>
      <c r="T80" s="1">
        <f>RIGHT(A80,2)*1</f>
        <v>7</v>
      </c>
      <c r="U80" s="2">
        <f>M80/K80</f>
        <v>0.39066947888427284</v>
      </c>
      <c r="V80" s="2">
        <f>N80/K80</f>
        <v>8.8988337355198746E-2</v>
      </c>
      <c r="W80" s="2">
        <f>P80/K80</f>
        <v>0.48714208388375119</v>
      </c>
      <c r="X80" s="2">
        <f>Q80/K80</f>
        <v>0.11427132785173055</v>
      </c>
      <c r="Y80" s="1">
        <f t="shared" si="5"/>
        <v>118559.037</v>
      </c>
      <c r="Z80" s="1">
        <f>_4_1_Synthese_toutes_energies_2026_04[[#This Row],[5, Emissions CO2]]/_4_1_Synthese_toutes_energies_2026_04[[#This Row],[4, Conso totale]]</f>
        <v>0.11427132785173055</v>
      </c>
    </row>
    <row r="81" spans="1:26" x14ac:dyDescent="0.2">
      <c r="A81" s="1" t="s">
        <v>100</v>
      </c>
      <c r="B81" s="1">
        <v>101387.15</v>
      </c>
      <c r="C81" s="1" t="s">
        <v>17</v>
      </c>
      <c r="D81" s="1">
        <v>776.88400000000001</v>
      </c>
      <c r="E81" s="1">
        <v>30.123000000000001</v>
      </c>
      <c r="F81" s="1">
        <v>91412.76</v>
      </c>
      <c r="G81" s="1">
        <v>9167.3829999999998</v>
      </c>
      <c r="H81" s="1">
        <f t="shared" si="3"/>
        <v>100580.143</v>
      </c>
      <c r="I81" s="1">
        <v>119106.47500000001</v>
      </c>
      <c r="J81" s="1">
        <v>22961.417000000001</v>
      </c>
      <c r="K81" s="1">
        <v>188127.08499999999</v>
      </c>
      <c r="L81" s="1">
        <v>6425.8609999999999</v>
      </c>
      <c r="M81" s="1">
        <v>69643.58</v>
      </c>
      <c r="N81" s="1">
        <v>18124.371999999999</v>
      </c>
      <c r="O81" s="1">
        <f t="shared" si="4"/>
        <v>94193.813000000009</v>
      </c>
      <c r="P81" s="1">
        <v>93933.271999999997</v>
      </c>
      <c r="Q81" s="1">
        <v>20753.175999999999</v>
      </c>
      <c r="R81" s="1">
        <v>52.174999999999997</v>
      </c>
      <c r="S81" s="1">
        <f>LEFT(A81,4)*1</f>
        <v>2016</v>
      </c>
      <c r="T81" s="1">
        <f>RIGHT(A81,2)*1</f>
        <v>6</v>
      </c>
      <c r="U81" s="2">
        <f>M81/K81</f>
        <v>0.37019432900903132</v>
      </c>
      <c r="V81" s="2">
        <f>N81/K81</f>
        <v>9.6341108990233917E-2</v>
      </c>
      <c r="W81" s="2">
        <f>P81/K81</f>
        <v>0.49930753990048804</v>
      </c>
      <c r="X81" s="2">
        <f>Q81/K81</f>
        <v>0.11031466309064429</v>
      </c>
      <c r="Y81" s="1">
        <f t="shared" si="5"/>
        <v>96145.058000000005</v>
      </c>
      <c r="Z81" s="1">
        <f>_4_1_Synthese_toutes_energies_2026_04[[#This Row],[5, Emissions CO2]]/_4_1_Synthese_toutes_energies_2026_04[[#This Row],[4, Conso totale]]</f>
        <v>0.11031466309064429</v>
      </c>
    </row>
    <row r="82" spans="1:26" x14ac:dyDescent="0.2">
      <c r="A82" s="1" t="s">
        <v>101</v>
      </c>
      <c r="B82" s="1">
        <v>103805.444</v>
      </c>
      <c r="C82" s="1" t="s">
        <v>17</v>
      </c>
      <c r="D82" s="1">
        <v>811.774</v>
      </c>
      <c r="E82" s="1">
        <v>29.785</v>
      </c>
      <c r="F82" s="1">
        <v>94016.725000000006</v>
      </c>
      <c r="G82" s="1">
        <v>8947.16</v>
      </c>
      <c r="H82" s="1">
        <f t="shared" si="3"/>
        <v>102963.88500000001</v>
      </c>
      <c r="I82" s="1">
        <v>125878.59699999999</v>
      </c>
      <c r="J82" s="1">
        <v>24158.561000000002</v>
      </c>
      <c r="K82" s="1">
        <v>201870.09400000001</v>
      </c>
      <c r="L82" s="1">
        <v>6587.6459999999997</v>
      </c>
      <c r="M82" s="1">
        <v>74992.543000000005</v>
      </c>
      <c r="N82" s="1">
        <v>22591.902999999998</v>
      </c>
      <c r="O82" s="1">
        <f t="shared" si="4"/>
        <v>104172.092</v>
      </c>
      <c r="P82" s="1">
        <v>97698.001000000004</v>
      </c>
      <c r="Q82" s="1">
        <v>23572.771000000001</v>
      </c>
      <c r="R82" s="1">
        <v>52.201000000000001</v>
      </c>
      <c r="S82" s="1">
        <f>LEFT(A82,4)*1</f>
        <v>2016</v>
      </c>
      <c r="T82" s="1">
        <f>RIGHT(A82,2)*1</f>
        <v>5</v>
      </c>
      <c r="U82" s="2">
        <f>M82/K82</f>
        <v>0.37148911715471833</v>
      </c>
      <c r="V82" s="2">
        <f>N82/K82</f>
        <v>0.11191307514821881</v>
      </c>
      <c r="W82" s="2">
        <f>P82/K82</f>
        <v>0.48396470752126364</v>
      </c>
      <c r="X82" s="2">
        <f>Q82/K82</f>
        <v>0.11677198208467669</v>
      </c>
      <c r="Y82" s="1">
        <f t="shared" si="5"/>
        <v>101720.03599999999</v>
      </c>
      <c r="Z82" s="1">
        <f>_4_1_Synthese_toutes_energies_2026_04[[#This Row],[5, Emissions CO2]]/_4_1_Synthese_toutes_energies_2026_04[[#This Row],[4, Conso totale]]</f>
        <v>0.11677198208467669</v>
      </c>
    </row>
    <row r="83" spans="1:26" x14ac:dyDescent="0.2">
      <c r="A83" s="1" t="s">
        <v>102</v>
      </c>
      <c r="B83" s="1">
        <v>108370.09699999999</v>
      </c>
      <c r="C83" s="1" t="s">
        <v>17</v>
      </c>
      <c r="D83" s="1">
        <v>822.24099999999999</v>
      </c>
      <c r="E83" s="1">
        <v>26.57</v>
      </c>
      <c r="F83" s="1">
        <v>98619.127999999997</v>
      </c>
      <c r="G83" s="1">
        <v>8902.1569999999992</v>
      </c>
      <c r="H83" s="1">
        <f t="shared" si="3"/>
        <v>107521.285</v>
      </c>
      <c r="I83" s="1">
        <v>148528.217</v>
      </c>
      <c r="J83" s="1">
        <v>26601.663</v>
      </c>
      <c r="K83" s="1">
        <v>216149.26800000001</v>
      </c>
      <c r="L83" s="1">
        <v>6586.6120000000001</v>
      </c>
      <c r="M83" s="1">
        <v>71017.909</v>
      </c>
      <c r="N83" s="1">
        <v>34744.517999999996</v>
      </c>
      <c r="O83" s="1">
        <f t="shared" si="4"/>
        <v>112349.03899999999</v>
      </c>
      <c r="P83" s="1">
        <v>103800.23</v>
      </c>
      <c r="Q83" s="1">
        <v>25136.51</v>
      </c>
      <c r="R83" s="1">
        <v>52.478000000000002</v>
      </c>
      <c r="S83" s="1">
        <f>LEFT(A83,4)*1</f>
        <v>2016</v>
      </c>
      <c r="T83" s="1">
        <f>RIGHT(A83,2)*1</f>
        <v>4</v>
      </c>
      <c r="U83" s="2">
        <f>M83/K83</f>
        <v>0.32855956282951648</v>
      </c>
      <c r="V83" s="2">
        <f>N83/K83</f>
        <v>0.16074316754105314</v>
      </c>
      <c r="W83" s="2">
        <f>P83/K83</f>
        <v>0.4802247583831743</v>
      </c>
      <c r="X83" s="2">
        <f>Q83/K83</f>
        <v>0.11629236699520074</v>
      </c>
      <c r="Y83" s="1">
        <f t="shared" si="5"/>
        <v>121926.554</v>
      </c>
      <c r="Z83" s="1">
        <f>_4_1_Synthese_toutes_energies_2026_04[[#This Row],[5, Emissions CO2]]/_4_1_Synthese_toutes_energies_2026_04[[#This Row],[4, Conso totale]]</f>
        <v>0.11629236699520074</v>
      </c>
    </row>
    <row r="84" spans="1:26" x14ac:dyDescent="0.2">
      <c r="A84" s="1" t="s">
        <v>103</v>
      </c>
      <c r="B84" s="1">
        <v>128376.317</v>
      </c>
      <c r="C84" s="1" t="s">
        <v>17</v>
      </c>
      <c r="D84" s="1">
        <v>830.38199999999995</v>
      </c>
      <c r="E84" s="1">
        <v>28.648</v>
      </c>
      <c r="F84" s="1">
        <v>117876.299</v>
      </c>
      <c r="G84" s="1">
        <v>9640.9879999999994</v>
      </c>
      <c r="H84" s="1">
        <f t="shared" si="3"/>
        <v>127517.287</v>
      </c>
      <c r="I84" s="1">
        <v>142178.48800000001</v>
      </c>
      <c r="J84" s="1">
        <v>28852.67</v>
      </c>
      <c r="K84" s="1">
        <v>257907.40100000001</v>
      </c>
      <c r="L84" s="1">
        <v>8354.7070000000003</v>
      </c>
      <c r="M84" s="1">
        <v>75262.358999999997</v>
      </c>
      <c r="N84" s="1">
        <v>51018.624000000003</v>
      </c>
      <c r="O84" s="1">
        <f t="shared" si="4"/>
        <v>134635.69</v>
      </c>
      <c r="P84" s="1">
        <v>123271.711</v>
      </c>
      <c r="Q84" s="1">
        <v>30121.217000000001</v>
      </c>
      <c r="R84" s="1">
        <v>52.512</v>
      </c>
      <c r="S84" s="1">
        <f>LEFT(A84,4)*1</f>
        <v>2016</v>
      </c>
      <c r="T84" s="1">
        <f>RIGHT(A84,2)*1</f>
        <v>3</v>
      </c>
      <c r="U84" s="2">
        <f>M84/K84</f>
        <v>0.29181930688371366</v>
      </c>
      <c r="V84" s="2">
        <f>N84/K84</f>
        <v>0.19781760353592956</v>
      </c>
      <c r="W84" s="2">
        <f>P84/K84</f>
        <v>0.47796887767482094</v>
      </c>
      <c r="X84" s="2">
        <f>Q84/K84</f>
        <v>0.11679082059378358</v>
      </c>
      <c r="Y84" s="1">
        <f t="shared" si="5"/>
        <v>113325.81800000001</v>
      </c>
      <c r="Z84" s="1">
        <f>_4_1_Synthese_toutes_energies_2026_04[[#This Row],[5, Emissions CO2]]/_4_1_Synthese_toutes_energies_2026_04[[#This Row],[4, Conso totale]]</f>
        <v>0.11679082059378358</v>
      </c>
    </row>
    <row r="85" spans="1:26" x14ac:dyDescent="0.2">
      <c r="A85" s="1" t="s">
        <v>104</v>
      </c>
      <c r="B85" s="1">
        <v>129283.136</v>
      </c>
      <c r="C85" s="1" t="s">
        <v>17</v>
      </c>
      <c r="D85" s="1">
        <v>793.28200000000004</v>
      </c>
      <c r="E85" s="1">
        <v>31.777999999999999</v>
      </c>
      <c r="F85" s="1">
        <v>118312.262</v>
      </c>
      <c r="G85" s="1">
        <v>10145.814</v>
      </c>
      <c r="H85" s="1">
        <f t="shared" si="3"/>
        <v>128458.076</v>
      </c>
      <c r="I85" s="1">
        <v>135931.04699999999</v>
      </c>
      <c r="J85" s="1">
        <v>27355.994999999999</v>
      </c>
      <c r="K85" s="1">
        <v>251501.755</v>
      </c>
      <c r="L85" s="1">
        <v>8136.5469999999996</v>
      </c>
      <c r="M85" s="1">
        <v>69066.778999999995</v>
      </c>
      <c r="N85" s="1">
        <v>50792.23</v>
      </c>
      <c r="O85" s="1">
        <f t="shared" si="4"/>
        <v>127995.55600000001</v>
      </c>
      <c r="P85" s="1">
        <v>123506.2</v>
      </c>
      <c r="Q85" s="1">
        <v>28644.22</v>
      </c>
      <c r="R85" s="1">
        <v>52.584000000000003</v>
      </c>
      <c r="S85" s="1">
        <f>LEFT(A85,4)*1</f>
        <v>2016</v>
      </c>
      <c r="T85" s="1">
        <f>RIGHT(A85,2)*1</f>
        <v>2</v>
      </c>
      <c r="U85" s="2">
        <f>M85/K85</f>
        <v>0.27461748328555396</v>
      </c>
      <c r="V85" s="2">
        <f>N85/K85</f>
        <v>0.20195576766452386</v>
      </c>
      <c r="W85" s="2">
        <f>P85/K85</f>
        <v>0.49107490323477065</v>
      </c>
      <c r="X85" s="2">
        <f>Q85/K85</f>
        <v>0.11389272412830678</v>
      </c>
      <c r="Y85" s="1">
        <f t="shared" si="5"/>
        <v>108575.052</v>
      </c>
      <c r="Z85" s="1">
        <f>_4_1_Synthese_toutes_energies_2026_04[[#This Row],[5, Emissions CO2]]/_4_1_Synthese_toutes_energies_2026_04[[#This Row],[4, Conso totale]]</f>
        <v>0.11389272412830678</v>
      </c>
    </row>
    <row r="86" spans="1:26" x14ac:dyDescent="0.2">
      <c r="A86" s="1" t="s">
        <v>105</v>
      </c>
      <c r="B86" s="1">
        <v>141404.03599999999</v>
      </c>
      <c r="C86" s="1" t="s">
        <v>17</v>
      </c>
      <c r="D86" s="1">
        <v>814.69299999999998</v>
      </c>
      <c r="E86" s="1">
        <v>29.326000000000001</v>
      </c>
      <c r="F86" s="1">
        <v>131863.546</v>
      </c>
      <c r="G86" s="1">
        <v>8696.4709999999995</v>
      </c>
      <c r="H86" s="1">
        <f t="shared" si="3"/>
        <v>140560.01699999999</v>
      </c>
      <c r="I86" s="1">
        <v>137982.50200000001</v>
      </c>
      <c r="J86" s="1">
        <v>28068.632000000001</v>
      </c>
      <c r="K86" s="1">
        <v>267359.70799999998</v>
      </c>
      <c r="L86" s="1">
        <v>8947.6239999999998</v>
      </c>
      <c r="M86" s="1">
        <v>66611.452999999994</v>
      </c>
      <c r="N86" s="1">
        <v>56345.89</v>
      </c>
      <c r="O86" s="1">
        <f t="shared" si="4"/>
        <v>131904.967</v>
      </c>
      <c r="P86" s="1">
        <v>135454.74100000001</v>
      </c>
      <c r="Q86" s="1">
        <v>29345.185000000001</v>
      </c>
      <c r="R86" s="1">
        <v>52.357999999999997</v>
      </c>
      <c r="S86" s="1">
        <f>LEFT(A86,4)*1</f>
        <v>2016</v>
      </c>
      <c r="T86" s="1">
        <f>RIGHT(A86,2)*1</f>
        <v>1</v>
      </c>
      <c r="U86" s="2">
        <f>M86/K86</f>
        <v>0.24914544341139092</v>
      </c>
      <c r="V86" s="2">
        <f>N86/K86</f>
        <v>0.2107493699087972</v>
      </c>
      <c r="W86" s="2">
        <f>P86/K86</f>
        <v>0.50663857322884276</v>
      </c>
      <c r="X86" s="2">
        <f>Q86/K86</f>
        <v>0.10975919004220337</v>
      </c>
      <c r="Y86" s="1">
        <f t="shared" si="5"/>
        <v>109913.87000000001</v>
      </c>
      <c r="Z86" s="1">
        <f>_4_1_Synthese_toutes_energies_2026_04[[#This Row],[5, Emissions CO2]]/_4_1_Synthese_toutes_energies_2026_04[[#This Row],[4, Conso totale]]</f>
        <v>0.10975919004220337</v>
      </c>
    </row>
    <row r="87" spans="1:26" x14ac:dyDescent="0.2">
      <c r="A87" s="1" t="s">
        <v>106</v>
      </c>
      <c r="B87" s="1">
        <v>135244.66200000001</v>
      </c>
      <c r="C87" s="1" t="s">
        <v>17</v>
      </c>
      <c r="D87" s="1">
        <v>818.75199999999995</v>
      </c>
      <c r="E87" s="1">
        <v>24.67</v>
      </c>
      <c r="F87" s="1">
        <v>127974.03200000001</v>
      </c>
      <c r="G87" s="1">
        <v>6427.2079999999996</v>
      </c>
      <c r="H87" s="1">
        <f t="shared" si="3"/>
        <v>134401.24000000002</v>
      </c>
      <c r="I87" s="1">
        <v>153179.133</v>
      </c>
      <c r="J87" s="1">
        <v>36003.351999999999</v>
      </c>
      <c r="K87" s="1">
        <v>257269.92499999999</v>
      </c>
      <c r="L87" s="1">
        <v>8387.2330000000002</v>
      </c>
      <c r="M87" s="1">
        <v>74648.096999999994</v>
      </c>
      <c r="N87" s="1">
        <v>46192.43</v>
      </c>
      <c r="O87" s="1">
        <f t="shared" si="4"/>
        <v>129227.75999999998</v>
      </c>
      <c r="P87" s="1">
        <v>128042.166</v>
      </c>
      <c r="Q87" s="1">
        <v>29872.909</v>
      </c>
      <c r="R87" s="1">
        <v>52.301000000000002</v>
      </c>
      <c r="S87" s="1">
        <f>LEFT(A87,4)*1</f>
        <v>2015</v>
      </c>
      <c r="T87" s="1">
        <f>RIGHT(A87,2)*1</f>
        <v>12</v>
      </c>
      <c r="U87" s="2">
        <f>M87/K87</f>
        <v>0.29015477421233749</v>
      </c>
      <c r="V87" s="2">
        <f>N87/K87</f>
        <v>0.17954850338608372</v>
      </c>
      <c r="W87" s="2">
        <f>P87/K87</f>
        <v>0.4976958188952712</v>
      </c>
      <c r="X87" s="2">
        <f>Q87/K87</f>
        <v>0.11611504531670386</v>
      </c>
      <c r="Y87" s="1">
        <f t="shared" si="5"/>
        <v>117175.781</v>
      </c>
      <c r="Z87" s="1">
        <f>_4_1_Synthese_toutes_energies_2026_04[[#This Row],[5, Emissions CO2]]/_4_1_Synthese_toutes_energies_2026_04[[#This Row],[4, Conso totale]]</f>
        <v>0.11611504531670386</v>
      </c>
    </row>
    <row r="88" spans="1:26" x14ac:dyDescent="0.2">
      <c r="A88" s="1" t="s">
        <v>107</v>
      </c>
      <c r="B88" s="1">
        <v>120649.196</v>
      </c>
      <c r="C88" s="1" t="s">
        <v>17</v>
      </c>
      <c r="D88" s="1">
        <v>821.07799999999997</v>
      </c>
      <c r="E88" s="1">
        <v>22.815000000000001</v>
      </c>
      <c r="F88" s="1">
        <v>113490.519</v>
      </c>
      <c r="G88" s="1">
        <v>6314.7839999999997</v>
      </c>
      <c r="H88" s="1">
        <f t="shared" si="3"/>
        <v>119805.303</v>
      </c>
      <c r="I88" s="1">
        <v>128361.19100000001</v>
      </c>
      <c r="J88" s="1">
        <v>32616.866000000002</v>
      </c>
      <c r="K88" s="1">
        <v>227348.003</v>
      </c>
      <c r="L88" s="1">
        <v>8439.2790000000005</v>
      </c>
      <c r="M88" s="1">
        <v>63131.745000000003</v>
      </c>
      <c r="N88" s="1">
        <v>41932.408000000003</v>
      </c>
      <c r="O88" s="1">
        <f t="shared" si="4"/>
        <v>113503.432</v>
      </c>
      <c r="P88" s="1">
        <v>113844.57</v>
      </c>
      <c r="Q88" s="1">
        <v>26238.851999999999</v>
      </c>
      <c r="R88" s="1">
        <v>52.146999999999998</v>
      </c>
      <c r="S88" s="1">
        <f>LEFT(A88,4)*1</f>
        <v>2015</v>
      </c>
      <c r="T88" s="1">
        <f>RIGHT(A88,2)*1</f>
        <v>11</v>
      </c>
      <c r="U88" s="2">
        <f>M88/K88</f>
        <v>0.27768770416690225</v>
      </c>
      <c r="V88" s="2">
        <f>N88/K88</f>
        <v>0.18444150573867149</v>
      </c>
      <c r="W88" s="2">
        <f>P88/K88</f>
        <v>0.50075025290633413</v>
      </c>
      <c r="X88" s="2">
        <f>Q88/K88</f>
        <v>0.11541272258283262</v>
      </c>
      <c r="Y88" s="1">
        <f t="shared" si="5"/>
        <v>95744.325000000012</v>
      </c>
      <c r="Z88" s="1">
        <f>_4_1_Synthese_toutes_energies_2026_04[[#This Row],[5, Emissions CO2]]/_4_1_Synthese_toutes_energies_2026_04[[#This Row],[4, Conso totale]]</f>
        <v>0.11541272258283262</v>
      </c>
    </row>
    <row r="89" spans="1:26" x14ac:dyDescent="0.2">
      <c r="A89" s="1" t="s">
        <v>108</v>
      </c>
      <c r="B89" s="1">
        <v>116080.973</v>
      </c>
      <c r="C89" s="1" t="s">
        <v>17</v>
      </c>
      <c r="D89" s="1">
        <v>824.56700000000001</v>
      </c>
      <c r="E89" s="1">
        <v>24.405000000000001</v>
      </c>
      <c r="F89" s="1">
        <v>109641.58500000001</v>
      </c>
      <c r="G89" s="1">
        <v>5590.4160000000002</v>
      </c>
      <c r="H89" s="1">
        <f t="shared" si="3"/>
        <v>115232.001</v>
      </c>
      <c r="I89" s="1">
        <v>151252.39600000001</v>
      </c>
      <c r="J89" s="1">
        <v>29452.723999999998</v>
      </c>
      <c r="K89" s="1">
        <v>228290.753</v>
      </c>
      <c r="L89" s="1">
        <v>8968.4120000000003</v>
      </c>
      <c r="M89" s="1">
        <v>73690.122000000003</v>
      </c>
      <c r="N89" s="1">
        <v>35304.720999999998</v>
      </c>
      <c r="O89" s="1">
        <f t="shared" si="4"/>
        <v>117963.255</v>
      </c>
      <c r="P89" s="1">
        <v>110327.49800000001</v>
      </c>
      <c r="Q89" s="1">
        <v>27383.455999999998</v>
      </c>
      <c r="R89" s="1">
        <v>52.192999999999998</v>
      </c>
      <c r="S89" s="1">
        <f>LEFT(A89,4)*1</f>
        <v>2015</v>
      </c>
      <c r="T89" s="1">
        <f>RIGHT(A89,2)*1</f>
        <v>10</v>
      </c>
      <c r="U89" s="2">
        <f>M89/K89</f>
        <v>0.32279065635216508</v>
      </c>
      <c r="V89" s="2">
        <f>N89/K89</f>
        <v>0.15464805532443093</v>
      </c>
      <c r="W89" s="2">
        <f>P89/K89</f>
        <v>0.48327624553413256</v>
      </c>
      <c r="X89" s="2">
        <f>Q89/K89</f>
        <v>0.11994991317059608</v>
      </c>
      <c r="Y89" s="1">
        <f t="shared" si="5"/>
        <v>121799.67200000001</v>
      </c>
      <c r="Z89" s="1">
        <f>_4_1_Synthese_toutes_energies_2026_04[[#This Row],[5, Emissions CO2]]/_4_1_Synthese_toutes_energies_2026_04[[#This Row],[4, Conso totale]]</f>
        <v>0.11994991317059608</v>
      </c>
    </row>
    <row r="90" spans="1:26" x14ac:dyDescent="0.2">
      <c r="A90" s="1" t="s">
        <v>109</v>
      </c>
      <c r="B90" s="1">
        <v>104164.352</v>
      </c>
      <c r="C90" s="1" t="s">
        <v>17</v>
      </c>
      <c r="D90" s="1">
        <v>781.53599999999994</v>
      </c>
      <c r="E90" s="1">
        <v>26.318999999999999</v>
      </c>
      <c r="F90" s="1">
        <v>97679.616999999998</v>
      </c>
      <c r="G90" s="1">
        <v>5676.8789999999999</v>
      </c>
      <c r="H90" s="1">
        <f t="shared" si="3"/>
        <v>103356.496</v>
      </c>
      <c r="I90" s="1">
        <v>144144.12400000001</v>
      </c>
      <c r="J90" s="1">
        <v>27773.13</v>
      </c>
      <c r="K90" s="1">
        <v>202927.984</v>
      </c>
      <c r="L90" s="1">
        <v>7733.5169999999998</v>
      </c>
      <c r="M90" s="1">
        <v>77593.534</v>
      </c>
      <c r="N90" s="1">
        <v>19416.456999999999</v>
      </c>
      <c r="O90" s="1">
        <f t="shared" si="4"/>
        <v>104743.508</v>
      </c>
      <c r="P90" s="1">
        <v>98184.475999999995</v>
      </c>
      <c r="Q90" s="1">
        <v>24347.728999999999</v>
      </c>
      <c r="R90" s="1">
        <v>52.231999999999999</v>
      </c>
      <c r="S90" s="1">
        <f>LEFT(A90,4)*1</f>
        <v>2015</v>
      </c>
      <c r="T90" s="1">
        <f>RIGHT(A90,2)*1</f>
        <v>9</v>
      </c>
      <c r="U90" s="2">
        <f>M90/K90</f>
        <v>0.38236980662065811</v>
      </c>
      <c r="V90" s="2">
        <f>N90/K90</f>
        <v>9.5681515270954448E-2</v>
      </c>
      <c r="W90" s="2">
        <f>P90/K90</f>
        <v>0.48383901551990977</v>
      </c>
      <c r="X90" s="2">
        <f>Q90/K90</f>
        <v>0.11998211641426448</v>
      </c>
      <c r="Y90" s="1">
        <f t="shared" si="5"/>
        <v>116370.99400000001</v>
      </c>
      <c r="Z90" s="1">
        <f>_4_1_Synthese_toutes_energies_2026_04[[#This Row],[5, Emissions CO2]]/_4_1_Synthese_toutes_energies_2026_04[[#This Row],[4, Conso totale]]</f>
        <v>0.11998211641426448</v>
      </c>
    </row>
    <row r="91" spans="1:26" x14ac:dyDescent="0.2">
      <c r="A91" s="1" t="s">
        <v>110</v>
      </c>
      <c r="B91" s="1">
        <v>108449.238</v>
      </c>
      <c r="C91" s="1" t="s">
        <v>17</v>
      </c>
      <c r="D91" s="1">
        <v>817.58900000000006</v>
      </c>
      <c r="E91" s="1">
        <v>21.71</v>
      </c>
      <c r="F91" s="1">
        <v>102283.505</v>
      </c>
      <c r="G91" s="1">
        <v>5326.4340000000002</v>
      </c>
      <c r="H91" s="1">
        <f t="shared" si="3"/>
        <v>107609.939</v>
      </c>
      <c r="I91" s="1">
        <v>130196.997</v>
      </c>
      <c r="J91" s="1">
        <v>25377.817999999999</v>
      </c>
      <c r="K91" s="1">
        <v>195626.74400000001</v>
      </c>
      <c r="L91" s="1">
        <v>6814.5150000000003</v>
      </c>
      <c r="M91" s="1">
        <v>74819.64</v>
      </c>
      <c r="N91" s="1">
        <v>13255.778</v>
      </c>
      <c r="O91" s="1">
        <f t="shared" si="4"/>
        <v>94889.933000000005</v>
      </c>
      <c r="P91" s="1">
        <v>100736.81200000001</v>
      </c>
      <c r="Q91" s="1">
        <v>21795.48</v>
      </c>
      <c r="R91" s="1">
        <v>52.387</v>
      </c>
      <c r="S91" s="1">
        <f>LEFT(A91,4)*1</f>
        <v>2015</v>
      </c>
      <c r="T91" s="1">
        <f>RIGHT(A91,2)*1</f>
        <v>8</v>
      </c>
      <c r="U91" s="2">
        <f>M91/K91</f>
        <v>0.38246120377078913</v>
      </c>
      <c r="V91" s="2">
        <f>N91/K91</f>
        <v>6.7760561408720277E-2</v>
      </c>
      <c r="W91" s="2">
        <f>P91/K91</f>
        <v>0.51494396901069928</v>
      </c>
      <c r="X91" s="2">
        <f>Q91/K91</f>
        <v>0.11141360099516863</v>
      </c>
      <c r="Y91" s="1">
        <f t="shared" si="5"/>
        <v>104819.179</v>
      </c>
      <c r="Z91" s="1">
        <f>_4_1_Synthese_toutes_energies_2026_04[[#This Row],[5, Emissions CO2]]/_4_1_Synthese_toutes_energies_2026_04[[#This Row],[4, Conso totale]]</f>
        <v>0.11141360099516863</v>
      </c>
    </row>
    <row r="92" spans="1:26" x14ac:dyDescent="0.2">
      <c r="A92" s="1" t="s">
        <v>111</v>
      </c>
      <c r="B92" s="1">
        <v>113263.023</v>
      </c>
      <c r="C92" s="1" t="s">
        <v>17</v>
      </c>
      <c r="D92" s="1">
        <v>857.13099999999997</v>
      </c>
      <c r="E92" s="1">
        <v>25.981000000000002</v>
      </c>
      <c r="F92" s="1">
        <v>106076.09600000001</v>
      </c>
      <c r="G92" s="1">
        <v>6303.8140000000003</v>
      </c>
      <c r="H92" s="1">
        <f t="shared" si="3"/>
        <v>112379.91</v>
      </c>
      <c r="I92" s="1">
        <v>142750.22500000001</v>
      </c>
      <c r="J92" s="1">
        <v>26377.659</v>
      </c>
      <c r="K92" s="1">
        <v>208961.17300000001</v>
      </c>
      <c r="L92" s="1">
        <v>7455.6490000000003</v>
      </c>
      <c r="M92" s="1">
        <v>79910.614000000001</v>
      </c>
      <c r="N92" s="1">
        <v>15525.976000000001</v>
      </c>
      <c r="O92" s="1">
        <f t="shared" si="4"/>
        <v>102892.239</v>
      </c>
      <c r="P92" s="1">
        <v>106068.93399999999</v>
      </c>
      <c r="Q92" s="1">
        <v>23465.138999999999</v>
      </c>
      <c r="R92" s="1">
        <v>52.466999999999999</v>
      </c>
      <c r="S92" s="1">
        <f>LEFT(A92,4)*1</f>
        <v>2015</v>
      </c>
      <c r="T92" s="1">
        <f>RIGHT(A92,2)*1</f>
        <v>7</v>
      </c>
      <c r="U92" s="2">
        <f>M92/K92</f>
        <v>0.38241847924542421</v>
      </c>
      <c r="V92" s="2">
        <f>N92/K92</f>
        <v>7.4300769741563424E-2</v>
      </c>
      <c r="W92" s="2">
        <f>P92/K92</f>
        <v>0.50760116091040508</v>
      </c>
      <c r="X92" s="2">
        <f>Q92/K92</f>
        <v>0.11229425382293388</v>
      </c>
      <c r="Y92" s="1">
        <f t="shared" si="5"/>
        <v>116372.56600000001</v>
      </c>
      <c r="Z92" s="1">
        <f>_4_1_Synthese_toutes_energies_2026_04[[#This Row],[5, Emissions CO2]]/_4_1_Synthese_toutes_energies_2026_04[[#This Row],[4, Conso totale]]</f>
        <v>0.11229425382293388</v>
      </c>
    </row>
    <row r="93" spans="1:26" x14ac:dyDescent="0.2">
      <c r="A93" s="1" t="s">
        <v>112</v>
      </c>
      <c r="B93" s="1">
        <v>106535.601</v>
      </c>
      <c r="C93" s="1" t="s">
        <v>17</v>
      </c>
      <c r="D93" s="1">
        <v>829.21900000000005</v>
      </c>
      <c r="E93" s="1">
        <v>23.646000000000001</v>
      </c>
      <c r="F93" s="1">
        <v>97938.391000000003</v>
      </c>
      <c r="G93" s="1">
        <v>7744.3450000000003</v>
      </c>
      <c r="H93" s="1">
        <f t="shared" si="3"/>
        <v>105682.736</v>
      </c>
      <c r="I93" s="1">
        <v>124822.86599999999</v>
      </c>
      <c r="J93" s="1">
        <v>24653.439999999999</v>
      </c>
      <c r="K93" s="1">
        <v>196644.72899999999</v>
      </c>
      <c r="L93" s="1">
        <v>6485.0320000000002</v>
      </c>
      <c r="M93" s="1">
        <v>74347.112999999998</v>
      </c>
      <c r="N93" s="1">
        <v>16191.949000000001</v>
      </c>
      <c r="O93" s="1">
        <f t="shared" si="4"/>
        <v>97024.094000000012</v>
      </c>
      <c r="P93" s="1">
        <v>99620.634999999995</v>
      </c>
      <c r="Q93" s="1">
        <v>21771.620999999999</v>
      </c>
      <c r="R93" s="1">
        <v>52.576000000000001</v>
      </c>
      <c r="S93" s="1">
        <f>LEFT(A93,4)*1</f>
        <v>2015</v>
      </c>
      <c r="T93" s="1">
        <f>RIGHT(A93,2)*1</f>
        <v>6</v>
      </c>
      <c r="U93" s="2">
        <f>M93/K93</f>
        <v>0.37807834147438552</v>
      </c>
      <c r="V93" s="2">
        <f>N93/K93</f>
        <v>8.234112901139598E-2</v>
      </c>
      <c r="W93" s="2">
        <f>P93/K93</f>
        <v>0.50660211187252313</v>
      </c>
      <c r="X93" s="2">
        <f>Q93/K93</f>
        <v>0.11071550766051808</v>
      </c>
      <c r="Y93" s="1">
        <f t="shared" si="5"/>
        <v>100169.42599999999</v>
      </c>
      <c r="Z93" s="1">
        <f>_4_1_Synthese_toutes_energies_2026_04[[#This Row],[5, Emissions CO2]]/_4_1_Synthese_toutes_energies_2026_04[[#This Row],[4, Conso totale]]</f>
        <v>0.11071550766051808</v>
      </c>
    </row>
    <row r="94" spans="1:26" x14ac:dyDescent="0.2">
      <c r="A94" s="1" t="s">
        <v>113</v>
      </c>
      <c r="B94" s="1">
        <v>106642.129</v>
      </c>
      <c r="C94" s="1" t="s">
        <v>17</v>
      </c>
      <c r="D94" s="1">
        <v>862.94600000000003</v>
      </c>
      <c r="E94" s="1">
        <v>24.690999999999999</v>
      </c>
      <c r="F94" s="1">
        <v>96932.331000000006</v>
      </c>
      <c r="G94" s="1">
        <v>8822.1610000000001</v>
      </c>
      <c r="H94" s="1">
        <f t="shared" si="3"/>
        <v>105754.492</v>
      </c>
      <c r="I94" s="1">
        <v>140533.37100000001</v>
      </c>
      <c r="J94" s="1">
        <v>25005.715</v>
      </c>
      <c r="K94" s="1">
        <v>192973.89799999999</v>
      </c>
      <c r="L94" s="1">
        <v>6975.116</v>
      </c>
      <c r="M94" s="1">
        <v>65450.256000000001</v>
      </c>
      <c r="N94" s="1">
        <v>20770.28</v>
      </c>
      <c r="O94" s="1">
        <f t="shared" si="4"/>
        <v>93195.652000000002</v>
      </c>
      <c r="P94" s="1">
        <v>99778.245999999999</v>
      </c>
      <c r="Q94" s="1">
        <v>20920.289000000001</v>
      </c>
      <c r="R94" s="1">
        <v>52.604999999999997</v>
      </c>
      <c r="S94" s="1">
        <f>LEFT(A94,4)*1</f>
        <v>2015</v>
      </c>
      <c r="T94" s="1">
        <f>RIGHT(A94,2)*1</f>
        <v>5</v>
      </c>
      <c r="U94" s="2">
        <f>M94/K94</f>
        <v>0.33916636746385259</v>
      </c>
      <c r="V94" s="2">
        <f>N94/K94</f>
        <v>0.10763258769846687</v>
      </c>
      <c r="W94" s="2">
        <f>P94/K94</f>
        <v>0.51705565899902173</v>
      </c>
      <c r="X94" s="2">
        <f>Q94/K94</f>
        <v>0.10840994153520184</v>
      </c>
      <c r="Y94" s="1">
        <f t="shared" si="5"/>
        <v>115527.65600000002</v>
      </c>
      <c r="Z94" s="1">
        <f>_4_1_Synthese_toutes_energies_2026_04[[#This Row],[5, Emissions CO2]]/_4_1_Synthese_toutes_energies_2026_04[[#This Row],[4, Conso totale]]</f>
        <v>0.10840994153520184</v>
      </c>
    </row>
    <row r="95" spans="1:26" x14ac:dyDescent="0.2">
      <c r="A95" s="1" t="s">
        <v>114</v>
      </c>
      <c r="B95" s="1">
        <v>108112.693</v>
      </c>
      <c r="C95" s="1" t="s">
        <v>17</v>
      </c>
      <c r="D95" s="1">
        <v>802.47</v>
      </c>
      <c r="E95" s="1">
        <v>30.841999999999999</v>
      </c>
      <c r="F95" s="1">
        <v>99393.986000000004</v>
      </c>
      <c r="G95" s="1">
        <v>7885.3950000000004</v>
      </c>
      <c r="H95" s="1">
        <f t="shared" si="3"/>
        <v>107279.38100000001</v>
      </c>
      <c r="I95" s="1">
        <v>136499.682</v>
      </c>
      <c r="J95" s="1">
        <v>25787.719000000001</v>
      </c>
      <c r="K95" s="1">
        <v>213898.29</v>
      </c>
      <c r="L95" s="1">
        <v>7866.7839999999997</v>
      </c>
      <c r="M95" s="1">
        <v>73427.260999999999</v>
      </c>
      <c r="N95" s="1">
        <v>29444.826000000001</v>
      </c>
      <c r="O95" s="1">
        <f t="shared" si="4"/>
        <v>110738.871</v>
      </c>
      <c r="P95" s="1">
        <v>103159.41899999999</v>
      </c>
      <c r="Q95" s="1">
        <v>25250.771000000001</v>
      </c>
      <c r="R95" s="1">
        <v>52.558</v>
      </c>
      <c r="S95" s="1">
        <f>LEFT(A95,4)*1</f>
        <v>2015</v>
      </c>
      <c r="T95" s="1">
        <f>RIGHT(A95,2)*1</f>
        <v>4</v>
      </c>
      <c r="U95" s="2">
        <f>M95/K95</f>
        <v>0.34328119687165332</v>
      </c>
      <c r="V95" s="2">
        <f>N95/K95</f>
        <v>0.1376580710392776</v>
      </c>
      <c r="W95" s="2">
        <f>P95/K95</f>
        <v>0.48228257925764617</v>
      </c>
      <c r="X95" s="2">
        <f>Q95/K95</f>
        <v>0.11805036403049318</v>
      </c>
      <c r="Y95" s="1">
        <f t="shared" si="5"/>
        <v>110711.963</v>
      </c>
      <c r="Z95" s="1">
        <f>_4_1_Synthese_toutes_energies_2026_04[[#This Row],[5, Emissions CO2]]/_4_1_Synthese_toutes_energies_2026_04[[#This Row],[4, Conso totale]]</f>
        <v>0.11805036403049318</v>
      </c>
    </row>
    <row r="96" spans="1:26" x14ac:dyDescent="0.2">
      <c r="A96" s="1" t="s">
        <v>115</v>
      </c>
      <c r="B96" s="1">
        <v>126905.83500000001</v>
      </c>
      <c r="C96" s="1" t="s">
        <v>17</v>
      </c>
      <c r="D96" s="1">
        <v>814.1</v>
      </c>
      <c r="E96" s="1">
        <v>32.895000000000003</v>
      </c>
      <c r="F96" s="1">
        <v>117108.442</v>
      </c>
      <c r="G96" s="1">
        <v>8950.3979999999992</v>
      </c>
      <c r="H96" s="1">
        <f t="shared" si="3"/>
        <v>126058.84</v>
      </c>
      <c r="I96" s="1">
        <v>154622.59400000001</v>
      </c>
      <c r="J96" s="1">
        <v>30577.762999999999</v>
      </c>
      <c r="K96" s="1">
        <v>251450.212</v>
      </c>
      <c r="L96" s="1">
        <v>9770.7880000000005</v>
      </c>
      <c r="M96" s="1">
        <v>72514.19</v>
      </c>
      <c r="N96" s="1">
        <v>47458.366999999998</v>
      </c>
      <c r="O96" s="1">
        <f t="shared" si="4"/>
        <v>129743.345</v>
      </c>
      <c r="P96" s="1">
        <v>121706.867</v>
      </c>
      <c r="Q96" s="1">
        <v>29333.128000000001</v>
      </c>
      <c r="R96" s="1">
        <v>52.65</v>
      </c>
      <c r="S96" s="1">
        <f>LEFT(A96,4)*1</f>
        <v>2015</v>
      </c>
      <c r="T96" s="1">
        <f>RIGHT(A96,2)*1</f>
        <v>3</v>
      </c>
      <c r="U96" s="2">
        <f>M96/K96</f>
        <v>0.28838388889487199</v>
      </c>
      <c r="V96" s="2">
        <f>N96/K96</f>
        <v>0.18873862393084798</v>
      </c>
      <c r="W96" s="2">
        <f>P96/K96</f>
        <v>0.48401974304161655</v>
      </c>
      <c r="X96" s="2">
        <f>Q96/K96</f>
        <v>0.11665580938146117</v>
      </c>
      <c r="Y96" s="1">
        <f t="shared" si="5"/>
        <v>124044.83100000001</v>
      </c>
      <c r="Z96" s="1">
        <f>_4_1_Synthese_toutes_energies_2026_04[[#This Row],[5, Emissions CO2]]/_4_1_Synthese_toutes_energies_2026_04[[#This Row],[4, Conso totale]]</f>
        <v>0.11665580938146117</v>
      </c>
    </row>
    <row r="97" spans="1:26" x14ac:dyDescent="0.2">
      <c r="A97" s="1" t="s">
        <v>116</v>
      </c>
      <c r="B97" s="1">
        <v>127939.853</v>
      </c>
      <c r="C97" s="1" t="s">
        <v>17</v>
      </c>
      <c r="D97" s="1">
        <v>709.43</v>
      </c>
      <c r="E97" s="1">
        <v>20.385999999999999</v>
      </c>
      <c r="F97" s="1">
        <v>118645.628</v>
      </c>
      <c r="G97" s="1">
        <v>8564.4089999999997</v>
      </c>
      <c r="H97" s="1">
        <f t="shared" si="3"/>
        <v>127210.037</v>
      </c>
      <c r="I97" s="1">
        <v>123463.03999999999</v>
      </c>
      <c r="J97" s="1">
        <v>26215.505000000001</v>
      </c>
      <c r="K97" s="1">
        <v>260541.93299999999</v>
      </c>
      <c r="L97" s="1">
        <v>10805.322</v>
      </c>
      <c r="M97" s="1">
        <v>68558.233999999997</v>
      </c>
      <c r="N97" s="1">
        <v>57029.802000000003</v>
      </c>
      <c r="O97" s="1">
        <f t="shared" si="4"/>
        <v>136393.35800000001</v>
      </c>
      <c r="P97" s="1">
        <v>124148.576</v>
      </c>
      <c r="Q97" s="1">
        <v>30986.835999999999</v>
      </c>
      <c r="R97" s="1">
        <v>52.753</v>
      </c>
      <c r="S97" s="1">
        <f>LEFT(A97,4)*1</f>
        <v>2015</v>
      </c>
      <c r="T97" s="1">
        <f>RIGHT(A97,2)*1</f>
        <v>2</v>
      </c>
      <c r="U97" s="2">
        <f>M97/K97</f>
        <v>0.26313704366352419</v>
      </c>
      <c r="V97" s="2">
        <f>N97/K97</f>
        <v>0.21888914902615697</v>
      </c>
      <c r="W97" s="2">
        <f>P97/K97</f>
        <v>0.47650132387710503</v>
      </c>
      <c r="X97" s="2">
        <f>Q97/K97</f>
        <v>0.11893224112987601</v>
      </c>
      <c r="Y97" s="1">
        <f t="shared" si="5"/>
        <v>97247.534999999989</v>
      </c>
      <c r="Z97" s="1">
        <f>_4_1_Synthese_toutes_energies_2026_04[[#This Row],[5, Emissions CO2]]/_4_1_Synthese_toutes_energies_2026_04[[#This Row],[4, Conso totale]]</f>
        <v>0.11893224112987601</v>
      </c>
    </row>
    <row r="98" spans="1:26" x14ac:dyDescent="0.2">
      <c r="A98" s="1" t="s">
        <v>117</v>
      </c>
      <c r="B98" s="1">
        <v>148028.27799999999</v>
      </c>
      <c r="C98" s="1" t="s">
        <v>17</v>
      </c>
      <c r="D98" s="1">
        <v>755.95</v>
      </c>
      <c r="E98" s="1">
        <v>16.79</v>
      </c>
      <c r="F98" s="1">
        <v>138614.247</v>
      </c>
      <c r="G98" s="1">
        <v>8641.2909999999993</v>
      </c>
      <c r="H98" s="1">
        <f t="shared" si="3"/>
        <v>147255.538</v>
      </c>
      <c r="I98" s="1">
        <v>143394.91800000001</v>
      </c>
      <c r="J98" s="1">
        <v>31791.81</v>
      </c>
      <c r="K98" s="1">
        <v>282972.32900000003</v>
      </c>
      <c r="L98" s="1">
        <v>10840.01</v>
      </c>
      <c r="M98" s="1">
        <v>70124.388000000006</v>
      </c>
      <c r="N98" s="1">
        <v>59936.296000000002</v>
      </c>
      <c r="O98" s="1">
        <f t="shared" si="4"/>
        <v>140900.69400000002</v>
      </c>
      <c r="P98" s="1">
        <v>142071.63500000001</v>
      </c>
      <c r="Q98" s="1">
        <v>31951.244999999999</v>
      </c>
      <c r="R98" s="1">
        <v>53.073</v>
      </c>
      <c r="S98" s="1">
        <f>LEFT(A98,4)*1</f>
        <v>2015</v>
      </c>
      <c r="T98" s="1">
        <f>RIGHT(A98,2)*1</f>
        <v>1</v>
      </c>
      <c r="U98" s="2">
        <f>M98/K98</f>
        <v>0.24781358745504758</v>
      </c>
      <c r="V98" s="2">
        <f>N98/K98</f>
        <v>0.21180974200484456</v>
      </c>
      <c r="W98" s="2">
        <f>P98/K98</f>
        <v>0.50206900265502641</v>
      </c>
      <c r="X98" s="2">
        <f>Q98/K98</f>
        <v>0.1129129661296317</v>
      </c>
      <c r="Y98" s="1">
        <f t="shared" si="5"/>
        <v>111603.10800000001</v>
      </c>
      <c r="Z98" s="1">
        <f>_4_1_Synthese_toutes_energies_2026_04[[#This Row],[5, Emissions CO2]]/_4_1_Synthese_toutes_energies_2026_04[[#This Row],[4, Conso totale]]</f>
        <v>0.1129129661296317</v>
      </c>
    </row>
    <row r="99" spans="1:26" x14ac:dyDescent="0.2">
      <c r="A99" s="1" t="s">
        <v>118</v>
      </c>
      <c r="B99" s="1">
        <v>140625.845</v>
      </c>
      <c r="C99" s="1" t="s">
        <v>17</v>
      </c>
      <c r="D99" s="1">
        <v>755.95</v>
      </c>
      <c r="E99" s="1">
        <v>15.615</v>
      </c>
      <c r="F99" s="1">
        <v>131968.568</v>
      </c>
      <c r="G99" s="1">
        <v>7885.7120000000004</v>
      </c>
      <c r="H99" s="1">
        <f t="shared" si="3"/>
        <v>139854.28</v>
      </c>
      <c r="I99" s="1">
        <v>143204.27499999999</v>
      </c>
      <c r="J99" s="1">
        <v>31492.07</v>
      </c>
      <c r="K99" s="1">
        <v>275627.58</v>
      </c>
      <c r="L99" s="1">
        <v>9462.1990000000005</v>
      </c>
      <c r="M99" s="1">
        <v>75551.293999999994</v>
      </c>
      <c r="N99" s="1">
        <v>55532.235999999997</v>
      </c>
      <c r="O99" s="1">
        <f t="shared" si="4"/>
        <v>140545.72899999999</v>
      </c>
      <c r="P99" s="1">
        <v>135081.851</v>
      </c>
      <c r="Q99" s="1">
        <v>32596.192999999999</v>
      </c>
      <c r="R99" s="1">
        <v>53.246000000000002</v>
      </c>
      <c r="S99" s="1">
        <f>LEFT(A99,4)*1</f>
        <v>2014</v>
      </c>
      <c r="T99" s="1">
        <f>RIGHT(A99,2)*1</f>
        <v>12</v>
      </c>
      <c r="U99" s="2">
        <f>M99/K99</f>
        <v>0.27410643738917562</v>
      </c>
      <c r="V99" s="2">
        <f>N99/K99</f>
        <v>0.20147561430536085</v>
      </c>
      <c r="W99" s="2">
        <f>P99/K99</f>
        <v>0.49008829595354714</v>
      </c>
      <c r="X99" s="2">
        <f>Q99/K99</f>
        <v>0.11826172475192794</v>
      </c>
      <c r="Y99" s="1">
        <f t="shared" si="5"/>
        <v>111712.20499999999</v>
      </c>
      <c r="Z99" s="1">
        <f>_4_1_Synthese_toutes_energies_2026_04[[#This Row],[5, Emissions CO2]]/_4_1_Synthese_toutes_energies_2026_04[[#This Row],[4, Conso totale]]</f>
        <v>0.11826172475192794</v>
      </c>
    </row>
    <row r="100" spans="1:26" x14ac:dyDescent="0.2">
      <c r="A100" s="1" t="s">
        <v>119</v>
      </c>
      <c r="B100" s="1">
        <v>122772.621</v>
      </c>
      <c r="C100" s="1">
        <v>80.072999999999993</v>
      </c>
      <c r="D100" s="1">
        <v>755.95</v>
      </c>
      <c r="E100" s="1">
        <v>9.6649999999999991</v>
      </c>
      <c r="F100" s="1">
        <v>115390.43700000001</v>
      </c>
      <c r="G100" s="1">
        <v>6536.4970000000003</v>
      </c>
      <c r="H100" s="1">
        <f t="shared" si="3"/>
        <v>121926.93400000001</v>
      </c>
      <c r="I100" s="1">
        <v>132491.533</v>
      </c>
      <c r="J100" s="1">
        <v>30361.295999999998</v>
      </c>
      <c r="K100" s="1">
        <v>228981.402</v>
      </c>
      <c r="L100" s="1">
        <v>8932.2780000000002</v>
      </c>
      <c r="M100" s="1">
        <v>64155.894999999997</v>
      </c>
      <c r="N100" s="1">
        <v>39777.811999999998</v>
      </c>
      <c r="O100" s="1">
        <f t="shared" si="4"/>
        <v>112865.98499999999</v>
      </c>
      <c r="P100" s="1">
        <v>116115.417</v>
      </c>
      <c r="Q100" s="1">
        <v>26303.717000000001</v>
      </c>
      <c r="R100" s="1">
        <v>53.186999999999998</v>
      </c>
      <c r="S100" s="1">
        <f>LEFT(A100,4)*1</f>
        <v>2014</v>
      </c>
      <c r="T100" s="1">
        <f>RIGHT(A100,2)*1</f>
        <v>11</v>
      </c>
      <c r="U100" s="2">
        <f>M100/K100</f>
        <v>0.28017950121556157</v>
      </c>
      <c r="V100" s="2">
        <f>N100/K100</f>
        <v>0.17371634400247055</v>
      </c>
      <c r="W100" s="2">
        <f>P100/K100</f>
        <v>0.50709540594043534</v>
      </c>
      <c r="X100" s="2">
        <f>Q100/K100</f>
        <v>0.11487272228335819</v>
      </c>
      <c r="Y100" s="1">
        <f t="shared" si="5"/>
        <v>102130.23699999999</v>
      </c>
      <c r="Z100" s="1">
        <f>_4_1_Synthese_toutes_energies_2026_04[[#This Row],[5, Emissions CO2]]/_4_1_Synthese_toutes_energies_2026_04[[#This Row],[4, Conso totale]]</f>
        <v>0.11487272228335819</v>
      </c>
    </row>
    <row r="101" spans="1:26" x14ac:dyDescent="0.2">
      <c r="A101" s="1" t="s">
        <v>120</v>
      </c>
      <c r="B101" s="1">
        <v>110819.185</v>
      </c>
      <c r="C101" s="1">
        <v>155.435</v>
      </c>
      <c r="D101" s="1">
        <v>755.95</v>
      </c>
      <c r="E101" s="1">
        <v>21.518000000000001</v>
      </c>
      <c r="F101" s="1">
        <v>104464.23</v>
      </c>
      <c r="G101" s="1">
        <v>5422.0519999999997</v>
      </c>
      <c r="H101" s="1">
        <f t="shared" si="3"/>
        <v>109886.28199999999</v>
      </c>
      <c r="I101" s="1">
        <v>135095.223</v>
      </c>
      <c r="J101" s="1">
        <v>29014.146000000001</v>
      </c>
      <c r="K101" s="1">
        <v>216205.5</v>
      </c>
      <c r="L101" s="1">
        <v>9208.5529999999999</v>
      </c>
      <c r="M101" s="1">
        <v>75658.778999999995</v>
      </c>
      <c r="N101" s="1">
        <v>25759.611000000001</v>
      </c>
      <c r="O101" s="1">
        <f t="shared" si="4"/>
        <v>110626.943</v>
      </c>
      <c r="P101" s="1">
        <v>105578.557</v>
      </c>
      <c r="Q101" s="1">
        <v>26081.737000000001</v>
      </c>
      <c r="R101" s="1">
        <v>52.713999999999999</v>
      </c>
      <c r="S101" s="1">
        <f>LEFT(A101,4)*1</f>
        <v>2014</v>
      </c>
      <c r="T101" s="1">
        <f>RIGHT(A101,2)*1</f>
        <v>10</v>
      </c>
      <c r="U101" s="2">
        <f>M101/K101</f>
        <v>0.34993919673643825</v>
      </c>
      <c r="V101" s="2">
        <f>N101/K101</f>
        <v>0.11914410595475139</v>
      </c>
      <c r="W101" s="2">
        <f>P101/K101</f>
        <v>0.48832502873423667</v>
      </c>
      <c r="X101" s="2">
        <f>Q101/K101</f>
        <v>0.12063401254824693</v>
      </c>
      <c r="Y101" s="1">
        <f t="shared" si="5"/>
        <v>106081.07699999999</v>
      </c>
      <c r="Z101" s="1">
        <f>_4_1_Synthese_toutes_energies_2026_04[[#This Row],[5, Emissions CO2]]/_4_1_Synthese_toutes_energies_2026_04[[#This Row],[4, Conso totale]]</f>
        <v>0.12063401254824693</v>
      </c>
    </row>
    <row r="102" spans="1:26" x14ac:dyDescent="0.2">
      <c r="A102" s="1" t="s">
        <v>121</v>
      </c>
      <c r="B102" s="1">
        <v>107488.21</v>
      </c>
      <c r="C102" s="1">
        <v>122.464</v>
      </c>
      <c r="D102" s="1">
        <v>755.95</v>
      </c>
      <c r="E102" s="1">
        <v>9.9359999999999999</v>
      </c>
      <c r="F102" s="1">
        <v>101569.77099999999</v>
      </c>
      <c r="G102" s="1">
        <v>5030.0889999999999</v>
      </c>
      <c r="H102" s="1">
        <f t="shared" si="3"/>
        <v>106599.85999999999</v>
      </c>
      <c r="I102" s="1">
        <v>134748.342</v>
      </c>
      <c r="J102" s="1">
        <v>31038.992999999999</v>
      </c>
      <c r="K102" s="1">
        <v>201161.44699999999</v>
      </c>
      <c r="L102" s="1">
        <v>8006.4030000000002</v>
      </c>
      <c r="M102" s="1">
        <v>74306.535999999993</v>
      </c>
      <c r="N102" s="1">
        <v>17586.829000000002</v>
      </c>
      <c r="O102" s="1">
        <f t="shared" si="4"/>
        <v>99899.767999999996</v>
      </c>
      <c r="P102" s="1">
        <v>101261.679</v>
      </c>
      <c r="Q102" s="1">
        <v>23318.945</v>
      </c>
      <c r="R102" s="1">
        <v>52.481000000000002</v>
      </c>
      <c r="S102" s="1">
        <f>LEFT(A102,4)*1</f>
        <v>2014</v>
      </c>
      <c r="T102" s="1">
        <f>RIGHT(A102,2)*1</f>
        <v>9</v>
      </c>
      <c r="U102" s="2">
        <f>M102/K102</f>
        <v>0.36938755963512232</v>
      </c>
      <c r="V102" s="2">
        <f>N102/K102</f>
        <v>8.7426439122800723E-2</v>
      </c>
      <c r="W102" s="2">
        <f>P102/K102</f>
        <v>0.50338511931662533</v>
      </c>
      <c r="X102" s="2">
        <f>Q102/K102</f>
        <v>0.11592154136771546</v>
      </c>
      <c r="Y102" s="1">
        <f t="shared" si="5"/>
        <v>103709.349</v>
      </c>
      <c r="Z102" s="1">
        <f>_4_1_Synthese_toutes_energies_2026_04[[#This Row],[5, Emissions CO2]]/_4_1_Synthese_toutes_energies_2026_04[[#This Row],[4, Conso totale]]</f>
        <v>0.11592154136771546</v>
      </c>
    </row>
    <row r="103" spans="1:26" x14ac:dyDescent="0.2">
      <c r="A103" s="1" t="s">
        <v>122</v>
      </c>
      <c r="B103" s="1">
        <v>106867.825</v>
      </c>
      <c r="C103" s="1">
        <v>103.623</v>
      </c>
      <c r="D103" s="1">
        <v>755.95</v>
      </c>
      <c r="E103" s="1">
        <v>23.372</v>
      </c>
      <c r="F103" s="1">
        <v>99057.198000000004</v>
      </c>
      <c r="G103" s="1">
        <v>6927.6819999999998</v>
      </c>
      <c r="H103" s="1">
        <f t="shared" si="3"/>
        <v>105984.88</v>
      </c>
      <c r="I103" s="1">
        <v>136365.47700000001</v>
      </c>
      <c r="J103" s="1">
        <v>28355.067999999999</v>
      </c>
      <c r="K103" s="1">
        <v>188488.821</v>
      </c>
      <c r="L103" s="1">
        <v>6473.1750000000002</v>
      </c>
      <c r="M103" s="1">
        <v>69717.430999999997</v>
      </c>
      <c r="N103" s="1">
        <v>14111.088</v>
      </c>
      <c r="O103" s="1">
        <f t="shared" si="4"/>
        <v>90301.694000000003</v>
      </c>
      <c r="P103" s="1">
        <v>98187.126999999993</v>
      </c>
      <c r="Q103" s="1">
        <v>20527.331999999999</v>
      </c>
      <c r="R103" s="1">
        <v>52.320999999999998</v>
      </c>
      <c r="S103" s="1">
        <f>LEFT(A103,4)*1</f>
        <v>2014</v>
      </c>
      <c r="T103" s="1">
        <f>RIGHT(A103,2)*1</f>
        <v>8</v>
      </c>
      <c r="U103" s="2">
        <f>M103/K103</f>
        <v>0.36987568085005951</v>
      </c>
      <c r="V103" s="2">
        <f>N103/K103</f>
        <v>7.486432312078603E-2</v>
      </c>
      <c r="W103" s="2">
        <f>P103/K103</f>
        <v>0.5209175084181783</v>
      </c>
      <c r="X103" s="2">
        <f>Q103/K103</f>
        <v>0.10890477159916025</v>
      </c>
      <c r="Y103" s="1">
        <f t="shared" si="5"/>
        <v>108010.40900000001</v>
      </c>
      <c r="Z103" s="1">
        <f>_4_1_Synthese_toutes_energies_2026_04[[#This Row],[5, Emissions CO2]]/_4_1_Synthese_toutes_energies_2026_04[[#This Row],[4, Conso totale]]</f>
        <v>0.10890477159916025</v>
      </c>
    </row>
    <row r="104" spans="1:26" x14ac:dyDescent="0.2">
      <c r="A104" s="1" t="s">
        <v>123</v>
      </c>
      <c r="B104" s="1">
        <v>115274.367</v>
      </c>
      <c r="C104" s="1">
        <v>103.623</v>
      </c>
      <c r="D104" s="1">
        <v>721.06</v>
      </c>
      <c r="E104" s="1">
        <v>5.31</v>
      </c>
      <c r="F104" s="1">
        <v>106619.163</v>
      </c>
      <c r="G104" s="1">
        <v>7825.21</v>
      </c>
      <c r="H104" s="1">
        <f t="shared" si="3"/>
        <v>114444.37300000001</v>
      </c>
      <c r="I104" s="1">
        <v>142409.78899999999</v>
      </c>
      <c r="J104" s="1">
        <v>28360.715</v>
      </c>
      <c r="K104" s="1">
        <v>207141.87400000001</v>
      </c>
      <c r="L104" s="1">
        <v>7136.6450000000004</v>
      </c>
      <c r="M104" s="1">
        <v>78204.376999999993</v>
      </c>
      <c r="N104" s="1">
        <v>15523.199000000001</v>
      </c>
      <c r="O104" s="1">
        <f t="shared" si="4"/>
        <v>100864.22099999999</v>
      </c>
      <c r="P104" s="1">
        <v>106277.65300000001</v>
      </c>
      <c r="Q104" s="1">
        <v>22638.643</v>
      </c>
      <c r="R104" s="1">
        <v>52.118000000000002</v>
      </c>
      <c r="S104" s="1">
        <f>LEFT(A104,4)*1</f>
        <v>2014</v>
      </c>
      <c r="T104" s="1">
        <f>RIGHT(A104,2)*1</f>
        <v>7</v>
      </c>
      <c r="U104" s="2">
        <f>M104/K104</f>
        <v>0.37754016360786613</v>
      </c>
      <c r="V104" s="2">
        <f>N104/K104</f>
        <v>7.4939937059756448E-2</v>
      </c>
      <c r="W104" s="2">
        <f>P104/K104</f>
        <v>0.51306696684611441</v>
      </c>
      <c r="X104" s="2">
        <f>Q104/K104</f>
        <v>0.10929051940507209</v>
      </c>
      <c r="Y104" s="1">
        <f t="shared" si="5"/>
        <v>114049.07399999999</v>
      </c>
      <c r="Z104" s="1">
        <f>_4_1_Synthese_toutes_energies_2026_04[[#This Row],[5, Emissions CO2]]/_4_1_Synthese_toutes_energies_2026_04[[#This Row],[4, Conso totale]]</f>
        <v>0.10929051940507209</v>
      </c>
    </row>
    <row r="105" spans="1:26" x14ac:dyDescent="0.2">
      <c r="A105" s="1" t="s">
        <v>124</v>
      </c>
      <c r="B105" s="1">
        <v>106443.38400000001</v>
      </c>
      <c r="C105" s="1">
        <v>122.464</v>
      </c>
      <c r="D105" s="1">
        <v>721.06</v>
      </c>
      <c r="E105" s="1">
        <v>10.028</v>
      </c>
      <c r="F105" s="1">
        <v>98890.501000000004</v>
      </c>
      <c r="G105" s="1">
        <v>6699.3310000000001</v>
      </c>
      <c r="H105" s="1">
        <f t="shared" si="3"/>
        <v>105589.83200000001</v>
      </c>
      <c r="I105" s="1">
        <v>125264.36500000001</v>
      </c>
      <c r="J105" s="1">
        <v>24220.91</v>
      </c>
      <c r="K105" s="1">
        <v>194953.448</v>
      </c>
      <c r="L105" s="1">
        <v>6868.799</v>
      </c>
      <c r="M105" s="1">
        <v>72485.823999999993</v>
      </c>
      <c r="N105" s="1">
        <v>16161.47</v>
      </c>
      <c r="O105" s="1">
        <f t="shared" si="4"/>
        <v>95516.092999999993</v>
      </c>
      <c r="P105" s="1">
        <v>99437.354999999996</v>
      </c>
      <c r="Q105" s="1">
        <v>21551.275000000001</v>
      </c>
      <c r="R105" s="1">
        <v>51.878</v>
      </c>
      <c r="S105" s="1">
        <f>LEFT(A105,4)*1</f>
        <v>2014</v>
      </c>
      <c r="T105" s="1">
        <f>RIGHT(A105,2)*1</f>
        <v>6</v>
      </c>
      <c r="U105" s="2">
        <f>M105/K105</f>
        <v>0.37181093611640043</v>
      </c>
      <c r="V105" s="2">
        <f>N105/K105</f>
        <v>8.2899123692339108E-2</v>
      </c>
      <c r="W105" s="2">
        <f>P105/K105</f>
        <v>0.5100569188188967</v>
      </c>
      <c r="X105" s="2">
        <f>Q105/K105</f>
        <v>0.11054574936268889</v>
      </c>
      <c r="Y105" s="1">
        <f t="shared" si="5"/>
        <v>101043.455</v>
      </c>
      <c r="Z105" s="1">
        <f>_4_1_Synthese_toutes_energies_2026_04[[#This Row],[5, Emissions CO2]]/_4_1_Synthese_toutes_energies_2026_04[[#This Row],[4, Conso totale]]</f>
        <v>0.11054574936268889</v>
      </c>
    </row>
    <row r="106" spans="1:26" x14ac:dyDescent="0.2">
      <c r="A106" s="1" t="s">
        <v>125</v>
      </c>
      <c r="B106" s="1">
        <v>108481.515</v>
      </c>
      <c r="C106" s="1">
        <v>103.623</v>
      </c>
      <c r="D106" s="1">
        <v>767.58</v>
      </c>
      <c r="E106" s="1">
        <v>22.369</v>
      </c>
      <c r="F106" s="1">
        <v>99269.357000000004</v>
      </c>
      <c r="G106" s="1">
        <v>8318.5849999999991</v>
      </c>
      <c r="H106" s="1">
        <f t="shared" si="3"/>
        <v>107587.94200000001</v>
      </c>
      <c r="I106" s="1">
        <v>135004.19200000001</v>
      </c>
      <c r="J106" s="1">
        <v>22733.614000000001</v>
      </c>
      <c r="K106" s="1">
        <v>198943.91800000001</v>
      </c>
      <c r="L106" s="1">
        <v>7012.6229999999996</v>
      </c>
      <c r="M106" s="1">
        <v>68661.02</v>
      </c>
      <c r="N106" s="1">
        <v>22125.073</v>
      </c>
      <c r="O106" s="1">
        <f t="shared" si="4"/>
        <v>97798.716000000015</v>
      </c>
      <c r="P106" s="1">
        <v>101145.20299999999</v>
      </c>
      <c r="Q106" s="1">
        <v>22074.537</v>
      </c>
      <c r="R106" s="1">
        <v>51.8</v>
      </c>
      <c r="S106" s="1">
        <f>LEFT(A106,4)*1</f>
        <v>2014</v>
      </c>
      <c r="T106" s="1">
        <f>RIGHT(A106,2)*1</f>
        <v>5</v>
      </c>
      <c r="U106" s="2">
        <f>M106/K106</f>
        <v>0.34512751478032117</v>
      </c>
      <c r="V106" s="2">
        <f>N106/K106</f>
        <v>0.11121261319484016</v>
      </c>
      <c r="W106" s="2">
        <f>P106/K106</f>
        <v>0.50841063158311772</v>
      </c>
      <c r="X106" s="2">
        <f>Q106/K106</f>
        <v>0.11095859185803307</v>
      </c>
      <c r="Y106" s="1">
        <f t="shared" si="5"/>
        <v>112270.57800000001</v>
      </c>
      <c r="Z106" s="1">
        <f>_4_1_Synthese_toutes_energies_2026_04[[#This Row],[5, Emissions CO2]]/_4_1_Synthese_toutes_energies_2026_04[[#This Row],[4, Conso totale]]</f>
        <v>0.11095859185803307</v>
      </c>
    </row>
    <row r="107" spans="1:26" x14ac:dyDescent="0.2">
      <c r="A107" s="1" t="s">
        <v>126</v>
      </c>
      <c r="B107" s="1">
        <v>107665.414</v>
      </c>
      <c r="C107" s="1">
        <v>136.59399999999999</v>
      </c>
      <c r="D107" s="1">
        <v>732.69</v>
      </c>
      <c r="E107" s="1">
        <v>16.896999999999998</v>
      </c>
      <c r="F107" s="1">
        <v>99323.913</v>
      </c>
      <c r="G107" s="1">
        <v>7455.32</v>
      </c>
      <c r="H107" s="1">
        <f t="shared" si="3"/>
        <v>106779.23300000001</v>
      </c>
      <c r="I107" s="1">
        <v>139191.74600000001</v>
      </c>
      <c r="J107" s="1">
        <v>22455.832999999999</v>
      </c>
      <c r="K107" s="1">
        <v>208273.016</v>
      </c>
      <c r="L107" s="1">
        <v>8255.9470000000001</v>
      </c>
      <c r="M107" s="1">
        <v>71018.467000000004</v>
      </c>
      <c r="N107" s="1">
        <v>26240.123</v>
      </c>
      <c r="O107" s="1">
        <f t="shared" si="4"/>
        <v>105514.53700000001</v>
      </c>
      <c r="P107" s="1">
        <v>102758.47900000001</v>
      </c>
      <c r="Q107" s="1">
        <v>24171.286</v>
      </c>
      <c r="R107" s="1">
        <v>51.606999999999999</v>
      </c>
      <c r="S107" s="1">
        <f>LEFT(A107,4)*1</f>
        <v>2014</v>
      </c>
      <c r="T107" s="1">
        <f>RIGHT(A107,2)*1</f>
        <v>4</v>
      </c>
      <c r="U107" s="2">
        <f>M107/K107</f>
        <v>0.34098736535317664</v>
      </c>
      <c r="V107" s="2">
        <f>N107/K107</f>
        <v>0.12598906715788857</v>
      </c>
      <c r="W107" s="2">
        <f>P107/K107</f>
        <v>0.49338354518282868</v>
      </c>
      <c r="X107" s="2">
        <f>Q107/K107</f>
        <v>0.11605577363896243</v>
      </c>
      <c r="Y107" s="1">
        <f t="shared" si="5"/>
        <v>116735.91300000002</v>
      </c>
      <c r="Z107" s="1">
        <f>_4_1_Synthese_toutes_energies_2026_04[[#This Row],[5, Emissions CO2]]/_4_1_Synthese_toutes_energies_2026_04[[#This Row],[4, Conso totale]]</f>
        <v>0.11605577363896243</v>
      </c>
    </row>
    <row r="108" spans="1:26" x14ac:dyDescent="0.2">
      <c r="A108" s="1" t="s">
        <v>127</v>
      </c>
      <c r="B108" s="1">
        <v>123416.80499999999</v>
      </c>
      <c r="C108" s="1">
        <v>174.27600000000001</v>
      </c>
      <c r="D108" s="1">
        <v>755.95</v>
      </c>
      <c r="E108" s="1">
        <v>14.753</v>
      </c>
      <c r="F108" s="1">
        <v>113702.254</v>
      </c>
      <c r="G108" s="1">
        <v>8769.5720000000001</v>
      </c>
      <c r="H108" s="1">
        <f t="shared" si="3"/>
        <v>122471.826</v>
      </c>
      <c r="I108" s="1">
        <v>136840.78700000001</v>
      </c>
      <c r="J108" s="1">
        <v>26248.958999999999</v>
      </c>
      <c r="K108" s="1">
        <v>239532.91500000001</v>
      </c>
      <c r="L108" s="1">
        <v>9084.9</v>
      </c>
      <c r="M108" s="1">
        <v>71281.898000000001</v>
      </c>
      <c r="N108" s="1">
        <v>41260.082000000002</v>
      </c>
      <c r="O108" s="1">
        <f t="shared" si="4"/>
        <v>121626.88</v>
      </c>
      <c r="P108" s="1">
        <v>117906.035</v>
      </c>
      <c r="Q108" s="1">
        <v>27688.644</v>
      </c>
      <c r="R108" s="1">
        <v>51.366</v>
      </c>
      <c r="S108" s="1">
        <f>LEFT(A108,4)*1</f>
        <v>2014</v>
      </c>
      <c r="T108" s="1">
        <f>RIGHT(A108,2)*1</f>
        <v>3</v>
      </c>
      <c r="U108" s="2">
        <f>M108/K108</f>
        <v>0.29758706856633876</v>
      </c>
      <c r="V108" s="2">
        <f>N108/K108</f>
        <v>0.17225224349647314</v>
      </c>
      <c r="W108" s="2">
        <f>P108/K108</f>
        <v>0.49223312378593148</v>
      </c>
      <c r="X108" s="2">
        <f>Q108/K108</f>
        <v>0.1155943182171853</v>
      </c>
      <c r="Y108" s="1">
        <f t="shared" si="5"/>
        <v>110591.82800000001</v>
      </c>
      <c r="Z108" s="1">
        <f>_4_1_Synthese_toutes_energies_2026_04[[#This Row],[5, Emissions CO2]]/_4_1_Synthese_toutes_energies_2026_04[[#This Row],[4, Conso totale]]</f>
        <v>0.1155943182171853</v>
      </c>
    </row>
    <row r="109" spans="1:26" x14ac:dyDescent="0.2">
      <c r="A109" s="1" t="s">
        <v>128</v>
      </c>
      <c r="B109" s="1">
        <v>126026.12699999999</v>
      </c>
      <c r="C109" s="1">
        <v>174.27600000000001</v>
      </c>
      <c r="D109" s="1">
        <v>662.91</v>
      </c>
      <c r="E109" s="1">
        <v>14.038</v>
      </c>
      <c r="F109" s="1">
        <v>115457.11500000001</v>
      </c>
      <c r="G109" s="1">
        <v>9717.7880000000005</v>
      </c>
      <c r="H109" s="1">
        <f t="shared" si="3"/>
        <v>125174.90300000001</v>
      </c>
      <c r="I109" s="1">
        <v>119276.004</v>
      </c>
      <c r="J109" s="1">
        <v>24504.715</v>
      </c>
      <c r="K109" s="1">
        <v>240638.73800000001</v>
      </c>
      <c r="L109" s="1">
        <v>7629.4620000000004</v>
      </c>
      <c r="M109" s="1">
        <v>65506.673000000003</v>
      </c>
      <c r="N109" s="1">
        <v>46647.538</v>
      </c>
      <c r="O109" s="1">
        <f t="shared" si="4"/>
        <v>119783.67300000001</v>
      </c>
      <c r="P109" s="1">
        <v>120855.06600000001</v>
      </c>
      <c r="Q109" s="1">
        <v>26961.569</v>
      </c>
      <c r="R109" s="1">
        <v>50.936</v>
      </c>
      <c r="S109" s="1">
        <f>LEFT(A109,4)*1</f>
        <v>2014</v>
      </c>
      <c r="T109" s="1">
        <f>RIGHT(A109,2)*1</f>
        <v>2</v>
      </c>
      <c r="U109" s="2">
        <f>M109/K109</f>
        <v>0.2722199823039298</v>
      </c>
      <c r="V109" s="2">
        <f>N109/K109</f>
        <v>0.19384883077304035</v>
      </c>
      <c r="W109" s="2">
        <f>P109/K109</f>
        <v>0.50222614614942007</v>
      </c>
      <c r="X109" s="2">
        <f>Q109/K109</f>
        <v>0.11204168216673409</v>
      </c>
      <c r="Y109" s="1">
        <f t="shared" si="5"/>
        <v>94771.289000000004</v>
      </c>
      <c r="Z109" s="1">
        <f>_4_1_Synthese_toutes_energies_2026_04[[#This Row],[5, Emissions CO2]]/_4_1_Synthese_toutes_energies_2026_04[[#This Row],[4, Conso totale]]</f>
        <v>0.11204168216673409</v>
      </c>
    </row>
    <row r="110" spans="1:26" x14ac:dyDescent="0.2">
      <c r="A110" s="1" t="s">
        <v>129</v>
      </c>
      <c r="B110" s="1">
        <v>145593.95000000001</v>
      </c>
      <c r="C110" s="1">
        <v>136.59399999999999</v>
      </c>
      <c r="D110" s="1">
        <v>744.32</v>
      </c>
      <c r="E110" s="1">
        <v>9.6989999999999998</v>
      </c>
      <c r="F110" s="1">
        <v>135384.93900000001</v>
      </c>
      <c r="G110" s="1">
        <v>9318.3979999999992</v>
      </c>
      <c r="H110" s="1">
        <f t="shared" si="3"/>
        <v>144703.337</v>
      </c>
      <c r="I110" s="1">
        <v>153932.16500000001</v>
      </c>
      <c r="J110" s="1">
        <v>28161.323</v>
      </c>
      <c r="K110" s="1">
        <v>269666.71899999998</v>
      </c>
      <c r="L110" s="1">
        <v>9106.1010000000006</v>
      </c>
      <c r="M110" s="1">
        <v>69147.827999999994</v>
      </c>
      <c r="N110" s="1">
        <v>52592.432000000001</v>
      </c>
      <c r="O110" s="1">
        <f t="shared" si="4"/>
        <v>130846.36099999999</v>
      </c>
      <c r="P110" s="1">
        <v>138820.359</v>
      </c>
      <c r="Q110" s="1">
        <v>29659.39</v>
      </c>
      <c r="R110" s="1">
        <v>50.466999999999999</v>
      </c>
      <c r="S110" s="1">
        <f>LEFT(A110,4)*1</f>
        <v>2014</v>
      </c>
      <c r="T110" s="1">
        <f>RIGHT(A110,2)*1</f>
        <v>1</v>
      </c>
      <c r="U110" s="2">
        <f>M110/K110</f>
        <v>0.25641958435367768</v>
      </c>
      <c r="V110" s="2">
        <f>N110/K110</f>
        <v>0.19502752210219906</v>
      </c>
      <c r="W110" s="2">
        <f>P110/K110</f>
        <v>0.51478491493049239</v>
      </c>
      <c r="X110" s="2">
        <f>Q110/K110</f>
        <v>0.10998535566415224</v>
      </c>
      <c r="Y110" s="1">
        <f t="shared" si="5"/>
        <v>125770.842</v>
      </c>
      <c r="Z110" s="1">
        <f>_4_1_Synthese_toutes_energies_2026_04[[#This Row],[5, Emissions CO2]]/_4_1_Synthese_toutes_energies_2026_04[[#This Row],[4, Conso totale]]</f>
        <v>0.10998535566415224</v>
      </c>
    </row>
    <row r="111" spans="1:26" x14ac:dyDescent="0.2">
      <c r="A111" s="1" t="s">
        <v>130</v>
      </c>
      <c r="B111" s="1">
        <v>136847.64799999999</v>
      </c>
      <c r="C111" s="1">
        <v>80.072999999999993</v>
      </c>
      <c r="D111" s="1">
        <v>767.58</v>
      </c>
      <c r="E111" s="1">
        <v>7.1609999999999996</v>
      </c>
      <c r="F111" s="1">
        <v>128204.861</v>
      </c>
      <c r="G111" s="1">
        <v>7787.973</v>
      </c>
      <c r="H111" s="1">
        <f t="shared" si="3"/>
        <v>135992.834</v>
      </c>
      <c r="I111" s="1">
        <v>149239.16200000001</v>
      </c>
      <c r="J111" s="1">
        <v>24624.437999999998</v>
      </c>
      <c r="K111" s="1">
        <v>271486.81400000001</v>
      </c>
      <c r="L111" s="1">
        <v>9971.23</v>
      </c>
      <c r="M111" s="1">
        <v>71245.38</v>
      </c>
      <c r="N111" s="1">
        <v>57072.642999999996</v>
      </c>
      <c r="O111" s="1">
        <f t="shared" si="4"/>
        <v>138289.253</v>
      </c>
      <c r="P111" s="1">
        <v>133197.56099999999</v>
      </c>
      <c r="Q111" s="1">
        <v>32071.77</v>
      </c>
      <c r="R111" s="1">
        <v>50.067</v>
      </c>
      <c r="S111" s="1">
        <f>LEFT(A111,4)*1</f>
        <v>2013</v>
      </c>
      <c r="T111" s="1">
        <f>RIGHT(A111,2)*1</f>
        <v>12</v>
      </c>
      <c r="U111" s="2">
        <f>M111/K111</f>
        <v>0.2624266679854293</v>
      </c>
      <c r="V111" s="2">
        <f>N111/K111</f>
        <v>0.21022252299885177</v>
      </c>
      <c r="W111" s="2">
        <f>P111/K111</f>
        <v>0.49062257955555799</v>
      </c>
      <c r="X111" s="2">
        <f>Q111/K111</f>
        <v>0.11813380372867759</v>
      </c>
      <c r="Y111" s="1">
        <f t="shared" si="5"/>
        <v>124614.72400000002</v>
      </c>
      <c r="Z111" s="1">
        <f>_4_1_Synthese_toutes_energies_2026_04[[#This Row],[5, Emissions CO2]]/_4_1_Synthese_toutes_energies_2026_04[[#This Row],[4, Conso totale]]</f>
        <v>0.11813380372867759</v>
      </c>
    </row>
    <row r="112" spans="1:26" x14ac:dyDescent="0.2">
      <c r="A112" s="1" t="s">
        <v>131</v>
      </c>
      <c r="B112" s="1">
        <v>119204.2</v>
      </c>
      <c r="C112" s="1">
        <v>122.464</v>
      </c>
      <c r="D112" s="1">
        <v>732.69</v>
      </c>
      <c r="E112" s="1">
        <v>7.8570000000000002</v>
      </c>
      <c r="F112" s="1">
        <v>110128.88499999999</v>
      </c>
      <c r="G112" s="1">
        <v>8212.3050000000003</v>
      </c>
      <c r="H112" s="1">
        <f t="shared" si="3"/>
        <v>118341.19</v>
      </c>
      <c r="I112" s="1">
        <v>146518.804</v>
      </c>
      <c r="J112" s="1">
        <v>22595.224999999999</v>
      </c>
      <c r="K112" s="1">
        <v>246129.698</v>
      </c>
      <c r="L112" s="1">
        <v>11710.476000000001</v>
      </c>
      <c r="M112" s="1">
        <v>68342.532000000007</v>
      </c>
      <c r="N112" s="1">
        <v>50326.766000000003</v>
      </c>
      <c r="O112" s="1">
        <f t="shared" si="4"/>
        <v>130379.774</v>
      </c>
      <c r="P112" s="1">
        <v>115749.923</v>
      </c>
      <c r="Q112" s="1">
        <v>30515.75</v>
      </c>
      <c r="R112" s="1">
        <v>50.128</v>
      </c>
      <c r="S112" s="1">
        <f>LEFT(A112,4)*1</f>
        <v>2013</v>
      </c>
      <c r="T112" s="1">
        <f>RIGHT(A112,2)*1</f>
        <v>11</v>
      </c>
      <c r="U112" s="2">
        <f>M112/K112</f>
        <v>0.27766877607756218</v>
      </c>
      <c r="V112" s="2">
        <f>N112/K112</f>
        <v>0.20447254601515011</v>
      </c>
      <c r="W112" s="2">
        <f>P112/K112</f>
        <v>0.47028019755665568</v>
      </c>
      <c r="X112" s="2">
        <f>Q112/K112</f>
        <v>0.12398239728064023</v>
      </c>
      <c r="Y112" s="1">
        <f t="shared" si="5"/>
        <v>123923.579</v>
      </c>
      <c r="Z112" s="1">
        <f>_4_1_Synthese_toutes_energies_2026_04[[#This Row],[5, Emissions CO2]]/_4_1_Synthese_toutes_energies_2026_04[[#This Row],[4, Conso totale]]</f>
        <v>0.12398239728064023</v>
      </c>
    </row>
    <row r="113" spans="1:26" x14ac:dyDescent="0.2">
      <c r="A113" s="1" t="s">
        <v>132</v>
      </c>
      <c r="B113" s="1">
        <v>106865.694</v>
      </c>
      <c r="C113" s="1">
        <v>141.30500000000001</v>
      </c>
      <c r="D113" s="1">
        <v>789.67700000000002</v>
      </c>
      <c r="E113" s="1">
        <v>96.555000000000007</v>
      </c>
      <c r="F113" s="1">
        <v>99163.126000000004</v>
      </c>
      <c r="G113" s="1">
        <v>6675.0309999999999</v>
      </c>
      <c r="H113" s="1">
        <f t="shared" si="3"/>
        <v>105838.15700000001</v>
      </c>
      <c r="I113" s="1">
        <v>145487.973</v>
      </c>
      <c r="J113" s="1">
        <v>22337.112000000001</v>
      </c>
      <c r="K113" s="1">
        <v>220597.046</v>
      </c>
      <c r="L113" s="1">
        <v>11331.168</v>
      </c>
      <c r="M113" s="1">
        <v>79831.808999999994</v>
      </c>
      <c r="N113" s="1">
        <v>27699.02</v>
      </c>
      <c r="O113" s="1">
        <f t="shared" si="4"/>
        <v>118861.997</v>
      </c>
      <c r="P113" s="1">
        <v>101735.049</v>
      </c>
      <c r="Q113" s="1">
        <v>28289.458999999999</v>
      </c>
      <c r="R113" s="1">
        <v>50.247</v>
      </c>
      <c r="S113" s="1">
        <f>LEFT(A113,4)*1</f>
        <v>2013</v>
      </c>
      <c r="T113" s="1">
        <f>RIGHT(A113,2)*1</f>
        <v>10</v>
      </c>
      <c r="U113" s="2">
        <f>M113/K113</f>
        <v>0.36188974624800729</v>
      </c>
      <c r="V113" s="2">
        <f>N113/K113</f>
        <v>0.12556387541109684</v>
      </c>
      <c r="W113" s="2">
        <f>P113/K113</f>
        <v>0.46118046839122223</v>
      </c>
      <c r="X113" s="2">
        <f>Q113/K113</f>
        <v>0.12824042530469787</v>
      </c>
      <c r="Y113" s="1">
        <f t="shared" si="5"/>
        <v>123150.861</v>
      </c>
      <c r="Z113" s="1">
        <f>_4_1_Synthese_toutes_energies_2026_04[[#This Row],[5, Emissions CO2]]/_4_1_Synthese_toutes_energies_2026_04[[#This Row],[4, Conso totale]]</f>
        <v>0.12824042530469787</v>
      </c>
    </row>
    <row r="114" spans="1:26" x14ac:dyDescent="0.2">
      <c r="A114" s="1" t="s">
        <v>133</v>
      </c>
      <c r="B114" s="1">
        <v>101475.359</v>
      </c>
      <c r="C114" s="1">
        <v>160.14500000000001</v>
      </c>
      <c r="D114" s="1">
        <v>803.07500000000005</v>
      </c>
      <c r="E114" s="1">
        <v>260.375</v>
      </c>
      <c r="F114" s="1">
        <v>94817.042000000001</v>
      </c>
      <c r="G114" s="1">
        <v>5434.7219999999998</v>
      </c>
      <c r="H114" s="1">
        <f t="shared" si="3"/>
        <v>100251.764</v>
      </c>
      <c r="I114" s="1">
        <v>130294.52800000001</v>
      </c>
      <c r="J114" s="1">
        <v>22372.784</v>
      </c>
      <c r="K114" s="1">
        <v>197873.15900000001</v>
      </c>
      <c r="L114" s="1">
        <v>10934.513000000001</v>
      </c>
      <c r="M114" s="1">
        <v>73155.025999999998</v>
      </c>
      <c r="N114" s="1">
        <v>18436.759999999998</v>
      </c>
      <c r="O114" s="1">
        <f t="shared" si="4"/>
        <v>102526.299</v>
      </c>
      <c r="P114" s="1">
        <v>95346.861000000004</v>
      </c>
      <c r="Q114" s="1">
        <v>24284.292000000001</v>
      </c>
      <c r="R114" s="1">
        <v>50.277999999999999</v>
      </c>
      <c r="S114" s="1">
        <f>LEFT(A114,4)*1</f>
        <v>2013</v>
      </c>
      <c r="T114" s="1">
        <f>RIGHT(A114,2)*1</f>
        <v>9</v>
      </c>
      <c r="U114" s="2">
        <f>M114/K114</f>
        <v>0.36970666648122796</v>
      </c>
      <c r="V114" s="2">
        <f>N114/K114</f>
        <v>9.3174638203456367E-2</v>
      </c>
      <c r="W114" s="2">
        <f>P114/K114</f>
        <v>0.48185848693101424</v>
      </c>
      <c r="X114" s="2">
        <f>Q114/K114</f>
        <v>0.12272655939151403</v>
      </c>
      <c r="Y114" s="1">
        <f t="shared" si="5"/>
        <v>107921.74400000001</v>
      </c>
      <c r="Z114" s="1">
        <f>_4_1_Synthese_toutes_energies_2026_04[[#This Row],[5, Emissions CO2]]/_4_1_Synthese_toutes_energies_2026_04[[#This Row],[4, Conso totale]]</f>
        <v>0.12272655939151403</v>
      </c>
    </row>
    <row r="115" spans="1:26" x14ac:dyDescent="0.2">
      <c r="A115" s="1" t="s">
        <v>134</v>
      </c>
      <c r="B115" s="1">
        <v>102357.348</v>
      </c>
      <c r="C115" s="1">
        <v>9.891</v>
      </c>
      <c r="D115" s="1">
        <v>878.92600000000004</v>
      </c>
      <c r="E115" s="1">
        <v>297.00400000000002</v>
      </c>
      <c r="F115" s="1">
        <v>95377.111999999994</v>
      </c>
      <c r="G115" s="1">
        <v>5794.415</v>
      </c>
      <c r="H115" s="1">
        <f t="shared" si="3"/>
        <v>101171.52699999999</v>
      </c>
      <c r="I115" s="1">
        <v>133787.03099999999</v>
      </c>
      <c r="J115" s="1">
        <v>24431.348000000002</v>
      </c>
      <c r="K115" s="1">
        <v>190297.90700000001</v>
      </c>
      <c r="L115" s="1">
        <v>9425.9570000000003</v>
      </c>
      <c r="M115" s="1">
        <v>72283.566999999995</v>
      </c>
      <c r="N115" s="1">
        <v>13673.541999999999</v>
      </c>
      <c r="O115" s="1">
        <f t="shared" si="4"/>
        <v>95383.065999999992</v>
      </c>
      <c r="P115" s="1">
        <v>94914.841</v>
      </c>
      <c r="Q115" s="1">
        <v>22093.149000000001</v>
      </c>
      <c r="R115" s="1">
        <v>50.308999999999997</v>
      </c>
      <c r="S115" s="1">
        <f>LEFT(A115,4)*1</f>
        <v>2013</v>
      </c>
      <c r="T115" s="1">
        <f>RIGHT(A115,2)*1</f>
        <v>8</v>
      </c>
      <c r="U115" s="2">
        <f>M115/K115</f>
        <v>0.37984425651092418</v>
      </c>
      <c r="V115" s="2">
        <f>N115/K115</f>
        <v>7.1853349390752885E-2</v>
      </c>
      <c r="W115" s="2">
        <f>P115/K115</f>
        <v>0.49876975788283368</v>
      </c>
      <c r="X115" s="2">
        <f>Q115/K115</f>
        <v>0.11609769833149032</v>
      </c>
      <c r="Y115" s="1">
        <f t="shared" si="5"/>
        <v>109355.68299999999</v>
      </c>
      <c r="Z115" s="1">
        <f>_4_1_Synthese_toutes_energies_2026_04[[#This Row],[5, Emissions CO2]]/_4_1_Synthese_toutes_energies_2026_04[[#This Row],[4, Conso totale]]</f>
        <v>0.11609769833149032</v>
      </c>
    </row>
    <row r="116" spans="1:26" x14ac:dyDescent="0.2">
      <c r="A116" s="1" t="s">
        <v>135</v>
      </c>
      <c r="B116" s="1">
        <v>107251.36199999999</v>
      </c>
      <c r="C116" s="1">
        <v>98.912999999999997</v>
      </c>
      <c r="D116" s="1">
        <v>843.17499999999995</v>
      </c>
      <c r="E116" s="1">
        <v>348.37599999999998</v>
      </c>
      <c r="F116" s="1">
        <v>98138.305999999997</v>
      </c>
      <c r="G116" s="1">
        <v>7822.5919999999996</v>
      </c>
      <c r="H116" s="1">
        <f t="shared" si="3"/>
        <v>105960.898</v>
      </c>
      <c r="I116" s="1">
        <v>150371.63200000001</v>
      </c>
      <c r="J116" s="1">
        <v>24449.777999999998</v>
      </c>
      <c r="K116" s="1">
        <v>204102.37899999999</v>
      </c>
      <c r="L116" s="1">
        <v>8260.4699999999993</v>
      </c>
      <c r="M116" s="1">
        <v>80283.053</v>
      </c>
      <c r="N116" s="1">
        <v>15186.954</v>
      </c>
      <c r="O116" s="1">
        <f t="shared" si="4"/>
        <v>103730.477</v>
      </c>
      <c r="P116" s="1">
        <v>100371.902</v>
      </c>
      <c r="Q116" s="1">
        <v>23578.039000000001</v>
      </c>
      <c r="R116" s="1">
        <v>50.176000000000002</v>
      </c>
      <c r="S116" s="1">
        <f>LEFT(A116,4)*1</f>
        <v>2013</v>
      </c>
      <c r="T116" s="1">
        <f>RIGHT(A116,2)*1</f>
        <v>7</v>
      </c>
      <c r="U116" s="2">
        <f>M116/K116</f>
        <v>0.39334697318741202</v>
      </c>
      <c r="V116" s="2">
        <f>N116/K116</f>
        <v>7.4408510446612675E-2</v>
      </c>
      <c r="W116" s="2">
        <f>P116/K116</f>
        <v>0.49177232765131074</v>
      </c>
      <c r="X116" s="2">
        <f>Q116/K116</f>
        <v>0.11552064760597426</v>
      </c>
      <c r="Y116" s="1">
        <f t="shared" si="5"/>
        <v>125921.85400000002</v>
      </c>
      <c r="Z116" s="1">
        <f>_4_1_Synthese_toutes_energies_2026_04[[#This Row],[5, Emissions CO2]]/_4_1_Synthese_toutes_energies_2026_04[[#This Row],[4, Conso totale]]</f>
        <v>0.11552064760597426</v>
      </c>
    </row>
    <row r="117" spans="1:26" x14ac:dyDescent="0.2">
      <c r="A117" s="1" t="s">
        <v>136</v>
      </c>
      <c r="B117" s="1">
        <v>101752.34</v>
      </c>
      <c r="C117" s="1">
        <v>150.72499999999999</v>
      </c>
      <c r="D117" s="1">
        <v>780.37300000000005</v>
      </c>
      <c r="E117" s="1">
        <v>378.40100000000001</v>
      </c>
      <c r="F117" s="1">
        <v>91415.824999999997</v>
      </c>
      <c r="G117" s="1">
        <v>9027.0159999999996</v>
      </c>
      <c r="H117" s="1">
        <f t="shared" si="3"/>
        <v>100442.841</v>
      </c>
      <c r="I117" s="1">
        <v>132361.37100000001</v>
      </c>
      <c r="J117" s="1">
        <v>23423.832999999999</v>
      </c>
      <c r="K117" s="1">
        <v>189921.34099999999</v>
      </c>
      <c r="L117" s="1">
        <v>6820.049</v>
      </c>
      <c r="M117" s="1">
        <v>70853.448999999993</v>
      </c>
      <c r="N117" s="1">
        <v>17555.578000000001</v>
      </c>
      <c r="O117" s="1">
        <f t="shared" si="4"/>
        <v>95229.076000000001</v>
      </c>
      <c r="P117" s="1">
        <v>94692.266000000003</v>
      </c>
      <c r="Q117" s="1">
        <v>21430.760999999999</v>
      </c>
      <c r="R117" s="1">
        <v>49.985999999999997</v>
      </c>
      <c r="S117" s="1">
        <f>LEFT(A117,4)*1</f>
        <v>2013</v>
      </c>
      <c r="T117" s="1">
        <f>RIGHT(A117,2)*1</f>
        <v>6</v>
      </c>
      <c r="U117" s="2">
        <f>M117/K117</f>
        <v>0.37306733738785047</v>
      </c>
      <c r="V117" s="2">
        <f>N117/K117</f>
        <v>9.2436046984314429E-2</v>
      </c>
      <c r="W117" s="2">
        <f>P117/K117</f>
        <v>0.49858675966278065</v>
      </c>
      <c r="X117" s="2">
        <f>Q117/K117</f>
        <v>0.11284019419386893</v>
      </c>
      <c r="Y117" s="1">
        <f t="shared" si="5"/>
        <v>108937.53800000002</v>
      </c>
      <c r="Z117" s="1">
        <f>_4_1_Synthese_toutes_energies_2026_04[[#This Row],[5, Emissions CO2]]/_4_1_Synthese_toutes_energies_2026_04[[#This Row],[4, Conso totale]]</f>
        <v>0.11284019419386893</v>
      </c>
    </row>
    <row r="118" spans="1:26" x14ac:dyDescent="0.2">
      <c r="A118" s="1" t="s">
        <v>137</v>
      </c>
      <c r="B118" s="1">
        <v>110781.257</v>
      </c>
      <c r="C118" s="1">
        <v>141.30500000000001</v>
      </c>
      <c r="D118" s="1">
        <v>789.67700000000002</v>
      </c>
      <c r="E118" s="1">
        <v>399.89800000000002</v>
      </c>
      <c r="F118" s="1">
        <v>99269.63</v>
      </c>
      <c r="G118" s="1">
        <v>10180.748</v>
      </c>
      <c r="H118" s="1">
        <f t="shared" si="3"/>
        <v>109450.378</v>
      </c>
      <c r="I118" s="1">
        <v>159652.272</v>
      </c>
      <c r="J118" s="1">
        <v>26412.346000000001</v>
      </c>
      <c r="K118" s="1">
        <v>213417.38399999999</v>
      </c>
      <c r="L118" s="1">
        <v>7664.0079999999998</v>
      </c>
      <c r="M118" s="1">
        <v>74709.956999999995</v>
      </c>
      <c r="N118" s="1">
        <v>27441.113000000001</v>
      </c>
      <c r="O118" s="1">
        <f t="shared" si="4"/>
        <v>109815.07799999999</v>
      </c>
      <c r="P118" s="1">
        <v>103602.30499999999</v>
      </c>
      <c r="Q118" s="1">
        <v>24945.679</v>
      </c>
      <c r="R118" s="1">
        <v>49.725999999999999</v>
      </c>
      <c r="S118" s="1">
        <f>LEFT(A118,4)*1</f>
        <v>2013</v>
      </c>
      <c r="T118" s="1">
        <f>RIGHT(A118,2)*1</f>
        <v>5</v>
      </c>
      <c r="U118" s="2">
        <f>M118/K118</f>
        <v>0.35006500220244474</v>
      </c>
      <c r="V118" s="2">
        <f>N118/K118</f>
        <v>0.12857955844871569</v>
      </c>
      <c r="W118" s="2">
        <f>P118/K118</f>
        <v>0.48544454560458861</v>
      </c>
      <c r="X118" s="2">
        <f>Q118/K118</f>
        <v>0.11688681836714858</v>
      </c>
      <c r="Y118" s="1">
        <f t="shared" si="5"/>
        <v>133239.92600000001</v>
      </c>
      <c r="Z118" s="1">
        <f>_4_1_Synthese_toutes_energies_2026_04[[#This Row],[5, Emissions CO2]]/_4_1_Synthese_toutes_energies_2026_04[[#This Row],[4, Conso totale]]</f>
        <v>0.11688681836714858</v>
      </c>
    </row>
    <row r="119" spans="1:26" x14ac:dyDescent="0.2">
      <c r="A119" s="1" t="s">
        <v>138</v>
      </c>
      <c r="B119" s="1">
        <v>110585.302</v>
      </c>
      <c r="C119" s="1">
        <v>150.72499999999999</v>
      </c>
      <c r="D119" s="1">
        <v>764.09100000000001</v>
      </c>
      <c r="E119" s="1">
        <v>387.173</v>
      </c>
      <c r="F119" s="1">
        <v>100186.098</v>
      </c>
      <c r="G119" s="1">
        <v>9097.2150000000001</v>
      </c>
      <c r="H119" s="1">
        <f t="shared" si="3"/>
        <v>109283.31299999999</v>
      </c>
      <c r="I119" s="1">
        <v>151625.82</v>
      </c>
      <c r="J119" s="1">
        <v>24917.39</v>
      </c>
      <c r="K119" s="1">
        <v>226626.397</v>
      </c>
      <c r="L119" s="1">
        <v>9972.027</v>
      </c>
      <c r="M119" s="1">
        <v>74462.237999999998</v>
      </c>
      <c r="N119" s="1">
        <v>36200.991999999998</v>
      </c>
      <c r="O119" s="1">
        <f t="shared" si="4"/>
        <v>120635.257</v>
      </c>
      <c r="P119" s="1">
        <v>105991.14</v>
      </c>
      <c r="Q119" s="1">
        <v>27771.616000000002</v>
      </c>
      <c r="R119" s="1">
        <v>49.701999999999998</v>
      </c>
      <c r="S119" s="1">
        <f>LEFT(A119,4)*1</f>
        <v>2013</v>
      </c>
      <c r="T119" s="1">
        <f>RIGHT(A119,2)*1</f>
        <v>4</v>
      </c>
      <c r="U119" s="2">
        <f>M119/K119</f>
        <v>0.32856824706082233</v>
      </c>
      <c r="V119" s="2">
        <f>N119/K119</f>
        <v>0.15973863803694499</v>
      </c>
      <c r="W119" s="2">
        <f>P119/K119</f>
        <v>0.46769106071963895</v>
      </c>
      <c r="X119" s="2">
        <f>Q119/K119</f>
        <v>0.12254360642727777</v>
      </c>
      <c r="Y119" s="1">
        <f t="shared" si="5"/>
        <v>126708.43000000001</v>
      </c>
      <c r="Z119" s="1">
        <f>_4_1_Synthese_toutes_energies_2026_04[[#This Row],[5, Emissions CO2]]/_4_1_Synthese_toutes_energies_2026_04[[#This Row],[4, Conso totale]]</f>
        <v>0.12254360642727777</v>
      </c>
    </row>
    <row r="120" spans="1:26" x14ac:dyDescent="0.2">
      <c r="A120" s="1" t="s">
        <v>139</v>
      </c>
      <c r="B120" s="1">
        <v>126132.56</v>
      </c>
      <c r="C120" s="1">
        <v>155.435</v>
      </c>
      <c r="D120" s="1">
        <v>787.351</v>
      </c>
      <c r="E120" s="1">
        <v>377.42399999999998</v>
      </c>
      <c r="F120" s="1">
        <v>116706.88499999999</v>
      </c>
      <c r="G120" s="1">
        <v>8105.4650000000001</v>
      </c>
      <c r="H120" s="1">
        <f t="shared" si="3"/>
        <v>124812.34999999999</v>
      </c>
      <c r="I120" s="1">
        <v>146155.18900000001</v>
      </c>
      <c r="J120" s="1">
        <v>20028.451000000001</v>
      </c>
      <c r="K120" s="1">
        <v>267716.43300000002</v>
      </c>
      <c r="L120" s="1">
        <v>13782.897000000001</v>
      </c>
      <c r="M120" s="1">
        <v>74345.937999999995</v>
      </c>
      <c r="N120" s="1">
        <v>56580.112999999998</v>
      </c>
      <c r="O120" s="1">
        <f t="shared" si="4"/>
        <v>144708.94799999997</v>
      </c>
      <c r="P120" s="1">
        <v>123007.485</v>
      </c>
      <c r="Q120" s="1">
        <v>33103.203999999998</v>
      </c>
      <c r="R120" s="1">
        <v>49.817</v>
      </c>
      <c r="S120" s="1">
        <f>LEFT(A120,4)*1</f>
        <v>2013</v>
      </c>
      <c r="T120" s="1">
        <f>RIGHT(A120,2)*1</f>
        <v>3</v>
      </c>
      <c r="U120" s="2">
        <f>M120/K120</f>
        <v>0.2777040511368235</v>
      </c>
      <c r="V120" s="2">
        <f>N120/K120</f>
        <v>0.21134344412843717</v>
      </c>
      <c r="W120" s="2">
        <f>P120/K120</f>
        <v>0.45946931094812543</v>
      </c>
      <c r="X120" s="2">
        <f>Q120/K120</f>
        <v>0.12365025048723848</v>
      </c>
      <c r="Y120" s="1">
        <f t="shared" si="5"/>
        <v>126126.73800000001</v>
      </c>
      <c r="Z120" s="1">
        <f>_4_1_Synthese_toutes_energies_2026_04[[#This Row],[5, Emissions CO2]]/_4_1_Synthese_toutes_energies_2026_04[[#This Row],[4, Conso totale]]</f>
        <v>0.12365025048723848</v>
      </c>
    </row>
    <row r="121" spans="1:26" x14ac:dyDescent="0.2">
      <c r="A121" s="1" t="s">
        <v>140</v>
      </c>
      <c r="B121" s="1">
        <v>126081.03</v>
      </c>
      <c r="C121" s="1">
        <v>117.754</v>
      </c>
      <c r="D121" s="1">
        <v>725.71199999999999</v>
      </c>
      <c r="E121" s="1">
        <v>364.95</v>
      </c>
      <c r="F121" s="1">
        <v>116396.587</v>
      </c>
      <c r="G121" s="1">
        <v>8476.027</v>
      </c>
      <c r="H121" s="1">
        <f t="shared" si="3"/>
        <v>124872.614</v>
      </c>
      <c r="I121" s="1">
        <v>139968.75700000001</v>
      </c>
      <c r="J121" s="1">
        <v>25916.069</v>
      </c>
      <c r="K121" s="1">
        <v>266185.33199999999</v>
      </c>
      <c r="L121" s="1">
        <v>12943.653</v>
      </c>
      <c r="M121" s="1">
        <v>69018.235000000001</v>
      </c>
      <c r="N121" s="1">
        <v>61543.925000000003</v>
      </c>
      <c r="O121" s="1">
        <f t="shared" si="4"/>
        <v>143505.81300000002</v>
      </c>
      <c r="P121" s="1">
        <v>122679.52</v>
      </c>
      <c r="Q121" s="1">
        <v>32853.836000000003</v>
      </c>
      <c r="R121" s="1">
        <v>50.162999999999997</v>
      </c>
      <c r="S121" s="1">
        <f>LEFT(A121,4)*1</f>
        <v>2013</v>
      </c>
      <c r="T121" s="1">
        <f>RIGHT(A121,2)*1</f>
        <v>2</v>
      </c>
      <c r="U121" s="2">
        <f>M121/K121</f>
        <v>0.25928639448848367</v>
      </c>
      <c r="V121" s="2">
        <f>N121/K121</f>
        <v>0.23120704862881025</v>
      </c>
      <c r="W121" s="2">
        <f>P121/K121</f>
        <v>0.46088009086841797</v>
      </c>
      <c r="X121" s="2">
        <f>Q121/K121</f>
        <v>0.12342466714131342</v>
      </c>
      <c r="Y121" s="1">
        <f t="shared" si="5"/>
        <v>114052.68800000001</v>
      </c>
      <c r="Z121" s="1">
        <f>_4_1_Synthese_toutes_energies_2026_04[[#This Row],[5, Emissions CO2]]/_4_1_Synthese_toutes_energies_2026_04[[#This Row],[4, Conso totale]]</f>
        <v>0.12342466714131342</v>
      </c>
    </row>
    <row r="122" spans="1:26" x14ac:dyDescent="0.2">
      <c r="A122" s="1" t="s">
        <v>141</v>
      </c>
      <c r="B122" s="1">
        <v>143981.753</v>
      </c>
      <c r="C122" s="1">
        <v>146.01499999999999</v>
      </c>
      <c r="D122" s="1">
        <v>800.14400000000001</v>
      </c>
      <c r="E122" s="1">
        <v>423.26400000000001</v>
      </c>
      <c r="F122" s="1">
        <v>134319.11199999999</v>
      </c>
      <c r="G122" s="1">
        <v>8293.2189999999991</v>
      </c>
      <c r="H122" s="1">
        <f t="shared" si="3"/>
        <v>142612.33100000001</v>
      </c>
      <c r="I122" s="1">
        <v>145932.27900000001</v>
      </c>
      <c r="J122" s="1">
        <v>24857.848000000002</v>
      </c>
      <c r="K122" s="1">
        <v>288543.33100000001</v>
      </c>
      <c r="L122" s="1">
        <v>13109.371999999999</v>
      </c>
      <c r="M122" s="1">
        <v>72081.577000000005</v>
      </c>
      <c r="N122" s="1">
        <v>64306.572999999997</v>
      </c>
      <c r="O122" s="1">
        <f t="shared" si="4"/>
        <v>149497.522</v>
      </c>
      <c r="P122" s="1">
        <v>139045.80900000001</v>
      </c>
      <c r="Q122" s="1">
        <v>34097.023000000001</v>
      </c>
      <c r="R122" s="1">
        <v>49.850999999999999</v>
      </c>
      <c r="S122" s="1">
        <f>LEFT(A122,4)*1</f>
        <v>2013</v>
      </c>
      <c r="T122" s="1">
        <f>RIGHT(A122,2)*1</f>
        <v>1</v>
      </c>
      <c r="U122" s="2">
        <f>M122/K122</f>
        <v>0.24981196671636124</v>
      </c>
      <c r="V122" s="2">
        <f>N122/K122</f>
        <v>0.22286625990326561</v>
      </c>
      <c r="W122" s="2">
        <f>P122/K122</f>
        <v>0.48188883284223266</v>
      </c>
      <c r="X122" s="2">
        <f>Q122/K122</f>
        <v>0.11816950640248899</v>
      </c>
      <c r="Y122" s="1">
        <f t="shared" si="5"/>
        <v>121074.43100000001</v>
      </c>
      <c r="Z122" s="1">
        <f>_4_1_Synthese_toutes_energies_2026_04[[#This Row],[5, Emissions CO2]]/_4_1_Synthese_toutes_energies_2026_04[[#This Row],[4, Conso totale]]</f>
        <v>0.11816950640248899</v>
      </c>
    </row>
    <row r="123" spans="1:26" x14ac:dyDescent="0.2">
      <c r="A123" s="1" t="s">
        <v>142</v>
      </c>
      <c r="B123" s="1">
        <v>136762.54300000001</v>
      </c>
      <c r="C123" s="1">
        <v>108.333</v>
      </c>
      <c r="D123" s="1">
        <v>798.98099999999999</v>
      </c>
      <c r="E123" s="1">
        <v>422.86</v>
      </c>
      <c r="F123" s="1">
        <v>126634.73</v>
      </c>
      <c r="G123" s="1">
        <v>8797.6389999999992</v>
      </c>
      <c r="H123" s="1">
        <f t="shared" si="3"/>
        <v>135432.36900000001</v>
      </c>
      <c r="I123" s="1">
        <v>151500.965</v>
      </c>
      <c r="J123" s="1">
        <v>25872.967000000001</v>
      </c>
      <c r="K123" s="1">
        <v>267959.598</v>
      </c>
      <c r="L123" s="1">
        <v>9970.1919999999991</v>
      </c>
      <c r="M123" s="1">
        <v>69660.210999999996</v>
      </c>
      <c r="N123" s="1">
        <v>57364.58</v>
      </c>
      <c r="O123" s="1">
        <f t="shared" si="4"/>
        <v>136994.98300000001</v>
      </c>
      <c r="P123" s="1">
        <v>130964.61500000001</v>
      </c>
      <c r="Q123" s="1">
        <v>31567.815999999999</v>
      </c>
      <c r="R123" s="1">
        <v>50.033999999999999</v>
      </c>
      <c r="S123" s="1">
        <f>LEFT(A123,4)*1</f>
        <v>2012</v>
      </c>
      <c r="T123" s="1">
        <f>RIGHT(A123,2)*1</f>
        <v>12</v>
      </c>
      <c r="U123" s="2">
        <f>M123/K123</f>
        <v>0.25996535119447373</v>
      </c>
      <c r="V123" s="2">
        <f>N123/K123</f>
        <v>0.21407921353875148</v>
      </c>
      <c r="W123" s="2">
        <f>P123/K123</f>
        <v>0.48874761709412629</v>
      </c>
      <c r="X123" s="2">
        <f>Q123/K123</f>
        <v>0.11780811822235977</v>
      </c>
      <c r="Y123" s="1">
        <f t="shared" si="5"/>
        <v>125627.99799999999</v>
      </c>
      <c r="Z123" s="1">
        <f>_4_1_Synthese_toutes_energies_2026_04[[#This Row],[5, Emissions CO2]]/_4_1_Synthese_toutes_energies_2026_04[[#This Row],[4, Conso totale]]</f>
        <v>0.11780811822235977</v>
      </c>
    </row>
    <row r="124" spans="1:26" x14ac:dyDescent="0.2">
      <c r="A124" s="1" t="s">
        <v>143</v>
      </c>
      <c r="B124" s="1">
        <v>125633.671</v>
      </c>
      <c r="C124" s="1">
        <v>122.464</v>
      </c>
      <c r="D124" s="1">
        <v>787.351</v>
      </c>
      <c r="E124" s="1">
        <v>392.32299999999998</v>
      </c>
      <c r="F124" s="1">
        <v>118091.255</v>
      </c>
      <c r="G124" s="1">
        <v>6240.2780000000002</v>
      </c>
      <c r="H124" s="1">
        <f t="shared" si="3"/>
        <v>124331.53300000001</v>
      </c>
      <c r="I124" s="1">
        <v>144997.304</v>
      </c>
      <c r="J124" s="1">
        <v>26609.825000000001</v>
      </c>
      <c r="K124" s="1">
        <v>252343.23499999999</v>
      </c>
      <c r="L124" s="1">
        <v>10765.725</v>
      </c>
      <c r="M124" s="1">
        <v>72678.195999999996</v>
      </c>
      <c r="N124" s="1">
        <v>48980.815000000002</v>
      </c>
      <c r="O124" s="1">
        <f t="shared" si="4"/>
        <v>132424.736</v>
      </c>
      <c r="P124" s="1">
        <v>119918.499</v>
      </c>
      <c r="Q124" s="1">
        <v>30917.565999999999</v>
      </c>
      <c r="R124" s="1">
        <v>50.076999999999998</v>
      </c>
      <c r="S124" s="1">
        <f>LEFT(A124,4)*1</f>
        <v>2012</v>
      </c>
      <c r="T124" s="1">
        <f>RIGHT(A124,2)*1</f>
        <v>11</v>
      </c>
      <c r="U124" s="2">
        <f>M124/K124</f>
        <v>0.28801325305986508</v>
      </c>
      <c r="V124" s="2">
        <f>N124/K124</f>
        <v>0.19410393545917728</v>
      </c>
      <c r="W124" s="2">
        <f>P124/K124</f>
        <v>0.47521978942688914</v>
      </c>
      <c r="X124" s="2">
        <f>Q124/K124</f>
        <v>0.1225218738279233</v>
      </c>
      <c r="Y124" s="1">
        <f t="shared" si="5"/>
        <v>118387.47900000001</v>
      </c>
      <c r="Z124" s="1">
        <f>_4_1_Synthese_toutes_energies_2026_04[[#This Row],[5, Emissions CO2]]/_4_1_Synthese_toutes_energies_2026_04[[#This Row],[4, Conso totale]]</f>
        <v>0.1225218738279233</v>
      </c>
    </row>
    <row r="125" spans="1:26" x14ac:dyDescent="0.2">
      <c r="A125" s="1" t="s">
        <v>144</v>
      </c>
      <c r="B125" s="1">
        <v>112192.671</v>
      </c>
      <c r="C125" s="1">
        <v>98.912999999999997</v>
      </c>
      <c r="D125" s="1">
        <v>805.95899999999995</v>
      </c>
      <c r="E125" s="1">
        <v>428.14299999999997</v>
      </c>
      <c r="F125" s="1">
        <v>104797.89599999999</v>
      </c>
      <c r="G125" s="1">
        <v>6061.759</v>
      </c>
      <c r="H125" s="1">
        <f t="shared" si="3"/>
        <v>110859.655</v>
      </c>
      <c r="I125" s="1">
        <v>151285.30900000001</v>
      </c>
      <c r="J125" s="1">
        <v>27353.044999999998</v>
      </c>
      <c r="K125" s="1">
        <v>229471.72500000001</v>
      </c>
      <c r="L125" s="1">
        <v>11422.69</v>
      </c>
      <c r="M125" s="1">
        <v>79663.173999999999</v>
      </c>
      <c r="N125" s="1">
        <v>31197.776999999998</v>
      </c>
      <c r="O125" s="1">
        <f t="shared" si="4"/>
        <v>122283.641</v>
      </c>
      <c r="P125" s="1">
        <v>107188.084</v>
      </c>
      <c r="Q125" s="1">
        <v>29059.444</v>
      </c>
      <c r="R125" s="1">
        <v>49.957999999999998</v>
      </c>
      <c r="S125" s="1">
        <f>LEFT(A125,4)*1</f>
        <v>2012</v>
      </c>
      <c r="T125" s="1">
        <f>RIGHT(A125,2)*1</f>
        <v>10</v>
      </c>
      <c r="U125" s="2">
        <f>M125/K125</f>
        <v>0.34715899747561491</v>
      </c>
      <c r="V125" s="2">
        <f>N125/K125</f>
        <v>0.13595477612764709</v>
      </c>
      <c r="W125" s="2">
        <f>P125/K125</f>
        <v>0.46710802387527267</v>
      </c>
      <c r="X125" s="2">
        <f>Q125/K125</f>
        <v>0.12663627294386703</v>
      </c>
      <c r="Y125" s="1">
        <f t="shared" si="5"/>
        <v>123932.26400000001</v>
      </c>
      <c r="Z125" s="1">
        <f>_4_1_Synthese_toutes_energies_2026_04[[#This Row],[5, Emissions CO2]]/_4_1_Synthese_toutes_energies_2026_04[[#This Row],[4, Conso totale]]</f>
        <v>0.12663627294386703</v>
      </c>
    </row>
    <row r="126" spans="1:26" x14ac:dyDescent="0.2">
      <c r="A126" s="1" t="s">
        <v>145</v>
      </c>
      <c r="B126" s="1">
        <v>102515.32</v>
      </c>
      <c r="C126" s="1">
        <v>89.492999999999995</v>
      </c>
      <c r="D126" s="1">
        <v>789.67700000000002</v>
      </c>
      <c r="E126" s="1">
        <v>440.86</v>
      </c>
      <c r="F126" s="1">
        <v>96273.91</v>
      </c>
      <c r="G126" s="1">
        <v>4921.3810000000003</v>
      </c>
      <c r="H126" s="1">
        <f t="shared" si="3"/>
        <v>101195.291</v>
      </c>
      <c r="I126" s="1">
        <v>130879.455</v>
      </c>
      <c r="J126" s="1">
        <v>21666.907999999999</v>
      </c>
      <c r="K126" s="1">
        <v>198201.89600000001</v>
      </c>
      <c r="L126" s="1">
        <v>9309.32</v>
      </c>
      <c r="M126" s="1">
        <v>73701.635999999999</v>
      </c>
      <c r="N126" s="1">
        <v>18098.257000000001</v>
      </c>
      <c r="O126" s="1">
        <f t="shared" si="4"/>
        <v>101109.213</v>
      </c>
      <c r="P126" s="1">
        <v>97092.682000000001</v>
      </c>
      <c r="Q126" s="1">
        <v>23525.710999999999</v>
      </c>
      <c r="R126" s="1">
        <v>49.994999999999997</v>
      </c>
      <c r="S126" s="1">
        <f>LEFT(A126,4)*1</f>
        <v>2012</v>
      </c>
      <c r="T126" s="1">
        <f>RIGHT(A126,2)*1</f>
        <v>9</v>
      </c>
      <c r="U126" s="2">
        <f>M126/K126</f>
        <v>0.37185131669981603</v>
      </c>
      <c r="V126" s="2">
        <f>N126/K126</f>
        <v>9.1312229424889063E-2</v>
      </c>
      <c r="W126" s="2">
        <f>P126/K126</f>
        <v>0.48986757422340699</v>
      </c>
      <c r="X126" s="2">
        <f>Q126/K126</f>
        <v>0.11869569098370279</v>
      </c>
      <c r="Y126" s="1">
        <f t="shared" si="5"/>
        <v>109212.54700000001</v>
      </c>
      <c r="Z126" s="1">
        <f>_4_1_Synthese_toutes_energies_2026_04[[#This Row],[5, Emissions CO2]]/_4_1_Synthese_toutes_energies_2026_04[[#This Row],[4, Conso totale]]</f>
        <v>0.11869569098370279</v>
      </c>
    </row>
    <row r="127" spans="1:26" x14ac:dyDescent="0.2">
      <c r="A127" s="1" t="s">
        <v>146</v>
      </c>
      <c r="B127" s="1">
        <v>97210.593999999997</v>
      </c>
      <c r="C127" s="1">
        <v>160.14500000000001</v>
      </c>
      <c r="D127" s="1">
        <v>826.89300000000003</v>
      </c>
      <c r="E127" s="1">
        <v>449.27699999999999</v>
      </c>
      <c r="F127" s="1">
        <v>90827.354999999996</v>
      </c>
      <c r="G127" s="1">
        <v>4946.9229999999998</v>
      </c>
      <c r="H127" s="1">
        <f t="shared" si="3"/>
        <v>95774.277999999991</v>
      </c>
      <c r="I127" s="1">
        <v>160610.79500000001</v>
      </c>
      <c r="J127" s="1">
        <v>26184.079000000002</v>
      </c>
      <c r="K127" s="1">
        <v>187456.67499999999</v>
      </c>
      <c r="L127" s="1">
        <v>8786.2170000000006</v>
      </c>
      <c r="M127" s="1">
        <v>72187.41</v>
      </c>
      <c r="N127" s="1">
        <v>14331.742</v>
      </c>
      <c r="O127" s="1">
        <f t="shared" si="4"/>
        <v>95305.369000000006</v>
      </c>
      <c r="P127" s="1">
        <v>92151.305999999997</v>
      </c>
      <c r="Q127" s="1">
        <v>21830.271000000001</v>
      </c>
      <c r="R127" s="1">
        <v>49.936</v>
      </c>
      <c r="S127" s="1">
        <f>LEFT(A127,4)*1</f>
        <v>2012</v>
      </c>
      <c r="T127" s="1">
        <f>RIGHT(A127,2)*1</f>
        <v>8</v>
      </c>
      <c r="U127" s="2">
        <f>M127/K127</f>
        <v>0.38508850111632464</v>
      </c>
      <c r="V127" s="2">
        <f>N127/K127</f>
        <v>7.6453623217204725E-2</v>
      </c>
      <c r="W127" s="2">
        <f>P127/K127</f>
        <v>0.49158722142062961</v>
      </c>
      <c r="X127" s="2">
        <f>Q127/K127</f>
        <v>0.11645502087348984</v>
      </c>
      <c r="Y127" s="1">
        <f t="shared" si="5"/>
        <v>134426.71600000001</v>
      </c>
      <c r="Z127" s="1">
        <f>_4_1_Synthese_toutes_energies_2026_04[[#This Row],[5, Emissions CO2]]/_4_1_Synthese_toutes_energies_2026_04[[#This Row],[4, Conso totale]]</f>
        <v>0.11645502087348984</v>
      </c>
    </row>
    <row r="128" spans="1:26" x14ac:dyDescent="0.2">
      <c r="A128" s="1" t="s">
        <v>147</v>
      </c>
      <c r="B128" s="1">
        <v>99907.206000000006</v>
      </c>
      <c r="C128" s="1">
        <v>141.30500000000001</v>
      </c>
      <c r="D128" s="1">
        <v>811.774</v>
      </c>
      <c r="E128" s="1">
        <v>462.08300000000003</v>
      </c>
      <c r="F128" s="1">
        <v>92115.646999999997</v>
      </c>
      <c r="G128" s="1">
        <v>6376.3969999999999</v>
      </c>
      <c r="H128" s="1">
        <f t="shared" si="3"/>
        <v>98492.043999999994</v>
      </c>
      <c r="I128" s="1">
        <v>143123.75200000001</v>
      </c>
      <c r="J128" s="1">
        <v>22862.822</v>
      </c>
      <c r="K128" s="1">
        <v>199998.35200000001</v>
      </c>
      <c r="L128" s="1">
        <v>9649.8520000000008</v>
      </c>
      <c r="M128" s="1">
        <v>78744.403999999995</v>
      </c>
      <c r="N128" s="1">
        <v>16382.46</v>
      </c>
      <c r="O128" s="1">
        <f t="shared" si="4"/>
        <v>104776.71599999999</v>
      </c>
      <c r="P128" s="1">
        <v>95221.635999999999</v>
      </c>
      <c r="Q128" s="1">
        <v>24267.831999999999</v>
      </c>
      <c r="R128" s="1">
        <v>50.045999999999999</v>
      </c>
      <c r="S128" s="1">
        <f>LEFT(A128,4)*1</f>
        <v>2012</v>
      </c>
      <c r="T128" s="1">
        <f>RIGHT(A128,2)*1</f>
        <v>7</v>
      </c>
      <c r="U128" s="2">
        <f>M128/K128</f>
        <v>0.39372526429617777</v>
      </c>
      <c r="V128" s="2">
        <f>N128/K128</f>
        <v>8.1912974962913679E-2</v>
      </c>
      <c r="W128" s="2">
        <f>P128/K128</f>
        <v>0.47611210316373004</v>
      </c>
      <c r="X128" s="2">
        <f>Q128/K128</f>
        <v>0.12134015984291709</v>
      </c>
      <c r="Y128" s="1">
        <f t="shared" si="5"/>
        <v>120260.93000000001</v>
      </c>
      <c r="Z128" s="1">
        <f>_4_1_Synthese_toutes_energies_2026_04[[#This Row],[5, Emissions CO2]]/_4_1_Synthese_toutes_energies_2026_04[[#This Row],[4, Conso totale]]</f>
        <v>0.12134015984291709</v>
      </c>
    </row>
    <row r="129" spans="1:26" x14ac:dyDescent="0.2">
      <c r="A129" s="1" t="s">
        <v>148</v>
      </c>
      <c r="B129" s="1">
        <v>94743.801000000007</v>
      </c>
      <c r="C129" s="1">
        <v>103.623</v>
      </c>
      <c r="D129" s="1">
        <v>805.95899999999995</v>
      </c>
      <c r="E129" s="1">
        <v>468.35199999999998</v>
      </c>
      <c r="F129" s="1">
        <v>84994.337</v>
      </c>
      <c r="G129" s="1">
        <v>8371.5300000000007</v>
      </c>
      <c r="H129" s="1">
        <f t="shared" si="3"/>
        <v>93365.866999999998</v>
      </c>
      <c r="I129" s="1">
        <v>138417.47500000001</v>
      </c>
      <c r="J129" s="1">
        <v>23488.745999999999</v>
      </c>
      <c r="K129" s="1">
        <v>190427.07</v>
      </c>
      <c r="L129" s="1">
        <v>8424.5550000000003</v>
      </c>
      <c r="M129" s="1">
        <v>74498.290999999997</v>
      </c>
      <c r="N129" s="1">
        <v>17837.664000000001</v>
      </c>
      <c r="O129" s="1">
        <f t="shared" si="4"/>
        <v>100760.51</v>
      </c>
      <c r="P129" s="1">
        <v>89666.561000000002</v>
      </c>
      <c r="Q129" s="1">
        <v>22981.245999999999</v>
      </c>
      <c r="R129" s="1">
        <v>50.399000000000001</v>
      </c>
      <c r="S129" s="1">
        <f>LEFT(A129,4)*1</f>
        <v>2012</v>
      </c>
      <c r="T129" s="1">
        <f>RIGHT(A129,2)*1</f>
        <v>6</v>
      </c>
      <c r="U129" s="2">
        <f>M129/K129</f>
        <v>0.39121691574627493</v>
      </c>
      <c r="V129" s="2">
        <f>N129/K129</f>
        <v>9.3671892341776822E-2</v>
      </c>
      <c r="W129" s="2">
        <f>P129/K129</f>
        <v>0.47087087460832117</v>
      </c>
      <c r="X129" s="2">
        <f>Q129/K129</f>
        <v>0.12068266344695636</v>
      </c>
      <c r="Y129" s="1">
        <f t="shared" si="5"/>
        <v>114928.72900000001</v>
      </c>
      <c r="Z129" s="1">
        <f>_4_1_Synthese_toutes_energies_2026_04[[#This Row],[5, Emissions CO2]]/_4_1_Synthese_toutes_energies_2026_04[[#This Row],[4, Conso totale]]</f>
        <v>0.12068266344695636</v>
      </c>
    </row>
    <row r="130" spans="1:26" x14ac:dyDescent="0.2">
      <c r="A130" s="1" t="s">
        <v>149</v>
      </c>
      <c r="B130" s="1">
        <v>103473.38400000001</v>
      </c>
      <c r="C130" s="1">
        <v>122.464</v>
      </c>
      <c r="D130" s="1">
        <v>846.66399999999999</v>
      </c>
      <c r="E130" s="1">
        <v>462.88900000000001</v>
      </c>
      <c r="F130" s="1">
        <v>92837.989000000001</v>
      </c>
      <c r="G130" s="1">
        <v>9203.3770000000004</v>
      </c>
      <c r="H130" s="1">
        <f t="shared" ref="H130:H193" si="6">SUM(F130,G130)</f>
        <v>102041.36600000001</v>
      </c>
      <c r="I130" s="1">
        <v>137323.72200000001</v>
      </c>
      <c r="J130" s="1">
        <v>23893.305</v>
      </c>
      <c r="K130" s="1">
        <v>200073.761</v>
      </c>
      <c r="L130" s="1">
        <v>8702.1020000000008</v>
      </c>
      <c r="M130" s="1">
        <v>71621.028999999995</v>
      </c>
      <c r="N130" s="1">
        <v>22197.901999999998</v>
      </c>
      <c r="O130" s="1">
        <f t="shared" ref="O130:O193" si="7">SUM(L130,M130,N130)</f>
        <v>102521.033</v>
      </c>
      <c r="P130" s="1">
        <v>97552.729000000007</v>
      </c>
      <c r="Q130" s="1">
        <v>23131.576000000001</v>
      </c>
      <c r="R130" s="1">
        <v>50.753999999999998</v>
      </c>
      <c r="S130" s="1">
        <f>LEFT(A130,4)*1</f>
        <v>2012</v>
      </c>
      <c r="T130" s="1">
        <f>RIGHT(A130,2)*1</f>
        <v>5</v>
      </c>
      <c r="U130" s="2">
        <f>M130/K130</f>
        <v>0.35797312272247434</v>
      </c>
      <c r="V130" s="2">
        <f>N130/K130</f>
        <v>0.11094859160467323</v>
      </c>
      <c r="W130" s="2">
        <f>P130/K130</f>
        <v>0.48758382164865688</v>
      </c>
      <c r="X130" s="2">
        <f>Q130/K130</f>
        <v>0.11561524052121958</v>
      </c>
      <c r="Y130" s="1">
        <f t="shared" si="5"/>
        <v>113430.41700000002</v>
      </c>
      <c r="Z130" s="1">
        <f>_4_1_Synthese_toutes_energies_2026_04[[#This Row],[5, Emissions CO2]]/_4_1_Synthese_toutes_energies_2026_04[[#This Row],[4, Conso totale]]</f>
        <v>0.11561524052121958</v>
      </c>
    </row>
    <row r="131" spans="1:26" x14ac:dyDescent="0.2">
      <c r="A131" s="1" t="s">
        <v>150</v>
      </c>
      <c r="B131" s="1">
        <v>113938.07</v>
      </c>
      <c r="C131" s="1">
        <v>113.044</v>
      </c>
      <c r="D131" s="1">
        <v>836.197</v>
      </c>
      <c r="E131" s="1">
        <v>425.72500000000002</v>
      </c>
      <c r="F131" s="1">
        <v>105259.43399999999</v>
      </c>
      <c r="G131" s="1">
        <v>7303.67</v>
      </c>
      <c r="H131" s="1">
        <f t="shared" si="6"/>
        <v>112563.10399999999</v>
      </c>
      <c r="I131" s="1">
        <v>137309.45499999999</v>
      </c>
      <c r="J131" s="1">
        <v>21332.286</v>
      </c>
      <c r="K131" s="1">
        <v>226911.49</v>
      </c>
      <c r="L131" s="1">
        <v>10976.125</v>
      </c>
      <c r="M131" s="1">
        <v>70298.698000000004</v>
      </c>
      <c r="N131" s="1">
        <v>36621.881000000001</v>
      </c>
      <c r="O131" s="1">
        <f t="shared" si="7"/>
        <v>117896.704</v>
      </c>
      <c r="P131" s="1">
        <v>109014.78599999999</v>
      </c>
      <c r="Q131" s="1">
        <v>26889.206999999999</v>
      </c>
      <c r="R131" s="1">
        <v>50.886000000000003</v>
      </c>
      <c r="S131" s="1">
        <f>LEFT(A131,4)*1</f>
        <v>2012</v>
      </c>
      <c r="T131" s="1">
        <f>RIGHT(A131,2)*1</f>
        <v>4</v>
      </c>
      <c r="U131" s="2">
        <f>M131/K131</f>
        <v>0.309806691587103</v>
      </c>
      <c r="V131" s="2">
        <f>N131/K131</f>
        <v>0.16139280121954161</v>
      </c>
      <c r="W131" s="2">
        <f>P131/K131</f>
        <v>0.48042867287152358</v>
      </c>
      <c r="X131" s="2">
        <f>Q131/K131</f>
        <v>0.11850086128296103</v>
      </c>
      <c r="Y131" s="1">
        <f t="shared" si="5"/>
        <v>115977.16899999999</v>
      </c>
      <c r="Z131" s="1">
        <f>_4_1_Synthese_toutes_energies_2026_04[[#This Row],[5, Emissions CO2]]/_4_1_Synthese_toutes_energies_2026_04[[#This Row],[4, Conso totale]]</f>
        <v>0.11850086128296103</v>
      </c>
    </row>
    <row r="132" spans="1:26" x14ac:dyDescent="0.2">
      <c r="A132" s="1" t="s">
        <v>151</v>
      </c>
      <c r="B132" s="1">
        <v>125838.06200000001</v>
      </c>
      <c r="C132" s="1">
        <v>108.333</v>
      </c>
      <c r="D132" s="1">
        <v>855.96799999999996</v>
      </c>
      <c r="E132" s="1">
        <v>388.11399999999998</v>
      </c>
      <c r="F132" s="1">
        <v>119245.978</v>
      </c>
      <c r="G132" s="1">
        <v>5239.6679999999997</v>
      </c>
      <c r="H132" s="1">
        <f t="shared" si="6"/>
        <v>124485.64600000001</v>
      </c>
      <c r="I132" s="1">
        <v>144011.72099999999</v>
      </c>
      <c r="J132" s="1">
        <v>25154.309000000001</v>
      </c>
      <c r="K132" s="1">
        <v>248012.10699999999</v>
      </c>
      <c r="L132" s="1">
        <v>10225.482</v>
      </c>
      <c r="M132" s="1">
        <v>74211.03</v>
      </c>
      <c r="N132" s="1">
        <v>44111.031999999999</v>
      </c>
      <c r="O132" s="1">
        <f t="shared" si="7"/>
        <v>128547.54399999999</v>
      </c>
      <c r="P132" s="1">
        <v>119464.56299999999</v>
      </c>
      <c r="Q132" s="1">
        <v>29033.759999999998</v>
      </c>
      <c r="R132" s="1">
        <v>51.070999999999998</v>
      </c>
      <c r="S132" s="1">
        <f>LEFT(A132,4)*1</f>
        <v>2012</v>
      </c>
      <c r="T132" s="1">
        <f>RIGHT(A132,2)*1</f>
        <v>3</v>
      </c>
      <c r="U132" s="2">
        <f>M132/K132</f>
        <v>0.29922341654070944</v>
      </c>
      <c r="V132" s="2">
        <f>N132/K132</f>
        <v>0.17785838172811461</v>
      </c>
      <c r="W132" s="2">
        <f>P132/K132</f>
        <v>0.48168843225060781</v>
      </c>
      <c r="X132" s="2">
        <f>Q132/K132</f>
        <v>0.11706589791602391</v>
      </c>
      <c r="Y132" s="1">
        <f t="shared" ref="Y132:Y195" si="8">I132-J132</f>
        <v>118857.41199999998</v>
      </c>
      <c r="Z132" s="1">
        <f>_4_1_Synthese_toutes_energies_2026_04[[#This Row],[5, Emissions CO2]]/_4_1_Synthese_toutes_energies_2026_04[[#This Row],[4, Conso totale]]</f>
        <v>0.11706589791602391</v>
      </c>
    </row>
    <row r="133" spans="1:26" x14ac:dyDescent="0.2">
      <c r="A133" s="1" t="s">
        <v>152</v>
      </c>
      <c r="B133" s="1">
        <v>130381.27</v>
      </c>
      <c r="C133" s="1">
        <v>113.044</v>
      </c>
      <c r="D133" s="1">
        <v>766.41700000000003</v>
      </c>
      <c r="E133" s="1">
        <v>421.06900000000002</v>
      </c>
      <c r="F133" s="1">
        <v>122565.787</v>
      </c>
      <c r="G133" s="1">
        <v>6514.9539999999997</v>
      </c>
      <c r="H133" s="1">
        <f t="shared" si="6"/>
        <v>129080.74099999999</v>
      </c>
      <c r="I133" s="1">
        <v>145729.258</v>
      </c>
      <c r="J133" s="1">
        <v>28273.555</v>
      </c>
      <c r="K133" s="1">
        <v>292046.30800000002</v>
      </c>
      <c r="L133" s="1">
        <v>12635.246999999999</v>
      </c>
      <c r="M133" s="1">
        <v>77645.369000000006</v>
      </c>
      <c r="N133" s="1">
        <v>72136.913</v>
      </c>
      <c r="O133" s="1">
        <f t="shared" si="7"/>
        <v>162417.52900000001</v>
      </c>
      <c r="P133" s="1">
        <v>129628.78</v>
      </c>
      <c r="Q133" s="1">
        <v>36820.063999999998</v>
      </c>
      <c r="R133" s="1">
        <v>50.884</v>
      </c>
      <c r="S133" s="1">
        <f>LEFT(A133,4)*1</f>
        <v>2012</v>
      </c>
      <c r="T133" s="1">
        <f>RIGHT(A133,2)*1</f>
        <v>2</v>
      </c>
      <c r="U133" s="2">
        <f>M133/K133</f>
        <v>0.26586663441059494</v>
      </c>
      <c r="V133" s="2">
        <f>N133/K133</f>
        <v>0.24700505030866543</v>
      </c>
      <c r="W133" s="2">
        <f>P133/K133</f>
        <v>0.44386378614996902</v>
      </c>
      <c r="X133" s="2">
        <f>Q133/K133</f>
        <v>0.12607611529881074</v>
      </c>
      <c r="Y133" s="1">
        <f t="shared" si="8"/>
        <v>117455.70300000001</v>
      </c>
      <c r="Z133" s="1">
        <f>_4_1_Synthese_toutes_energies_2026_04[[#This Row],[5, Emissions CO2]]/_4_1_Synthese_toutes_energies_2026_04[[#This Row],[4, Conso totale]]</f>
        <v>0.12607611529881074</v>
      </c>
    </row>
    <row r="134" spans="1:26" x14ac:dyDescent="0.2">
      <c r="A134" s="1" t="s">
        <v>153</v>
      </c>
      <c r="B134" s="1">
        <v>145495.777</v>
      </c>
      <c r="C134" s="1">
        <v>84.783000000000001</v>
      </c>
      <c r="D134" s="1">
        <v>793.16600000000005</v>
      </c>
      <c r="E134" s="1">
        <v>467.27699999999999</v>
      </c>
      <c r="F134" s="1">
        <v>135687.63</v>
      </c>
      <c r="G134" s="1">
        <v>8462.9210000000003</v>
      </c>
      <c r="H134" s="1">
        <f t="shared" si="6"/>
        <v>144150.55100000001</v>
      </c>
      <c r="I134" s="1">
        <v>159189.21100000001</v>
      </c>
      <c r="J134" s="1">
        <v>30359.399000000001</v>
      </c>
      <c r="K134" s="1">
        <v>281401.12</v>
      </c>
      <c r="L134" s="1">
        <v>7779.2049999999999</v>
      </c>
      <c r="M134" s="1">
        <v>74457.585999999996</v>
      </c>
      <c r="N134" s="1">
        <v>60512.296999999999</v>
      </c>
      <c r="O134" s="1">
        <f t="shared" si="7"/>
        <v>142749.08799999999</v>
      </c>
      <c r="P134" s="1">
        <v>138652.03200000001</v>
      </c>
      <c r="Q134" s="1">
        <v>31869.597000000002</v>
      </c>
      <c r="R134" s="1">
        <v>51.334000000000003</v>
      </c>
      <c r="S134" s="1">
        <f>LEFT(A134,4)*1</f>
        <v>2012</v>
      </c>
      <c r="T134" s="1">
        <f>RIGHT(A134,2)*1</f>
        <v>1</v>
      </c>
      <c r="U134" s="2">
        <f>M134/K134</f>
        <v>0.26459591205607141</v>
      </c>
      <c r="V134" s="2">
        <f>N134/K134</f>
        <v>0.21503928982230064</v>
      </c>
      <c r="W134" s="2">
        <f>P134/K134</f>
        <v>0.49272025640836115</v>
      </c>
      <c r="X134" s="2">
        <f>Q134/K134</f>
        <v>0.1132532699230195</v>
      </c>
      <c r="Y134" s="1">
        <f t="shared" si="8"/>
        <v>128829.81200000001</v>
      </c>
      <c r="Z134" s="1">
        <f>_4_1_Synthese_toutes_energies_2026_04[[#This Row],[5, Emissions CO2]]/_4_1_Synthese_toutes_energies_2026_04[[#This Row],[4, Conso totale]]</f>
        <v>0.1132532699230195</v>
      </c>
    </row>
    <row r="135" spans="1:26" x14ac:dyDescent="0.2">
      <c r="A135" s="1" t="s">
        <v>154</v>
      </c>
      <c r="B135" s="1">
        <v>135891.03899999999</v>
      </c>
      <c r="C135" s="1">
        <v>117.754</v>
      </c>
      <c r="D135" s="1">
        <v>852.47900000000004</v>
      </c>
      <c r="E135" s="1">
        <v>481.96300000000002</v>
      </c>
      <c r="F135" s="1">
        <v>126664.766</v>
      </c>
      <c r="G135" s="1">
        <v>7774.0770000000002</v>
      </c>
      <c r="H135" s="1">
        <f t="shared" si="6"/>
        <v>134438.84299999999</v>
      </c>
      <c r="I135" s="1">
        <v>143261.068</v>
      </c>
      <c r="J135" s="1">
        <v>29211.528999999999</v>
      </c>
      <c r="K135" s="1">
        <v>263859.37800000003</v>
      </c>
      <c r="L135" s="1">
        <v>8349.6530000000002</v>
      </c>
      <c r="M135" s="1">
        <v>70312.653999999995</v>
      </c>
      <c r="N135" s="1">
        <v>55586.097000000002</v>
      </c>
      <c r="O135" s="1">
        <f t="shared" si="7"/>
        <v>134248.40400000001</v>
      </c>
      <c r="P135" s="1">
        <v>129610.974</v>
      </c>
      <c r="Q135" s="1">
        <v>30824.053</v>
      </c>
      <c r="R135" s="1">
        <v>51.174999999999997</v>
      </c>
      <c r="S135" s="1">
        <f>LEFT(A135,4)*1</f>
        <v>2011</v>
      </c>
      <c r="T135" s="1">
        <f>RIGHT(A135,2)*1</f>
        <v>12</v>
      </c>
      <c r="U135" s="2">
        <f>M135/K135</f>
        <v>0.26647775240340327</v>
      </c>
      <c r="V135" s="2">
        <f>N135/K135</f>
        <v>0.2106656106799433</v>
      </c>
      <c r="W135" s="2">
        <f>P135/K135</f>
        <v>0.49121230779222103</v>
      </c>
      <c r="X135" s="2">
        <f>Q135/K135</f>
        <v>0.11682000175108423</v>
      </c>
      <c r="Y135" s="1">
        <f t="shared" si="8"/>
        <v>114049.539</v>
      </c>
      <c r="Z135" s="1">
        <f>_4_1_Synthese_toutes_energies_2026_04[[#This Row],[5, Emissions CO2]]/_4_1_Synthese_toutes_energies_2026_04[[#This Row],[4, Conso totale]]</f>
        <v>0.11682000175108423</v>
      </c>
    </row>
    <row r="136" spans="1:26" x14ac:dyDescent="0.2">
      <c r="A136" s="1" t="s">
        <v>155</v>
      </c>
      <c r="B136" s="1">
        <v>113819.876</v>
      </c>
      <c r="C136" s="1">
        <v>164.85499999999999</v>
      </c>
      <c r="D136" s="1">
        <v>851.31600000000003</v>
      </c>
      <c r="E136" s="1">
        <v>491.27699999999999</v>
      </c>
      <c r="F136" s="1">
        <v>107339.353</v>
      </c>
      <c r="G136" s="1">
        <v>4973.0749999999998</v>
      </c>
      <c r="H136" s="1">
        <f t="shared" si="6"/>
        <v>112312.428</v>
      </c>
      <c r="I136" s="1">
        <v>150811.51800000001</v>
      </c>
      <c r="J136" s="1">
        <v>28380.18</v>
      </c>
      <c r="K136" s="1">
        <v>235282.772</v>
      </c>
      <c r="L136" s="1">
        <v>11505.388000000001</v>
      </c>
      <c r="M136" s="1">
        <v>68708.876999999993</v>
      </c>
      <c r="N136" s="1">
        <v>46615.773000000001</v>
      </c>
      <c r="O136" s="1">
        <f t="shared" si="7"/>
        <v>126830.038</v>
      </c>
      <c r="P136" s="1">
        <v>108452.734</v>
      </c>
      <c r="Q136" s="1">
        <v>29445.481</v>
      </c>
      <c r="R136" s="1">
        <v>50.552999999999997</v>
      </c>
      <c r="S136" s="1">
        <f>LEFT(A136,4)*1</f>
        <v>2011</v>
      </c>
      <c r="T136" s="1">
        <f>RIGHT(A136,2)*1</f>
        <v>11</v>
      </c>
      <c r="U136" s="2">
        <f>M136/K136</f>
        <v>0.29202680849067858</v>
      </c>
      <c r="V136" s="2">
        <f>N136/K136</f>
        <v>0.19812658871598129</v>
      </c>
      <c r="W136" s="2">
        <f>P136/K136</f>
        <v>0.46094634587185157</v>
      </c>
      <c r="X136" s="2">
        <f>Q136/K136</f>
        <v>0.12514932882548663</v>
      </c>
      <c r="Y136" s="1">
        <f t="shared" si="8"/>
        <v>122431.33800000002</v>
      </c>
      <c r="Z136" s="1">
        <f>_4_1_Synthese_toutes_energies_2026_04[[#This Row],[5, Emissions CO2]]/_4_1_Synthese_toutes_energies_2026_04[[#This Row],[4, Conso totale]]</f>
        <v>0.12514932882548663</v>
      </c>
    </row>
    <row r="137" spans="1:26" x14ac:dyDescent="0.2">
      <c r="A137" s="1" t="s">
        <v>156</v>
      </c>
      <c r="B137" s="1">
        <v>110444.205</v>
      </c>
      <c r="C137" s="1">
        <v>98.912999999999997</v>
      </c>
      <c r="D137" s="1">
        <v>888.53200000000004</v>
      </c>
      <c r="E137" s="1">
        <v>510.262</v>
      </c>
      <c r="F137" s="1">
        <v>104447.591</v>
      </c>
      <c r="G137" s="1">
        <v>4498.9080000000004</v>
      </c>
      <c r="H137" s="1">
        <f t="shared" si="6"/>
        <v>108946.499</v>
      </c>
      <c r="I137" s="1">
        <v>149743.40900000001</v>
      </c>
      <c r="J137" s="1">
        <v>27041.666000000001</v>
      </c>
      <c r="K137" s="1">
        <v>223901.64199999999</v>
      </c>
      <c r="L137" s="1">
        <v>10573.324000000001</v>
      </c>
      <c r="M137" s="1">
        <v>76068.341</v>
      </c>
      <c r="N137" s="1">
        <v>32137.167000000001</v>
      </c>
      <c r="O137" s="1">
        <f t="shared" si="7"/>
        <v>118778.83200000001</v>
      </c>
      <c r="P137" s="1">
        <v>105122.81</v>
      </c>
      <c r="Q137" s="1">
        <v>27887.870999999999</v>
      </c>
      <c r="R137" s="1">
        <v>50.408999999999999</v>
      </c>
      <c r="S137" s="1">
        <f>LEFT(A137,4)*1</f>
        <v>2011</v>
      </c>
      <c r="T137" s="1">
        <f>RIGHT(A137,2)*1</f>
        <v>10</v>
      </c>
      <c r="U137" s="2">
        <f>M137/K137</f>
        <v>0.33973998725744048</v>
      </c>
      <c r="V137" s="2">
        <f>N137/K137</f>
        <v>0.14353252040911788</v>
      </c>
      <c r="W137" s="2">
        <f>P137/K137</f>
        <v>0.46950441747988608</v>
      </c>
      <c r="X137" s="2">
        <f>Q137/K137</f>
        <v>0.12455411559688338</v>
      </c>
      <c r="Y137" s="1">
        <f t="shared" si="8"/>
        <v>122701.74300000002</v>
      </c>
      <c r="Z137" s="1">
        <f>_4_1_Synthese_toutes_energies_2026_04[[#This Row],[5, Emissions CO2]]/_4_1_Synthese_toutes_energies_2026_04[[#This Row],[4, Conso totale]]</f>
        <v>0.12455411559688338</v>
      </c>
    </row>
    <row r="138" spans="1:26" x14ac:dyDescent="0.2">
      <c r="A138" s="1" t="s">
        <v>157</v>
      </c>
      <c r="B138" s="1">
        <v>105985.55</v>
      </c>
      <c r="C138" s="1">
        <v>18.841000000000001</v>
      </c>
      <c r="D138" s="1">
        <v>894.34699999999998</v>
      </c>
      <c r="E138" s="1">
        <v>505.42599999999999</v>
      </c>
      <c r="F138" s="1">
        <v>100278.478</v>
      </c>
      <c r="G138" s="1">
        <v>4288.4579999999996</v>
      </c>
      <c r="H138" s="1">
        <f t="shared" si="6"/>
        <v>104566.936</v>
      </c>
      <c r="I138" s="1">
        <v>140924.57199999999</v>
      </c>
      <c r="J138" s="1">
        <v>26586.237000000001</v>
      </c>
      <c r="K138" s="1">
        <v>208415.07800000001</v>
      </c>
      <c r="L138" s="1">
        <v>8157.2460000000001</v>
      </c>
      <c r="M138" s="1">
        <v>80490.066999999995</v>
      </c>
      <c r="N138" s="1">
        <v>19466.596000000001</v>
      </c>
      <c r="O138" s="1">
        <f t="shared" si="7"/>
        <v>108113.909</v>
      </c>
      <c r="P138" s="1">
        <v>100301.16899999999</v>
      </c>
      <c r="Q138" s="1">
        <v>24927.702000000001</v>
      </c>
      <c r="R138" s="1">
        <v>50.209000000000003</v>
      </c>
      <c r="S138" s="1">
        <f>LEFT(A138,4)*1</f>
        <v>2011</v>
      </c>
      <c r="T138" s="1">
        <f>RIGHT(A138,2)*1</f>
        <v>9</v>
      </c>
      <c r="U138" s="2">
        <f>M138/K138</f>
        <v>0.38620078629819665</v>
      </c>
      <c r="V138" s="2">
        <f>N138/K138</f>
        <v>9.3403011849267456E-2</v>
      </c>
      <c r="W138" s="2">
        <f>P138/K138</f>
        <v>0.48125677836034486</v>
      </c>
      <c r="X138" s="2">
        <f>Q138/K138</f>
        <v>0.11960603925211208</v>
      </c>
      <c r="Y138" s="1">
        <f t="shared" si="8"/>
        <v>114338.33499999999</v>
      </c>
      <c r="Z138" s="1">
        <f>_4_1_Synthese_toutes_energies_2026_04[[#This Row],[5, Emissions CO2]]/_4_1_Synthese_toutes_energies_2026_04[[#This Row],[4, Conso totale]]</f>
        <v>0.11960603925211208</v>
      </c>
    </row>
    <row r="139" spans="1:26" x14ac:dyDescent="0.2">
      <c r="A139" s="1" t="s">
        <v>158</v>
      </c>
      <c r="B139" s="1">
        <v>106584.087</v>
      </c>
      <c r="C139" s="1">
        <v>42.390999999999998</v>
      </c>
      <c r="D139" s="1">
        <v>911.79200000000003</v>
      </c>
      <c r="E139" s="1">
        <v>504.709</v>
      </c>
      <c r="F139" s="1">
        <v>100293.784</v>
      </c>
      <c r="G139" s="1">
        <v>4831.4110000000001</v>
      </c>
      <c r="H139" s="1">
        <f t="shared" si="6"/>
        <v>105125.19500000001</v>
      </c>
      <c r="I139" s="1">
        <v>140842.85999999999</v>
      </c>
      <c r="J139" s="1">
        <v>29481.111000000001</v>
      </c>
      <c r="K139" s="1">
        <v>200101.74900000001</v>
      </c>
      <c r="L139" s="1">
        <v>6902.2969999999996</v>
      </c>
      <c r="M139" s="1">
        <v>77815.167000000001</v>
      </c>
      <c r="N139" s="1">
        <v>15606.053</v>
      </c>
      <c r="O139" s="1">
        <f t="shared" si="7"/>
        <v>100323.51700000001</v>
      </c>
      <c r="P139" s="1">
        <v>99778.232000000004</v>
      </c>
      <c r="Q139" s="1">
        <v>22816.170999999998</v>
      </c>
      <c r="R139" s="1">
        <v>50.170999999999999</v>
      </c>
      <c r="S139" s="1">
        <f>LEFT(A139,4)*1</f>
        <v>2011</v>
      </c>
      <c r="T139" s="1">
        <f>RIGHT(A139,2)*1</f>
        <v>8</v>
      </c>
      <c r="U139" s="2">
        <f>M139/K139</f>
        <v>0.38887799526429923</v>
      </c>
      <c r="V139" s="2">
        <f>N139/K139</f>
        <v>7.7990587678471515E-2</v>
      </c>
      <c r="W139" s="2">
        <f>P139/K139</f>
        <v>0.49863748067489405</v>
      </c>
      <c r="X139" s="2">
        <f>Q139/K139</f>
        <v>0.11402284644698432</v>
      </c>
      <c r="Y139" s="1">
        <f t="shared" si="8"/>
        <v>111361.74899999998</v>
      </c>
      <c r="Z139" s="1">
        <f>_4_1_Synthese_toutes_energies_2026_04[[#This Row],[5, Emissions CO2]]/_4_1_Synthese_toutes_energies_2026_04[[#This Row],[4, Conso totale]]</f>
        <v>0.11402284644698432</v>
      </c>
    </row>
    <row r="140" spans="1:26" x14ac:dyDescent="0.2">
      <c r="A140" s="1" t="s">
        <v>159</v>
      </c>
      <c r="B140" s="1">
        <v>113554.014</v>
      </c>
      <c r="C140" s="1">
        <v>18.841000000000001</v>
      </c>
      <c r="D140" s="1">
        <v>900.16200000000003</v>
      </c>
      <c r="E140" s="1">
        <v>523.69399999999996</v>
      </c>
      <c r="F140" s="1">
        <v>106785.193</v>
      </c>
      <c r="G140" s="1">
        <v>5326.1239999999998</v>
      </c>
      <c r="H140" s="1">
        <f t="shared" si="6"/>
        <v>112111.317</v>
      </c>
      <c r="I140" s="1">
        <v>143069.962</v>
      </c>
      <c r="J140" s="1">
        <v>25750.075000000001</v>
      </c>
      <c r="K140" s="1">
        <v>207672.29300000001</v>
      </c>
      <c r="L140" s="1">
        <v>6848.3010000000004</v>
      </c>
      <c r="M140" s="1">
        <v>77497.668000000005</v>
      </c>
      <c r="N140" s="1">
        <v>17388.117999999999</v>
      </c>
      <c r="O140" s="1">
        <f t="shared" si="7"/>
        <v>101734.08700000001</v>
      </c>
      <c r="P140" s="1">
        <v>105938.20600000001</v>
      </c>
      <c r="Q140" s="1">
        <v>22639.427</v>
      </c>
      <c r="R140" s="1">
        <v>50.338999999999999</v>
      </c>
      <c r="S140" s="1">
        <f>LEFT(A140,4)*1</f>
        <v>2011</v>
      </c>
      <c r="T140" s="1">
        <f>RIGHT(A140,2)*1</f>
        <v>7</v>
      </c>
      <c r="U140" s="2">
        <f>M140/K140</f>
        <v>0.37317288156489897</v>
      </c>
      <c r="V140" s="2">
        <f>N140/K140</f>
        <v>8.3728636828794487E-2</v>
      </c>
      <c r="W140" s="2">
        <f>P140/K140</f>
        <v>0.51012200264962648</v>
      </c>
      <c r="X140" s="2">
        <f>Q140/K140</f>
        <v>0.10901515398590027</v>
      </c>
      <c r="Y140" s="1">
        <f t="shared" si="8"/>
        <v>117319.887</v>
      </c>
      <c r="Z140" s="1">
        <f>_4_1_Synthese_toutes_energies_2026_04[[#This Row],[5, Emissions CO2]]/_4_1_Synthese_toutes_energies_2026_04[[#This Row],[4, Conso totale]]</f>
        <v>0.10901515398590027</v>
      </c>
    </row>
    <row r="141" spans="1:26" x14ac:dyDescent="0.2">
      <c r="A141" s="1" t="s">
        <v>160</v>
      </c>
      <c r="B141" s="1">
        <v>110796.144</v>
      </c>
      <c r="C141" s="1">
        <v>23.550999999999998</v>
      </c>
      <c r="D141" s="1">
        <v>888.53200000000004</v>
      </c>
      <c r="E141" s="1">
        <v>510.79899999999998</v>
      </c>
      <c r="F141" s="1">
        <v>103918.02899999999</v>
      </c>
      <c r="G141" s="1">
        <v>5455.2330000000002</v>
      </c>
      <c r="H141" s="1">
        <f t="shared" si="6"/>
        <v>109373.26199999999</v>
      </c>
      <c r="I141" s="1">
        <v>142716.93400000001</v>
      </c>
      <c r="J141" s="1">
        <v>30348.775000000001</v>
      </c>
      <c r="K141" s="1">
        <v>202641.88</v>
      </c>
      <c r="L141" s="1">
        <v>7195.6040000000003</v>
      </c>
      <c r="M141" s="1">
        <v>74054.024999999994</v>
      </c>
      <c r="N141" s="1">
        <v>18074.078000000001</v>
      </c>
      <c r="O141" s="1">
        <f t="shared" si="7"/>
        <v>99323.706999999995</v>
      </c>
      <c r="P141" s="1">
        <v>103318.173</v>
      </c>
      <c r="Q141" s="1">
        <v>22069.782999999999</v>
      </c>
      <c r="R141" s="1">
        <v>50.177999999999997</v>
      </c>
      <c r="S141" s="1">
        <f>LEFT(A141,4)*1</f>
        <v>2011</v>
      </c>
      <c r="T141" s="1">
        <f>RIGHT(A141,2)*1</f>
        <v>6</v>
      </c>
      <c r="U141" s="2">
        <f>M141/K141</f>
        <v>0.36544284429260127</v>
      </c>
      <c r="V141" s="2">
        <f>N141/K141</f>
        <v>8.9192214363585653E-2</v>
      </c>
      <c r="W141" s="2">
        <f>P141/K141</f>
        <v>0.50985597350360146</v>
      </c>
      <c r="X141" s="2">
        <f>Q141/K141</f>
        <v>0.10891027560541779</v>
      </c>
      <c r="Y141" s="1">
        <f t="shared" si="8"/>
        <v>112368.15900000001</v>
      </c>
      <c r="Z141" s="1">
        <f>_4_1_Synthese_toutes_energies_2026_04[[#This Row],[5, Emissions CO2]]/_4_1_Synthese_toutes_energies_2026_04[[#This Row],[4, Conso totale]]</f>
        <v>0.10891027560541779</v>
      </c>
    </row>
    <row r="142" spans="1:26" x14ac:dyDescent="0.2">
      <c r="A142" s="1" t="s">
        <v>161</v>
      </c>
      <c r="B142" s="1">
        <v>111455.164</v>
      </c>
      <c r="C142" s="1">
        <v>28.260999999999999</v>
      </c>
      <c r="D142" s="1">
        <v>945.51900000000001</v>
      </c>
      <c r="E142" s="1">
        <v>500.76900000000001</v>
      </c>
      <c r="F142" s="1">
        <v>105566.541</v>
      </c>
      <c r="G142" s="1">
        <v>4414.0739999999996</v>
      </c>
      <c r="H142" s="1">
        <f t="shared" si="6"/>
        <v>109980.61499999999</v>
      </c>
      <c r="I142" s="1">
        <v>151810.74</v>
      </c>
      <c r="J142" s="1">
        <v>30258.513999999999</v>
      </c>
      <c r="K142" s="1">
        <v>208519.47899999999</v>
      </c>
      <c r="L142" s="1">
        <v>9395.2860000000001</v>
      </c>
      <c r="M142" s="1">
        <v>73794.676000000007</v>
      </c>
      <c r="N142" s="1">
        <v>20689.863000000001</v>
      </c>
      <c r="O142" s="1">
        <f t="shared" si="7"/>
        <v>103879.825</v>
      </c>
      <c r="P142" s="1">
        <v>104639.65399999999</v>
      </c>
      <c r="Q142" s="1">
        <v>23690.069</v>
      </c>
      <c r="R142" s="1">
        <v>49.984999999999999</v>
      </c>
      <c r="S142" s="1">
        <f>LEFT(A142,4)*1</f>
        <v>2011</v>
      </c>
      <c r="T142" s="1">
        <f>RIGHT(A142,2)*1</f>
        <v>5</v>
      </c>
      <c r="U142" s="2">
        <f>M142/K142</f>
        <v>0.35389823700835166</v>
      </c>
      <c r="V142" s="2">
        <f>N142/K142</f>
        <v>9.9222687008536037E-2</v>
      </c>
      <c r="W142" s="2">
        <f>P142/K142</f>
        <v>0.50182196167869764</v>
      </c>
      <c r="X142" s="2">
        <f>Q142/K142</f>
        <v>0.11361082002319793</v>
      </c>
      <c r="Y142" s="1">
        <f t="shared" si="8"/>
        <v>121552.226</v>
      </c>
      <c r="Z142" s="1">
        <f>_4_1_Synthese_toutes_energies_2026_04[[#This Row],[5, Emissions CO2]]/_4_1_Synthese_toutes_energies_2026_04[[#This Row],[4, Conso totale]]</f>
        <v>0.11361082002319793</v>
      </c>
    </row>
    <row r="143" spans="1:26" x14ac:dyDescent="0.2">
      <c r="A143" s="1" t="s">
        <v>162</v>
      </c>
      <c r="B143" s="1">
        <v>110975.645</v>
      </c>
      <c r="C143" s="1">
        <v>37.680999999999997</v>
      </c>
      <c r="D143" s="1">
        <v>901.32500000000005</v>
      </c>
      <c r="E143" s="1">
        <v>334.11500000000001</v>
      </c>
      <c r="F143" s="1">
        <v>104735.57</v>
      </c>
      <c r="G143" s="1">
        <v>4966.9539999999997</v>
      </c>
      <c r="H143" s="1">
        <f t="shared" si="6"/>
        <v>109702.524</v>
      </c>
      <c r="I143" s="1">
        <v>152414.19200000001</v>
      </c>
      <c r="J143" s="1">
        <v>24753.277999999998</v>
      </c>
      <c r="K143" s="1">
        <v>210955.83</v>
      </c>
      <c r="L143" s="1">
        <v>8455.2330000000002</v>
      </c>
      <c r="M143" s="1">
        <v>72531.657999999996</v>
      </c>
      <c r="N143" s="1">
        <v>25382.334999999999</v>
      </c>
      <c r="O143" s="1">
        <f t="shared" si="7"/>
        <v>106369.226</v>
      </c>
      <c r="P143" s="1">
        <v>104586.60400000001</v>
      </c>
      <c r="Q143" s="1">
        <v>24195.620999999999</v>
      </c>
      <c r="R143" s="1">
        <v>49.682000000000002</v>
      </c>
      <c r="S143" s="1">
        <f>LEFT(A143,4)*1</f>
        <v>2011</v>
      </c>
      <c r="T143" s="1">
        <f>RIGHT(A143,2)*1</f>
        <v>4</v>
      </c>
      <c r="U143" s="2">
        <f>M143/K143</f>
        <v>0.34382390854047507</v>
      </c>
      <c r="V143" s="2">
        <f>N143/K143</f>
        <v>0.12032061403564907</v>
      </c>
      <c r="W143" s="2">
        <f>P143/K143</f>
        <v>0.49577489278205783</v>
      </c>
      <c r="X143" s="2">
        <f>Q143/K143</f>
        <v>0.114695199464267</v>
      </c>
      <c r="Y143" s="1">
        <f t="shared" si="8"/>
        <v>127660.91400000002</v>
      </c>
      <c r="Z143" s="1">
        <f>_4_1_Synthese_toutes_energies_2026_04[[#This Row],[5, Emissions CO2]]/_4_1_Synthese_toutes_energies_2026_04[[#This Row],[4, Conso totale]]</f>
        <v>0.114695199464267</v>
      </c>
    </row>
    <row r="144" spans="1:26" x14ac:dyDescent="0.2">
      <c r="A144" s="1" t="s">
        <v>163</v>
      </c>
      <c r="B144" s="1">
        <v>126710.96400000001</v>
      </c>
      <c r="C144" s="1">
        <v>80.072999999999993</v>
      </c>
      <c r="D144" s="1">
        <v>940.86699999999996</v>
      </c>
      <c r="E144" s="1">
        <v>358.47300000000001</v>
      </c>
      <c r="F144" s="1">
        <v>119591.671</v>
      </c>
      <c r="G144" s="1">
        <v>5739.8819999999996</v>
      </c>
      <c r="H144" s="1">
        <f t="shared" si="6"/>
        <v>125331.553</v>
      </c>
      <c r="I144" s="1">
        <v>158694.51800000001</v>
      </c>
      <c r="J144" s="1">
        <v>30492.911</v>
      </c>
      <c r="K144" s="1">
        <v>259982.32399999999</v>
      </c>
      <c r="L144" s="1">
        <v>10055.058000000001</v>
      </c>
      <c r="M144" s="1">
        <v>79435.225999999995</v>
      </c>
      <c r="N144" s="1">
        <v>49816.326000000001</v>
      </c>
      <c r="O144" s="1">
        <f t="shared" si="7"/>
        <v>139306.60999999999</v>
      </c>
      <c r="P144" s="1">
        <v>120675.71400000001</v>
      </c>
      <c r="Q144" s="1">
        <v>31493.013999999999</v>
      </c>
      <c r="R144" s="1">
        <v>49.383000000000003</v>
      </c>
      <c r="S144" s="1">
        <f>LEFT(A144,4)*1</f>
        <v>2011</v>
      </c>
      <c r="T144" s="1">
        <f>RIGHT(A144,2)*1</f>
        <v>3</v>
      </c>
      <c r="U144" s="2">
        <f>M144/K144</f>
        <v>0.30554087207867253</v>
      </c>
      <c r="V144" s="2">
        <f>N144/K144</f>
        <v>0.19161428066932737</v>
      </c>
      <c r="W144" s="2">
        <f>P144/K144</f>
        <v>0.46416891788381742</v>
      </c>
      <c r="X144" s="2">
        <f>Q144/K144</f>
        <v>0.12113521225389154</v>
      </c>
      <c r="Y144" s="1">
        <f t="shared" si="8"/>
        <v>128201.60700000002</v>
      </c>
      <c r="Z144" s="1">
        <f>_4_1_Synthese_toutes_energies_2026_04[[#This Row],[5, Emissions CO2]]/_4_1_Synthese_toutes_energies_2026_04[[#This Row],[4, Conso totale]]</f>
        <v>0.12113521225389154</v>
      </c>
    </row>
    <row r="145" spans="1:26" x14ac:dyDescent="0.2">
      <c r="A145" s="1" t="s">
        <v>164</v>
      </c>
      <c r="B145" s="1">
        <v>127804.92600000001</v>
      </c>
      <c r="C145" s="1">
        <v>51.811999999999998</v>
      </c>
      <c r="D145" s="1">
        <v>840.84900000000005</v>
      </c>
      <c r="E145" s="1">
        <v>500.94799999999998</v>
      </c>
      <c r="F145" s="1">
        <v>121352.736</v>
      </c>
      <c r="G145" s="1">
        <v>5058.5810000000001</v>
      </c>
      <c r="H145" s="1">
        <f t="shared" si="6"/>
        <v>126411.31700000001</v>
      </c>
      <c r="I145" s="1">
        <v>146696.02600000001</v>
      </c>
      <c r="J145" s="1">
        <v>30966.858</v>
      </c>
      <c r="K145" s="1">
        <v>262507.201</v>
      </c>
      <c r="L145" s="1">
        <v>9812.3080000000009</v>
      </c>
      <c r="M145" s="1">
        <v>75483.351999999999</v>
      </c>
      <c r="N145" s="1">
        <v>54721.93</v>
      </c>
      <c r="O145" s="1">
        <f t="shared" si="7"/>
        <v>140017.59</v>
      </c>
      <c r="P145" s="1">
        <v>122489.611</v>
      </c>
      <c r="Q145" s="1">
        <v>31871.526999999998</v>
      </c>
      <c r="R145" s="1">
        <v>49.125</v>
      </c>
      <c r="S145" s="1">
        <f>LEFT(A145,4)*1</f>
        <v>2011</v>
      </c>
      <c r="T145" s="1">
        <f>RIGHT(A145,2)*1</f>
        <v>2</v>
      </c>
      <c r="U145" s="2">
        <f>M145/K145</f>
        <v>0.28754773854756083</v>
      </c>
      <c r="V145" s="2">
        <f>N145/K145</f>
        <v>0.20845877671751945</v>
      </c>
      <c r="W145" s="2">
        <f>P145/K145</f>
        <v>0.46661428918287084</v>
      </c>
      <c r="X145" s="2">
        <f>Q145/K145</f>
        <v>0.12141201033186133</v>
      </c>
      <c r="Y145" s="1">
        <f t="shared" si="8"/>
        <v>115729.16800000001</v>
      </c>
      <c r="Z145" s="1">
        <f>_4_1_Synthese_toutes_energies_2026_04[[#This Row],[5, Emissions CO2]]/_4_1_Synthese_toutes_energies_2026_04[[#This Row],[4, Conso totale]]</f>
        <v>0.12141201033186133</v>
      </c>
    </row>
    <row r="146" spans="1:26" x14ac:dyDescent="0.2">
      <c r="A146" s="1" t="s">
        <v>165</v>
      </c>
      <c r="B146" s="1">
        <v>147820.75899999999</v>
      </c>
      <c r="C146" s="1">
        <v>18.841000000000001</v>
      </c>
      <c r="D146" s="1">
        <v>940.86699999999996</v>
      </c>
      <c r="E146" s="1">
        <v>630.68600000000004</v>
      </c>
      <c r="F146" s="1">
        <v>138909.815</v>
      </c>
      <c r="G146" s="1">
        <v>7320.55</v>
      </c>
      <c r="H146" s="1">
        <f t="shared" si="6"/>
        <v>146230.36499999999</v>
      </c>
      <c r="I146" s="1">
        <v>175831.83</v>
      </c>
      <c r="J146" s="1">
        <v>29429.531999999999</v>
      </c>
      <c r="K146" s="1">
        <v>294545.58799999999</v>
      </c>
      <c r="L146" s="1">
        <v>9132.7790000000005</v>
      </c>
      <c r="M146" s="1">
        <v>76873.137000000002</v>
      </c>
      <c r="N146" s="1">
        <v>66059.982000000004</v>
      </c>
      <c r="O146" s="1">
        <f t="shared" si="7"/>
        <v>152065.89799999999</v>
      </c>
      <c r="P146" s="1">
        <v>142479.69</v>
      </c>
      <c r="Q146" s="1">
        <v>34253.938000000002</v>
      </c>
      <c r="R146" s="1">
        <v>48.865000000000002</v>
      </c>
      <c r="S146" s="1">
        <f>LEFT(A146,4)*1</f>
        <v>2011</v>
      </c>
      <c r="T146" s="1">
        <f>RIGHT(A146,2)*1</f>
        <v>1</v>
      </c>
      <c r="U146" s="2">
        <f>M146/K146</f>
        <v>0.26098892711983179</v>
      </c>
      <c r="V146" s="2">
        <f>N146/K146</f>
        <v>0.22427761504952506</v>
      </c>
      <c r="W146" s="2">
        <f>P146/K146</f>
        <v>0.48372712342240215</v>
      </c>
      <c r="X146" s="2">
        <f>Q146/K146</f>
        <v>0.11629418125930308</v>
      </c>
      <c r="Y146" s="1">
        <f t="shared" si="8"/>
        <v>146402.29799999998</v>
      </c>
      <c r="Z146" s="1">
        <f>_4_1_Synthese_toutes_energies_2026_04[[#This Row],[5, Emissions CO2]]/_4_1_Synthese_toutes_energies_2026_04[[#This Row],[4, Conso totale]]</f>
        <v>0.11629418125930308</v>
      </c>
    </row>
    <row r="147" spans="1:26" x14ac:dyDescent="0.2">
      <c r="A147" s="1" t="s">
        <v>166</v>
      </c>
      <c r="B147" s="1">
        <v>142525.71599999999</v>
      </c>
      <c r="C147" s="1">
        <v>117.754</v>
      </c>
      <c r="D147" s="1">
        <v>945.51900000000001</v>
      </c>
      <c r="E147" s="1">
        <v>606.26</v>
      </c>
      <c r="F147" s="1">
        <v>132842.122</v>
      </c>
      <c r="G147" s="1">
        <v>8014.0609999999997</v>
      </c>
      <c r="H147" s="1">
        <f t="shared" si="6"/>
        <v>140856.18299999999</v>
      </c>
      <c r="I147" s="1">
        <v>159229.736</v>
      </c>
      <c r="J147" s="1">
        <v>30804.524000000001</v>
      </c>
      <c r="K147" s="1">
        <v>311197.84700000001</v>
      </c>
      <c r="L147" s="1">
        <v>13337.896000000001</v>
      </c>
      <c r="M147" s="1">
        <v>83451.065000000002</v>
      </c>
      <c r="N147" s="1">
        <v>74382.851999999999</v>
      </c>
      <c r="O147" s="1">
        <f t="shared" si="7"/>
        <v>171171.81300000002</v>
      </c>
      <c r="P147" s="1">
        <v>140026.03400000001</v>
      </c>
      <c r="Q147" s="1">
        <v>39289.904999999999</v>
      </c>
      <c r="R147" s="1">
        <v>48.438000000000002</v>
      </c>
      <c r="S147" s="1">
        <f>LEFT(A147,4)*1</f>
        <v>2010</v>
      </c>
      <c r="T147" s="1">
        <f>RIGHT(A147,2)*1</f>
        <v>12</v>
      </c>
      <c r="U147" s="2">
        <f>M147/K147</f>
        <v>0.26816080446726226</v>
      </c>
      <c r="V147" s="2">
        <f>N147/K147</f>
        <v>0.23902110093968612</v>
      </c>
      <c r="W147" s="2">
        <f>P147/K147</f>
        <v>0.44995823509023186</v>
      </c>
      <c r="X147" s="2">
        <f>Q147/K147</f>
        <v>0.12625378156938213</v>
      </c>
      <c r="Y147" s="1">
        <f t="shared" si="8"/>
        <v>128425.212</v>
      </c>
      <c r="Z147" s="1">
        <f>_4_1_Synthese_toutes_energies_2026_04[[#This Row],[5, Emissions CO2]]/_4_1_Synthese_toutes_energies_2026_04[[#This Row],[4, Conso totale]]</f>
        <v>0.12625378156938213</v>
      </c>
    </row>
    <row r="148" spans="1:26" x14ac:dyDescent="0.2">
      <c r="A148" s="1" t="s">
        <v>167</v>
      </c>
      <c r="B148" s="1">
        <v>120812.602</v>
      </c>
      <c r="C148" s="1">
        <v>103.623</v>
      </c>
      <c r="D148" s="1">
        <v>922.25900000000001</v>
      </c>
      <c r="E148" s="1">
        <v>537.30600000000004</v>
      </c>
      <c r="F148" s="1">
        <v>112760.29700000001</v>
      </c>
      <c r="G148" s="1">
        <v>6489.1170000000002</v>
      </c>
      <c r="H148" s="1">
        <f t="shared" si="6"/>
        <v>119249.414</v>
      </c>
      <c r="I148" s="1">
        <v>181507.37400000001</v>
      </c>
      <c r="J148" s="1">
        <v>27885.241999999998</v>
      </c>
      <c r="K148" s="1">
        <v>257209.33499999999</v>
      </c>
      <c r="L148" s="1">
        <v>11387.513999999999</v>
      </c>
      <c r="M148" s="1">
        <v>74928.600999999995</v>
      </c>
      <c r="N148" s="1">
        <v>53965.224000000002</v>
      </c>
      <c r="O148" s="1">
        <f t="shared" si="7"/>
        <v>140281.33899999998</v>
      </c>
      <c r="P148" s="1">
        <v>116927.996</v>
      </c>
      <c r="Q148" s="1">
        <v>32017.216</v>
      </c>
      <c r="R148" s="1">
        <v>48.372999999999998</v>
      </c>
      <c r="S148" s="1">
        <f>LEFT(A148,4)*1</f>
        <v>2010</v>
      </c>
      <c r="T148" s="1">
        <f>RIGHT(A148,2)*1</f>
        <v>11</v>
      </c>
      <c r="U148" s="2">
        <f>M148/K148</f>
        <v>0.2913136920166603</v>
      </c>
      <c r="V148" s="2">
        <f>N148/K148</f>
        <v>0.20981051873564388</v>
      </c>
      <c r="W148" s="2">
        <f>P148/K148</f>
        <v>0.45460245834390112</v>
      </c>
      <c r="X148" s="2">
        <f>Q148/K148</f>
        <v>0.12447921456660972</v>
      </c>
      <c r="Y148" s="1">
        <f t="shared" si="8"/>
        <v>153622.13200000001</v>
      </c>
      <c r="Z148" s="1">
        <f>_4_1_Synthese_toutes_energies_2026_04[[#This Row],[5, Emissions CO2]]/_4_1_Synthese_toutes_energies_2026_04[[#This Row],[4, Conso totale]]</f>
        <v>0.12447921456660972</v>
      </c>
    </row>
    <row r="149" spans="1:26" x14ac:dyDescent="0.2">
      <c r="A149" s="1" t="s">
        <v>168</v>
      </c>
      <c r="B149" s="1">
        <v>108452.93399999999</v>
      </c>
      <c r="C149" s="1">
        <v>160.14500000000001</v>
      </c>
      <c r="D149" s="1">
        <v>955.98599999999999</v>
      </c>
      <c r="E149" s="1">
        <v>545.36599999999999</v>
      </c>
      <c r="F149" s="1">
        <v>101708.371</v>
      </c>
      <c r="G149" s="1">
        <v>5083.0659999999998</v>
      </c>
      <c r="H149" s="1">
        <f t="shared" si="6"/>
        <v>106791.43700000001</v>
      </c>
      <c r="I149" s="1">
        <v>119898.573</v>
      </c>
      <c r="J149" s="1">
        <v>16104.227000000001</v>
      </c>
      <c r="K149" s="1">
        <v>231261.07</v>
      </c>
      <c r="L149" s="1">
        <v>11375.406999999999</v>
      </c>
      <c r="M149" s="1">
        <v>77277.861000000004</v>
      </c>
      <c r="N149" s="1">
        <v>36385.466999999997</v>
      </c>
      <c r="O149" s="1">
        <f t="shared" si="7"/>
        <v>125038.73500000002</v>
      </c>
      <c r="P149" s="1">
        <v>106222.33500000001</v>
      </c>
      <c r="Q149" s="1">
        <v>29187.666000000001</v>
      </c>
      <c r="R149" s="1">
        <v>48.298999999999999</v>
      </c>
      <c r="S149" s="1">
        <f>LEFT(A149,4)*1</f>
        <v>2010</v>
      </c>
      <c r="T149" s="1">
        <f>RIGHT(A149,2)*1</f>
        <v>10</v>
      </c>
      <c r="U149" s="2">
        <f>M149/K149</f>
        <v>0.33415853779453675</v>
      </c>
      <c r="V149" s="2">
        <f>N149/K149</f>
        <v>0.15733502832967086</v>
      </c>
      <c r="W149" s="2">
        <f>P149/K149</f>
        <v>0.45931783935791703</v>
      </c>
      <c r="X149" s="2">
        <f>Q149/K149</f>
        <v>0.12621089230452839</v>
      </c>
      <c r="Y149" s="1">
        <f t="shared" si="8"/>
        <v>103794.34600000001</v>
      </c>
      <c r="Z149" s="1">
        <f>_4_1_Synthese_toutes_energies_2026_04[[#This Row],[5, Emissions CO2]]/_4_1_Synthese_toutes_energies_2026_04[[#This Row],[4, Conso totale]]</f>
        <v>0.12621089230452839</v>
      </c>
    </row>
    <row r="150" spans="1:26" x14ac:dyDescent="0.2">
      <c r="A150" s="1" t="s">
        <v>169</v>
      </c>
      <c r="B150" s="1">
        <v>106770.304</v>
      </c>
      <c r="C150" s="1">
        <v>108.333</v>
      </c>
      <c r="D150" s="1">
        <v>923.42200000000003</v>
      </c>
      <c r="E150" s="1">
        <v>710.13900000000001</v>
      </c>
      <c r="F150" s="1">
        <v>100872.091</v>
      </c>
      <c r="G150" s="1">
        <v>4156.3180000000002</v>
      </c>
      <c r="H150" s="1">
        <f t="shared" si="6"/>
        <v>105028.409</v>
      </c>
      <c r="I150" s="1">
        <v>138419.55300000001</v>
      </c>
      <c r="J150" s="1">
        <v>25569.802</v>
      </c>
      <c r="K150" s="1">
        <v>212154.519</v>
      </c>
      <c r="L150" s="1">
        <v>8920.82</v>
      </c>
      <c r="M150" s="1">
        <v>81546.070999999996</v>
      </c>
      <c r="N150" s="1">
        <v>20269.868999999999</v>
      </c>
      <c r="O150" s="1">
        <f t="shared" si="7"/>
        <v>110736.76000000001</v>
      </c>
      <c r="P150" s="1">
        <v>101417.75900000001</v>
      </c>
      <c r="Q150" s="1">
        <v>25494.594000000001</v>
      </c>
      <c r="R150" s="1">
        <v>48.188000000000002</v>
      </c>
      <c r="S150" s="1">
        <f>LEFT(A150,4)*1</f>
        <v>2010</v>
      </c>
      <c r="T150" s="1">
        <f>RIGHT(A150,2)*1</f>
        <v>9</v>
      </c>
      <c r="U150" s="2">
        <f>M150/K150</f>
        <v>0.38437112433131815</v>
      </c>
      <c r="V150" s="2">
        <f>N150/K150</f>
        <v>9.554295188027552E-2</v>
      </c>
      <c r="W150" s="2">
        <f>P150/K150</f>
        <v>0.47803723191020037</v>
      </c>
      <c r="X150" s="2">
        <f>Q150/K150</f>
        <v>0.12016993142625447</v>
      </c>
      <c r="Y150" s="1">
        <f t="shared" si="8"/>
        <v>112849.75100000002</v>
      </c>
      <c r="Z150" s="1">
        <f>_4_1_Synthese_toutes_energies_2026_04[[#This Row],[5, Emissions CO2]]/_4_1_Synthese_toutes_energies_2026_04[[#This Row],[4, Conso totale]]</f>
        <v>0.12016993142625447</v>
      </c>
    </row>
    <row r="151" spans="1:26" x14ac:dyDescent="0.2">
      <c r="A151" s="1" t="s">
        <v>170</v>
      </c>
      <c r="B151" s="1">
        <v>110269.231</v>
      </c>
      <c r="C151" s="1">
        <v>103.623</v>
      </c>
      <c r="D151" s="1">
        <v>932.726</v>
      </c>
      <c r="E151" s="1">
        <v>710.13900000000001</v>
      </c>
      <c r="F151" s="1">
        <v>103451.927</v>
      </c>
      <c r="G151" s="1">
        <v>5070.8149999999996</v>
      </c>
      <c r="H151" s="1">
        <f t="shared" si="6"/>
        <v>108522.742</v>
      </c>
      <c r="I151" s="1">
        <v>153277.17600000001</v>
      </c>
      <c r="J151" s="1">
        <v>30824.938999999998</v>
      </c>
      <c r="K151" s="1">
        <v>197875.429</v>
      </c>
      <c r="L151" s="1">
        <v>5944.8040000000001</v>
      </c>
      <c r="M151" s="1">
        <v>74578.538</v>
      </c>
      <c r="N151" s="1">
        <v>14737.407999999999</v>
      </c>
      <c r="O151" s="1">
        <f t="shared" si="7"/>
        <v>95260.75</v>
      </c>
      <c r="P151" s="1">
        <v>102614.679</v>
      </c>
      <c r="Q151" s="1">
        <v>21713.024000000001</v>
      </c>
      <c r="R151" s="1">
        <v>48.005000000000003</v>
      </c>
      <c r="S151" s="1">
        <f>LEFT(A151,4)*1</f>
        <v>2010</v>
      </c>
      <c r="T151" s="1">
        <f>RIGHT(A151,2)*1</f>
        <v>8</v>
      </c>
      <c r="U151" s="2">
        <f>M151/K151</f>
        <v>0.37689640586957363</v>
      </c>
      <c r="V151" s="2">
        <f>N151/K151</f>
        <v>7.4478211238647521E-2</v>
      </c>
      <c r="W151" s="2">
        <f>P151/K151</f>
        <v>0.51858221871498766</v>
      </c>
      <c r="X151" s="2">
        <f>Q151/K151</f>
        <v>0.10973077410232678</v>
      </c>
      <c r="Y151" s="1">
        <f t="shared" si="8"/>
        <v>122452.23700000001</v>
      </c>
      <c r="Z151" s="1">
        <f>_4_1_Synthese_toutes_energies_2026_04[[#This Row],[5, Emissions CO2]]/_4_1_Synthese_toutes_energies_2026_04[[#This Row],[4, Conso totale]]</f>
        <v>0.10973077410232678</v>
      </c>
    </row>
    <row r="152" spans="1:26" x14ac:dyDescent="0.2">
      <c r="A152" s="1" t="s">
        <v>171</v>
      </c>
      <c r="B152" s="1">
        <v>109001.159</v>
      </c>
      <c r="C152" s="1">
        <v>75.361999999999995</v>
      </c>
      <c r="D152" s="1">
        <v>946.68200000000002</v>
      </c>
      <c r="E152" s="1">
        <v>692.22900000000004</v>
      </c>
      <c r="F152" s="1">
        <v>101295.785</v>
      </c>
      <c r="G152" s="1">
        <v>5991.1</v>
      </c>
      <c r="H152" s="1">
        <f t="shared" si="6"/>
        <v>107286.88500000001</v>
      </c>
      <c r="I152" s="1">
        <v>151848.231</v>
      </c>
      <c r="J152" s="1">
        <v>27953.991999999998</v>
      </c>
      <c r="K152" s="1">
        <v>207789.36300000001</v>
      </c>
      <c r="L152" s="1">
        <v>9227.4699999999993</v>
      </c>
      <c r="M152" s="1">
        <v>79188.67</v>
      </c>
      <c r="N152" s="1">
        <v>16719.171999999999</v>
      </c>
      <c r="O152" s="1">
        <f t="shared" si="7"/>
        <v>105135.31200000001</v>
      </c>
      <c r="P152" s="1">
        <v>102654.05100000001</v>
      </c>
      <c r="Q152" s="1">
        <v>23980.41</v>
      </c>
      <c r="R152" s="1">
        <v>47.728999999999999</v>
      </c>
      <c r="S152" s="1">
        <f>LEFT(A152,4)*1</f>
        <v>2010</v>
      </c>
      <c r="T152" s="1">
        <f>RIGHT(A152,2)*1</f>
        <v>7</v>
      </c>
      <c r="U152" s="2">
        <f>M152/K152</f>
        <v>0.38110069185784062</v>
      </c>
      <c r="V152" s="2">
        <f>N152/K152</f>
        <v>8.0462116821639215E-2</v>
      </c>
      <c r="W152" s="2">
        <f>P152/K152</f>
        <v>0.49402938397765817</v>
      </c>
      <c r="X152" s="2">
        <f>Q152/K152</f>
        <v>0.11540730311589625</v>
      </c>
      <c r="Y152" s="1">
        <f t="shared" si="8"/>
        <v>123894.239</v>
      </c>
      <c r="Z152" s="1">
        <f>_4_1_Synthese_toutes_energies_2026_04[[#This Row],[5, Emissions CO2]]/_4_1_Synthese_toutes_energies_2026_04[[#This Row],[4, Conso totale]]</f>
        <v>0.11540730311589625</v>
      </c>
    </row>
    <row r="153" spans="1:26" x14ac:dyDescent="0.2">
      <c r="A153" s="1" t="s">
        <v>172</v>
      </c>
      <c r="B153" s="1">
        <v>103831.497</v>
      </c>
      <c r="C153" s="1">
        <v>94.203000000000003</v>
      </c>
      <c r="D153" s="1">
        <v>917.60699999999997</v>
      </c>
      <c r="E153" s="1">
        <v>510.44099999999997</v>
      </c>
      <c r="F153" s="1">
        <v>94335.046000000002</v>
      </c>
      <c r="G153" s="1">
        <v>7974.2</v>
      </c>
      <c r="H153" s="1">
        <f t="shared" si="6"/>
        <v>102309.246</v>
      </c>
      <c r="I153" s="1">
        <v>141966.56899999999</v>
      </c>
      <c r="J153" s="1">
        <v>26257.414000000001</v>
      </c>
      <c r="K153" s="1">
        <v>199746.15299999999</v>
      </c>
      <c r="L153" s="1">
        <v>8376.0879999999997</v>
      </c>
      <c r="M153" s="1">
        <v>76132.305999999997</v>
      </c>
      <c r="N153" s="1">
        <v>18216.464</v>
      </c>
      <c r="O153" s="1">
        <f t="shared" si="7"/>
        <v>102724.85800000001</v>
      </c>
      <c r="P153" s="1">
        <v>97021.294999999998</v>
      </c>
      <c r="Q153" s="1">
        <v>23194.507000000001</v>
      </c>
      <c r="R153" s="1">
        <v>47.534999999999997</v>
      </c>
      <c r="S153" s="1">
        <f>LEFT(A153,4)*1</f>
        <v>2010</v>
      </c>
      <c r="T153" s="1">
        <f>RIGHT(A153,2)*1</f>
        <v>6</v>
      </c>
      <c r="U153" s="2">
        <f>M153/K153</f>
        <v>0.38114529294589217</v>
      </c>
      <c r="V153" s="2">
        <f>N153/K153</f>
        <v>9.1198071784641579E-2</v>
      </c>
      <c r="W153" s="2">
        <f>P153/K153</f>
        <v>0.48572297159585348</v>
      </c>
      <c r="X153" s="2">
        <f>Q153/K153</f>
        <v>0.11611991846471258</v>
      </c>
      <c r="Y153" s="1">
        <f t="shared" si="8"/>
        <v>115709.15499999998</v>
      </c>
      <c r="Z153" s="1">
        <f>_4_1_Synthese_toutes_energies_2026_04[[#This Row],[5, Emissions CO2]]/_4_1_Synthese_toutes_energies_2026_04[[#This Row],[4, Conso totale]]</f>
        <v>0.11611991846471258</v>
      </c>
    </row>
    <row r="154" spans="1:26" x14ac:dyDescent="0.2">
      <c r="A154" s="1" t="s">
        <v>173</v>
      </c>
      <c r="B154" s="1">
        <v>102154.599</v>
      </c>
      <c r="C154" s="1">
        <v>71.593999999999994</v>
      </c>
      <c r="D154" s="1">
        <v>843.17499999999995</v>
      </c>
      <c r="E154" s="1">
        <v>577.60400000000004</v>
      </c>
      <c r="F154" s="1">
        <v>93362.235000000001</v>
      </c>
      <c r="G154" s="1">
        <v>7299.991</v>
      </c>
      <c r="H154" s="1">
        <f t="shared" si="6"/>
        <v>100662.226</v>
      </c>
      <c r="I154" s="1">
        <v>153997.76699999999</v>
      </c>
      <c r="J154" s="1">
        <v>25060.370999999999</v>
      </c>
      <c r="K154" s="1">
        <v>207166.40400000001</v>
      </c>
      <c r="L154" s="1">
        <v>9748.1830000000009</v>
      </c>
      <c r="M154" s="1">
        <v>71639.637000000002</v>
      </c>
      <c r="N154" s="1">
        <v>27255.741999999998</v>
      </c>
      <c r="O154" s="1">
        <f t="shared" si="7"/>
        <v>108643.56200000001</v>
      </c>
      <c r="P154" s="1">
        <v>98522.841</v>
      </c>
      <c r="Q154" s="1">
        <v>24569.437000000002</v>
      </c>
      <c r="R154" s="1">
        <v>47.332999999999998</v>
      </c>
      <c r="S154" s="1">
        <f>LEFT(A154,4)*1</f>
        <v>2010</v>
      </c>
      <c r="T154" s="1">
        <f>RIGHT(A154,2)*1</f>
        <v>5</v>
      </c>
      <c r="U154" s="2">
        <f>M154/K154</f>
        <v>0.34580721399209113</v>
      </c>
      <c r="V154" s="2">
        <f>N154/K154</f>
        <v>0.13156448861273856</v>
      </c>
      <c r="W154" s="2">
        <f>P154/K154</f>
        <v>0.47557344771017984</v>
      </c>
      <c r="X154" s="2">
        <f>Q154/K154</f>
        <v>0.11859759365229895</v>
      </c>
      <c r="Y154" s="1">
        <f t="shared" si="8"/>
        <v>128937.39599999999</v>
      </c>
      <c r="Z154" s="1">
        <f>_4_1_Synthese_toutes_energies_2026_04[[#This Row],[5, Emissions CO2]]/_4_1_Synthese_toutes_energies_2026_04[[#This Row],[4, Conso totale]]</f>
        <v>0.11859759365229895</v>
      </c>
    </row>
    <row r="155" spans="1:26" x14ac:dyDescent="0.2">
      <c r="A155" s="1" t="s">
        <v>174</v>
      </c>
      <c r="B155" s="1">
        <v>107658.424</v>
      </c>
      <c r="C155" s="1">
        <v>84.783000000000001</v>
      </c>
      <c r="D155" s="1">
        <v>860.62</v>
      </c>
      <c r="E155" s="1">
        <v>503.27699999999999</v>
      </c>
      <c r="F155" s="1">
        <v>99668.426000000007</v>
      </c>
      <c r="G155" s="1">
        <v>6541.3180000000002</v>
      </c>
      <c r="H155" s="1">
        <f t="shared" si="6"/>
        <v>106209.74400000001</v>
      </c>
      <c r="I155" s="1">
        <v>156901.78400000001</v>
      </c>
      <c r="J155" s="1">
        <v>30009.852999999999</v>
      </c>
      <c r="K155" s="1">
        <v>221499.166</v>
      </c>
      <c r="L155" s="1">
        <v>10884.946</v>
      </c>
      <c r="M155" s="1">
        <v>74383.153999999995</v>
      </c>
      <c r="N155" s="1">
        <v>32611.788</v>
      </c>
      <c r="O155" s="1">
        <f t="shared" si="7"/>
        <v>117879.88799999999</v>
      </c>
      <c r="P155" s="1">
        <v>103619.27800000001</v>
      </c>
      <c r="Q155" s="1">
        <v>27179.276999999998</v>
      </c>
      <c r="R155" s="1">
        <v>47.639000000000003</v>
      </c>
      <c r="S155" s="1">
        <f>LEFT(A155,4)*1</f>
        <v>2010</v>
      </c>
      <c r="T155" s="1">
        <f>RIGHT(A155,2)*1</f>
        <v>4</v>
      </c>
      <c r="U155" s="2">
        <f>M155/K155</f>
        <v>0.33581685810952444</v>
      </c>
      <c r="V155" s="2">
        <f>N155/K155</f>
        <v>0.1472321028964958</v>
      </c>
      <c r="W155" s="2">
        <f>P155/K155</f>
        <v>0.46780888556483324</v>
      </c>
      <c r="X155" s="2">
        <f>Q155/K155</f>
        <v>0.12270600152056554</v>
      </c>
      <c r="Y155" s="1">
        <f t="shared" si="8"/>
        <v>126891.93100000001</v>
      </c>
      <c r="Z155" s="1">
        <f>_4_1_Synthese_toutes_energies_2026_04[[#This Row],[5, Emissions CO2]]/_4_1_Synthese_toutes_energies_2026_04[[#This Row],[4, Conso totale]]</f>
        <v>0.12270600152056554</v>
      </c>
    </row>
    <row r="156" spans="1:26" x14ac:dyDescent="0.2">
      <c r="A156" s="1" t="s">
        <v>175</v>
      </c>
      <c r="B156" s="1">
        <v>123488.53599999999</v>
      </c>
      <c r="C156" s="1">
        <v>94.438999999999993</v>
      </c>
      <c r="D156" s="1">
        <v>886.20600000000002</v>
      </c>
      <c r="E156" s="1">
        <v>665.36400000000003</v>
      </c>
      <c r="F156" s="1">
        <v>114382.671</v>
      </c>
      <c r="G156" s="1">
        <v>7459.857</v>
      </c>
      <c r="H156" s="1">
        <f t="shared" si="6"/>
        <v>121842.52800000001</v>
      </c>
      <c r="I156" s="1">
        <v>177394.45499999999</v>
      </c>
      <c r="J156" s="1">
        <v>30109.879000000001</v>
      </c>
      <c r="K156" s="1">
        <v>268508.32199999999</v>
      </c>
      <c r="L156" s="1">
        <v>12538.807000000001</v>
      </c>
      <c r="M156" s="1">
        <v>80113.255000000005</v>
      </c>
      <c r="N156" s="1">
        <v>56160.118999999999</v>
      </c>
      <c r="O156" s="1">
        <f t="shared" si="7"/>
        <v>148812.18100000001</v>
      </c>
      <c r="P156" s="1">
        <v>119696.141</v>
      </c>
      <c r="Q156" s="1">
        <v>34317.368000000002</v>
      </c>
      <c r="R156" s="1">
        <v>47.732999999999997</v>
      </c>
      <c r="S156" s="1">
        <f>LEFT(A156,4)*1</f>
        <v>2010</v>
      </c>
      <c r="T156" s="1">
        <f>RIGHT(A156,2)*1</f>
        <v>3</v>
      </c>
      <c r="U156" s="2">
        <f>M156/K156</f>
        <v>0.29836414157770502</v>
      </c>
      <c r="V156" s="2">
        <f>N156/K156</f>
        <v>0.20915597170951</v>
      </c>
      <c r="W156" s="2">
        <f>P156/K156</f>
        <v>0.44578186667897768</v>
      </c>
      <c r="X156" s="2">
        <f>Q156/K156</f>
        <v>0.12780746512579227</v>
      </c>
      <c r="Y156" s="1">
        <f t="shared" si="8"/>
        <v>147284.576</v>
      </c>
      <c r="Z156" s="1">
        <f>_4_1_Synthese_toutes_energies_2026_04[[#This Row],[5, Emissions CO2]]/_4_1_Synthese_toutes_energies_2026_04[[#This Row],[4, Conso totale]]</f>
        <v>0.12780746512579227</v>
      </c>
    </row>
    <row r="157" spans="1:26" x14ac:dyDescent="0.2">
      <c r="A157" s="1" t="s">
        <v>176</v>
      </c>
      <c r="B157" s="1">
        <v>123456.59299999999</v>
      </c>
      <c r="C157" s="1">
        <v>98.912999999999997</v>
      </c>
      <c r="D157" s="1">
        <v>755.95</v>
      </c>
      <c r="E157" s="1">
        <v>552.53</v>
      </c>
      <c r="F157" s="1">
        <v>115196.484</v>
      </c>
      <c r="G157" s="1">
        <v>6852.7160000000003</v>
      </c>
      <c r="H157" s="1">
        <f t="shared" si="6"/>
        <v>122049.2</v>
      </c>
      <c r="I157" s="1">
        <v>142095.283</v>
      </c>
      <c r="J157" s="1">
        <v>26559.112000000001</v>
      </c>
      <c r="K157" s="1">
        <v>268886.75</v>
      </c>
      <c r="L157" s="1">
        <v>11035.633</v>
      </c>
      <c r="M157" s="1">
        <v>74991.403000000006</v>
      </c>
      <c r="N157" s="1">
        <v>61905.711000000003</v>
      </c>
      <c r="O157" s="1">
        <f t="shared" si="7"/>
        <v>147932.747</v>
      </c>
      <c r="P157" s="1">
        <v>120954.003</v>
      </c>
      <c r="Q157" s="1">
        <v>34036.552000000003</v>
      </c>
      <c r="R157" s="1">
        <v>47.860999999999997</v>
      </c>
      <c r="S157" s="1">
        <f>LEFT(A157,4)*1</f>
        <v>2010</v>
      </c>
      <c r="T157" s="1">
        <f>RIGHT(A157,2)*1</f>
        <v>2</v>
      </c>
      <c r="U157" s="2">
        <f>M157/K157</f>
        <v>0.27889586601050442</v>
      </c>
      <c r="V157" s="2">
        <f>N157/K157</f>
        <v>0.23022968219891832</v>
      </c>
      <c r="W157" s="2">
        <f>P157/K157</f>
        <v>0.44983251499004689</v>
      </c>
      <c r="X157" s="2">
        <f>Q157/K157</f>
        <v>0.12658322509383599</v>
      </c>
      <c r="Y157" s="1">
        <f t="shared" si="8"/>
        <v>115536.171</v>
      </c>
      <c r="Z157" s="1">
        <f>_4_1_Synthese_toutes_energies_2026_04[[#This Row],[5, Emissions CO2]]/_4_1_Synthese_toutes_energies_2026_04[[#This Row],[4, Conso totale]]</f>
        <v>0.12658322509383599</v>
      </c>
    </row>
    <row r="158" spans="1:26" x14ac:dyDescent="0.2">
      <c r="A158" s="1" t="s">
        <v>177</v>
      </c>
      <c r="B158" s="1">
        <v>136959.655</v>
      </c>
      <c r="C158" s="1">
        <v>117.754</v>
      </c>
      <c r="D158" s="1">
        <v>869.92399999999998</v>
      </c>
      <c r="E158" s="1">
        <v>639.39400000000001</v>
      </c>
      <c r="F158" s="1">
        <v>128292.75599999999</v>
      </c>
      <c r="G158" s="1">
        <v>7039.8280000000004</v>
      </c>
      <c r="H158" s="1">
        <f t="shared" si="6"/>
        <v>135332.584</v>
      </c>
      <c r="I158" s="1">
        <v>161372.253</v>
      </c>
      <c r="J158" s="1">
        <v>21802.073</v>
      </c>
      <c r="K158" s="1">
        <v>297460.60800000001</v>
      </c>
      <c r="L158" s="1">
        <v>14092.638999999999</v>
      </c>
      <c r="M158" s="1">
        <v>72280.45</v>
      </c>
      <c r="N158" s="1">
        <v>75376.868000000002</v>
      </c>
      <c r="O158" s="1">
        <f t="shared" si="7"/>
        <v>161749.95699999999</v>
      </c>
      <c r="P158" s="1">
        <v>135710.65100000001</v>
      </c>
      <c r="Q158" s="1">
        <v>37107.428999999996</v>
      </c>
      <c r="R158" s="1">
        <v>47.982999999999997</v>
      </c>
      <c r="S158" s="1">
        <f>LEFT(A158,4)*1</f>
        <v>2010</v>
      </c>
      <c r="T158" s="1">
        <f>RIGHT(A158,2)*1</f>
        <v>1</v>
      </c>
      <c r="U158" s="2">
        <f>M158/K158</f>
        <v>0.24299167034580926</v>
      </c>
      <c r="V158" s="2">
        <f>N158/K158</f>
        <v>0.25340117640047316</v>
      </c>
      <c r="W158" s="2">
        <f>P158/K158</f>
        <v>0.45623066500287662</v>
      </c>
      <c r="X158" s="2">
        <f>Q158/K158</f>
        <v>0.124747371591468</v>
      </c>
      <c r="Y158" s="1">
        <f t="shared" si="8"/>
        <v>139570.18</v>
      </c>
      <c r="Z158" s="1">
        <f>_4_1_Synthese_toutes_energies_2026_04[[#This Row],[5, Emissions CO2]]/_4_1_Synthese_toutes_energies_2026_04[[#This Row],[4, Conso totale]]</f>
        <v>0.124747371591468</v>
      </c>
    </row>
    <row r="159" spans="1:26" x14ac:dyDescent="0.2">
      <c r="A159" s="1" t="s">
        <v>178</v>
      </c>
      <c r="B159" s="1">
        <v>128152.69100000001</v>
      </c>
      <c r="C159" s="1">
        <v>211.95699999999999</v>
      </c>
      <c r="D159" s="1">
        <v>895.51</v>
      </c>
      <c r="E159" s="1">
        <v>588.35</v>
      </c>
      <c r="F159" s="1">
        <v>120193.633</v>
      </c>
      <c r="G159" s="1">
        <v>6263.241</v>
      </c>
      <c r="H159" s="1">
        <f t="shared" si="6"/>
        <v>126456.874</v>
      </c>
      <c r="I159" s="1">
        <v>159103.78899999999</v>
      </c>
      <c r="J159" s="1">
        <v>29143.438999999998</v>
      </c>
      <c r="K159" s="1">
        <v>285337.038</v>
      </c>
      <c r="L159" s="1">
        <v>12528.813</v>
      </c>
      <c r="M159" s="1">
        <v>84365.183000000005</v>
      </c>
      <c r="N159" s="1">
        <v>62783.311000000002</v>
      </c>
      <c r="O159" s="1">
        <f t="shared" si="7"/>
        <v>159677.307</v>
      </c>
      <c r="P159" s="1">
        <v>125659.731</v>
      </c>
      <c r="Q159" s="1">
        <v>37100.161999999997</v>
      </c>
      <c r="R159" s="1">
        <v>48.021999999999998</v>
      </c>
      <c r="S159" s="1">
        <f>LEFT(A159,4)*1</f>
        <v>2009</v>
      </c>
      <c r="T159" s="1">
        <f>RIGHT(A159,2)*1</f>
        <v>12</v>
      </c>
      <c r="U159" s="2">
        <f>M159/K159</f>
        <v>0.29566853147189398</v>
      </c>
      <c r="V159" s="2">
        <f>N159/K159</f>
        <v>0.22003211163914865</v>
      </c>
      <c r="W159" s="2">
        <f>P159/K159</f>
        <v>0.44039053563035863</v>
      </c>
      <c r="X159" s="2">
        <f>Q159/K159</f>
        <v>0.13002224408034962</v>
      </c>
      <c r="Y159" s="1">
        <f t="shared" si="8"/>
        <v>129960.34999999999</v>
      </c>
      <c r="Z159" s="1">
        <f>_4_1_Synthese_toutes_energies_2026_04[[#This Row],[5, Emissions CO2]]/_4_1_Synthese_toutes_energies_2026_04[[#This Row],[4, Conso totale]]</f>
        <v>0.13002224408034962</v>
      </c>
    </row>
    <row r="160" spans="1:26" x14ac:dyDescent="0.2">
      <c r="A160" s="1" t="s">
        <v>179</v>
      </c>
      <c r="B160" s="1">
        <v>107010.66099999999</v>
      </c>
      <c r="C160" s="1">
        <v>98.912999999999997</v>
      </c>
      <c r="D160" s="1">
        <v>879.22799999999995</v>
      </c>
      <c r="E160" s="1">
        <v>694.91600000000005</v>
      </c>
      <c r="F160" s="1">
        <v>100247.048</v>
      </c>
      <c r="G160" s="1">
        <v>5090.5559999999996</v>
      </c>
      <c r="H160" s="1">
        <f t="shared" si="6"/>
        <v>105337.60399999999</v>
      </c>
      <c r="I160" s="1">
        <v>163455.837</v>
      </c>
      <c r="J160" s="1">
        <v>21845.63</v>
      </c>
      <c r="K160" s="1">
        <v>233030.783</v>
      </c>
      <c r="L160" s="1">
        <v>11700.025</v>
      </c>
      <c r="M160" s="1">
        <v>71204.675000000003</v>
      </c>
      <c r="N160" s="1">
        <v>45896.678999999996</v>
      </c>
      <c r="O160" s="1">
        <f t="shared" si="7"/>
        <v>128801.37899999999</v>
      </c>
      <c r="P160" s="1">
        <v>104229.405</v>
      </c>
      <c r="Q160" s="1">
        <v>29338.440999999999</v>
      </c>
      <c r="R160" s="1">
        <v>48.259</v>
      </c>
      <c r="S160" s="1">
        <f>LEFT(A160,4)*1</f>
        <v>2009</v>
      </c>
      <c r="T160" s="1">
        <f>RIGHT(A160,2)*1</f>
        <v>11</v>
      </c>
      <c r="U160" s="2">
        <f>M160/K160</f>
        <v>0.30555909431072892</v>
      </c>
      <c r="V160" s="2">
        <f>N160/K160</f>
        <v>0.19695543399517307</v>
      </c>
      <c r="W160" s="2">
        <f>P160/K160</f>
        <v>0.44727740969741325</v>
      </c>
      <c r="X160" s="2">
        <f>Q160/K160</f>
        <v>0.12589942248102046</v>
      </c>
      <c r="Y160" s="1">
        <f t="shared" si="8"/>
        <v>141610.20699999999</v>
      </c>
      <c r="Z160" s="1">
        <f>_4_1_Synthese_toutes_energies_2026_04[[#This Row],[5, Emissions CO2]]/_4_1_Synthese_toutes_energies_2026_04[[#This Row],[4, Conso totale]]</f>
        <v>0.12589942248102046</v>
      </c>
    </row>
    <row r="161" spans="1:26" x14ac:dyDescent="0.2">
      <c r="A161" s="1" t="s">
        <v>180</v>
      </c>
      <c r="B161" s="1">
        <v>104157.05899999999</v>
      </c>
      <c r="C161" s="1">
        <v>32.970999999999997</v>
      </c>
      <c r="D161" s="1">
        <v>921.096</v>
      </c>
      <c r="E161" s="1">
        <v>702.97500000000002</v>
      </c>
      <c r="F161" s="1">
        <v>98785.998000000007</v>
      </c>
      <c r="G161" s="1">
        <v>3714.0189999999998</v>
      </c>
      <c r="H161" s="1">
        <f t="shared" si="6"/>
        <v>102500.01700000001</v>
      </c>
      <c r="I161" s="1">
        <v>156408.82800000001</v>
      </c>
      <c r="J161" s="1">
        <v>23631.704000000002</v>
      </c>
      <c r="K161" s="1">
        <v>228883.66899999999</v>
      </c>
      <c r="L161" s="1">
        <v>12809.05</v>
      </c>
      <c r="M161" s="1">
        <v>81400.695999999996</v>
      </c>
      <c r="N161" s="1">
        <v>31745.83</v>
      </c>
      <c r="O161" s="1">
        <f t="shared" si="7"/>
        <v>125955.576</v>
      </c>
      <c r="P161" s="1">
        <v>102928.094</v>
      </c>
      <c r="Q161" s="1">
        <v>29423.253000000001</v>
      </c>
      <c r="R161" s="1">
        <v>48.475000000000001</v>
      </c>
      <c r="S161" s="1">
        <f>LEFT(A161,4)*1</f>
        <v>2009</v>
      </c>
      <c r="T161" s="1">
        <f>RIGHT(A161,2)*1</f>
        <v>10</v>
      </c>
      <c r="U161" s="2">
        <f>M161/K161</f>
        <v>0.35564221927952405</v>
      </c>
      <c r="V161" s="2">
        <f>N161/K161</f>
        <v>0.13869853685367128</v>
      </c>
      <c r="W161" s="2">
        <f>P161/K161</f>
        <v>0.44969610304525481</v>
      </c>
      <c r="X161" s="2">
        <f>Q161/K161</f>
        <v>0.1285511243705203</v>
      </c>
      <c r="Y161" s="1">
        <f t="shared" si="8"/>
        <v>132777.12400000001</v>
      </c>
      <c r="Z161" s="1">
        <f>_4_1_Synthese_toutes_energies_2026_04[[#This Row],[5, Emissions CO2]]/_4_1_Synthese_toutes_energies_2026_04[[#This Row],[4, Conso totale]]</f>
        <v>0.1285511243705203</v>
      </c>
    </row>
    <row r="162" spans="1:26" x14ac:dyDescent="0.2">
      <c r="A162" s="1" t="s">
        <v>181</v>
      </c>
      <c r="B162" s="1">
        <v>96917.028999999995</v>
      </c>
      <c r="C162" s="1">
        <v>14.13</v>
      </c>
      <c r="D162" s="1">
        <v>883.88</v>
      </c>
      <c r="E162" s="1">
        <v>678.79700000000003</v>
      </c>
      <c r="F162" s="1">
        <v>91803.258000000002</v>
      </c>
      <c r="G162" s="1">
        <v>3536.9639999999999</v>
      </c>
      <c r="H162" s="1">
        <f t="shared" si="6"/>
        <v>95340.222000000009</v>
      </c>
      <c r="I162" s="1">
        <v>137286.74400000001</v>
      </c>
      <c r="J162" s="1">
        <v>25212.776999999998</v>
      </c>
      <c r="K162" s="1">
        <v>202368.77499999999</v>
      </c>
      <c r="L162" s="1">
        <v>11420.579</v>
      </c>
      <c r="M162" s="1">
        <v>78501.5</v>
      </c>
      <c r="N162" s="1">
        <v>18368.701000000001</v>
      </c>
      <c r="O162" s="1">
        <f t="shared" si="7"/>
        <v>108290.78</v>
      </c>
      <c r="P162" s="1">
        <v>94077.994999999995</v>
      </c>
      <c r="Q162" s="1">
        <v>25294.499</v>
      </c>
      <c r="R162" s="1">
        <v>48.508000000000003</v>
      </c>
      <c r="S162" s="1">
        <f>LEFT(A162,4)*1</f>
        <v>2009</v>
      </c>
      <c r="T162" s="1">
        <f>RIGHT(A162,2)*1</f>
        <v>9</v>
      </c>
      <c r="U162" s="2">
        <f>M162/K162</f>
        <v>0.38791310566563447</v>
      </c>
      <c r="V162" s="2">
        <f>N162/K162</f>
        <v>9.0768454767787179E-2</v>
      </c>
      <c r="W162" s="2">
        <f>P162/K162</f>
        <v>0.46488394763470797</v>
      </c>
      <c r="X162" s="2">
        <f>Q162/K162</f>
        <v>0.12499210414254867</v>
      </c>
      <c r="Y162" s="1">
        <f t="shared" si="8"/>
        <v>112073.967</v>
      </c>
      <c r="Z162" s="1">
        <f>_4_1_Synthese_toutes_energies_2026_04[[#This Row],[5, Emissions CO2]]/_4_1_Synthese_toutes_energies_2026_04[[#This Row],[4, Conso totale]]</f>
        <v>0.12499210414254867</v>
      </c>
    </row>
    <row r="163" spans="1:26" x14ac:dyDescent="0.2">
      <c r="A163" s="1" t="s">
        <v>182</v>
      </c>
      <c r="B163" s="1">
        <v>96193.024000000005</v>
      </c>
      <c r="C163" s="1">
        <v>14.13</v>
      </c>
      <c r="D163" s="1">
        <v>912.95500000000004</v>
      </c>
      <c r="E163" s="1">
        <v>682.37900000000002</v>
      </c>
      <c r="F163" s="1">
        <v>90316.490999999995</v>
      </c>
      <c r="G163" s="1">
        <v>4267.0690000000004</v>
      </c>
      <c r="H163" s="1">
        <f t="shared" si="6"/>
        <v>94583.56</v>
      </c>
      <c r="I163" s="1">
        <v>147054.89000000001</v>
      </c>
      <c r="J163" s="1">
        <v>23855.562000000002</v>
      </c>
      <c r="K163" s="1">
        <v>184684.98499999999</v>
      </c>
      <c r="L163" s="1">
        <v>8048.8909999999996</v>
      </c>
      <c r="M163" s="1">
        <v>69693.077000000005</v>
      </c>
      <c r="N163" s="1">
        <v>14433.83</v>
      </c>
      <c r="O163" s="1">
        <f t="shared" si="7"/>
        <v>92175.79800000001</v>
      </c>
      <c r="P163" s="1">
        <v>92509.186000000002</v>
      </c>
      <c r="Q163" s="1">
        <v>21222.62</v>
      </c>
      <c r="R163" s="1">
        <v>48.545000000000002</v>
      </c>
      <c r="S163" s="1">
        <f>LEFT(A163,4)*1</f>
        <v>2009</v>
      </c>
      <c r="T163" s="1">
        <f>RIGHT(A163,2)*1</f>
        <v>8</v>
      </c>
      <c r="U163" s="2">
        <f>M163/K163</f>
        <v>0.37736190086053834</v>
      </c>
      <c r="V163" s="2">
        <f>N163/K163</f>
        <v>7.8153781694814017E-2</v>
      </c>
      <c r="W163" s="2">
        <f>P163/K163</f>
        <v>0.50090258284938549</v>
      </c>
      <c r="X163" s="2">
        <f>Q163/K163</f>
        <v>0.11491253606783465</v>
      </c>
      <c r="Y163" s="1">
        <f t="shared" si="8"/>
        <v>123199.32800000001</v>
      </c>
      <c r="Z163" s="1">
        <f>_4_1_Synthese_toutes_energies_2026_04[[#This Row],[5, Emissions CO2]]/_4_1_Synthese_toutes_energies_2026_04[[#This Row],[4, Conso totale]]</f>
        <v>0.11491253606783465</v>
      </c>
    </row>
    <row r="164" spans="1:26" x14ac:dyDescent="0.2">
      <c r="A164" s="1" t="s">
        <v>183</v>
      </c>
      <c r="B164" s="1">
        <v>99477.119999999995</v>
      </c>
      <c r="C164" s="1">
        <v>9.42</v>
      </c>
      <c r="D164" s="1">
        <v>830.38199999999995</v>
      </c>
      <c r="E164" s="1">
        <v>677.00599999999997</v>
      </c>
      <c r="F164" s="1">
        <v>92456.012000000002</v>
      </c>
      <c r="G164" s="1">
        <v>5504.3</v>
      </c>
      <c r="H164" s="1">
        <f t="shared" si="6"/>
        <v>97960.312000000005</v>
      </c>
      <c r="I164" s="1">
        <v>157032.09</v>
      </c>
      <c r="J164" s="1">
        <v>27963.446</v>
      </c>
      <c r="K164" s="1">
        <v>199239.823</v>
      </c>
      <c r="L164" s="1">
        <v>8354.5660000000007</v>
      </c>
      <c r="M164" s="1">
        <v>78401.319000000003</v>
      </c>
      <c r="N164" s="1">
        <v>15881.87</v>
      </c>
      <c r="O164" s="1">
        <f t="shared" si="7"/>
        <v>102637.755</v>
      </c>
      <c r="P164" s="1">
        <v>96602.067999999999</v>
      </c>
      <c r="Q164" s="1">
        <v>23392.973000000002</v>
      </c>
      <c r="R164" s="1">
        <v>48.707999999999998</v>
      </c>
      <c r="S164" s="1">
        <f>LEFT(A164,4)*1</f>
        <v>2009</v>
      </c>
      <c r="T164" s="1">
        <f>RIGHT(A164,2)*1</f>
        <v>7</v>
      </c>
      <c r="U164" s="2">
        <f>M164/K164</f>
        <v>0.39350225180635701</v>
      </c>
      <c r="V164" s="2">
        <f>N164/K164</f>
        <v>7.9712327389489801E-2</v>
      </c>
      <c r="W164" s="2">
        <f>P164/K164</f>
        <v>0.4848532112980245</v>
      </c>
      <c r="X164" s="2">
        <f>Q164/K164</f>
        <v>0.1174111312074394</v>
      </c>
      <c r="Y164" s="1">
        <f t="shared" si="8"/>
        <v>129068.644</v>
      </c>
      <c r="Z164" s="1">
        <f>_4_1_Synthese_toutes_energies_2026_04[[#This Row],[5, Emissions CO2]]/_4_1_Synthese_toutes_energies_2026_04[[#This Row],[4, Conso totale]]</f>
        <v>0.1174111312074394</v>
      </c>
    </row>
    <row r="165" spans="1:26" x14ac:dyDescent="0.2">
      <c r="A165" s="1" t="s">
        <v>184</v>
      </c>
      <c r="B165" s="1">
        <v>95266.205000000002</v>
      </c>
      <c r="C165" s="1" t="s">
        <v>17</v>
      </c>
      <c r="D165" s="1">
        <v>937.37800000000004</v>
      </c>
      <c r="E165" s="1">
        <v>676.11</v>
      </c>
      <c r="F165" s="1">
        <v>86803.48</v>
      </c>
      <c r="G165" s="1">
        <v>6849.2370000000001</v>
      </c>
      <c r="H165" s="1">
        <f t="shared" si="6"/>
        <v>93652.71699999999</v>
      </c>
      <c r="I165" s="1">
        <v>149930.29800000001</v>
      </c>
      <c r="J165" s="1">
        <v>29082.058000000001</v>
      </c>
      <c r="K165" s="1">
        <v>193584.96100000001</v>
      </c>
      <c r="L165" s="1">
        <v>7635.2259999999997</v>
      </c>
      <c r="M165" s="1">
        <v>77684.910999999993</v>
      </c>
      <c r="N165" s="1">
        <v>16562.456999999999</v>
      </c>
      <c r="O165" s="1">
        <f t="shared" si="7"/>
        <v>101882.59399999998</v>
      </c>
      <c r="P165" s="1">
        <v>91702.365999999995</v>
      </c>
      <c r="Q165" s="1">
        <v>23051.580999999998</v>
      </c>
      <c r="R165" s="1">
        <v>48.76</v>
      </c>
      <c r="S165" s="1">
        <f>LEFT(A165,4)*1</f>
        <v>2009</v>
      </c>
      <c r="T165" s="1">
        <f>RIGHT(A165,2)*1</f>
        <v>6</v>
      </c>
      <c r="U165" s="2">
        <f>M165/K165</f>
        <v>0.40129620916161968</v>
      </c>
      <c r="V165" s="2">
        <f>N165/K165</f>
        <v>8.5556527296559978E-2</v>
      </c>
      <c r="W165" s="2">
        <f>P165/K165</f>
        <v>0.47370604372516306</v>
      </c>
      <c r="X165" s="2">
        <f>Q165/K165</f>
        <v>0.1190773336984581</v>
      </c>
      <c r="Y165" s="1">
        <f t="shared" si="8"/>
        <v>120848.24</v>
      </c>
      <c r="Z165" s="1">
        <f>_4_1_Synthese_toutes_energies_2026_04[[#This Row],[5, Emissions CO2]]/_4_1_Synthese_toutes_energies_2026_04[[#This Row],[4, Conso totale]]</f>
        <v>0.1190773336984581</v>
      </c>
    </row>
    <row r="166" spans="1:26" x14ac:dyDescent="0.2">
      <c r="A166" s="1" t="s">
        <v>185</v>
      </c>
      <c r="B166" s="1">
        <v>105074.11</v>
      </c>
      <c r="C166" s="1">
        <v>9.42</v>
      </c>
      <c r="D166" s="1">
        <v>931.56299999999999</v>
      </c>
      <c r="E166" s="1">
        <v>745.96</v>
      </c>
      <c r="F166" s="1">
        <v>95638.402000000002</v>
      </c>
      <c r="G166" s="1">
        <v>7748.7650000000003</v>
      </c>
      <c r="H166" s="1">
        <f t="shared" si="6"/>
        <v>103387.167</v>
      </c>
      <c r="I166" s="1">
        <v>155784.05499999999</v>
      </c>
      <c r="J166" s="1">
        <v>24822.726999999999</v>
      </c>
      <c r="K166" s="1">
        <v>195367.21900000001</v>
      </c>
      <c r="L166" s="1">
        <v>6218.3149999999996</v>
      </c>
      <c r="M166" s="1">
        <v>70166.115999999995</v>
      </c>
      <c r="N166" s="1">
        <v>20136.437999999998</v>
      </c>
      <c r="O166" s="1">
        <f t="shared" si="7"/>
        <v>96520.868999999992</v>
      </c>
      <c r="P166" s="1">
        <v>98846.35</v>
      </c>
      <c r="Q166" s="1">
        <v>21514.344000000001</v>
      </c>
      <c r="R166" s="1">
        <v>48.826999999999998</v>
      </c>
      <c r="S166" s="1">
        <f>LEFT(A166,4)*1</f>
        <v>2009</v>
      </c>
      <c r="T166" s="1">
        <f>RIGHT(A166,2)*1</f>
        <v>5</v>
      </c>
      <c r="U166" s="2">
        <f>M166/K166</f>
        <v>0.35914989402597775</v>
      </c>
      <c r="V166" s="2">
        <f>N166/K166</f>
        <v>0.10306968642472204</v>
      </c>
      <c r="W166" s="2">
        <f>P166/K166</f>
        <v>0.50595156396222229</v>
      </c>
      <c r="X166" s="2">
        <f>Q166/K166</f>
        <v>0.11012258919445436</v>
      </c>
      <c r="Y166" s="1">
        <f t="shared" si="8"/>
        <v>130961.32799999999</v>
      </c>
      <c r="Z166" s="1">
        <f>_4_1_Synthese_toutes_energies_2026_04[[#This Row],[5, Emissions CO2]]/_4_1_Synthese_toutes_energies_2026_04[[#This Row],[4, Conso totale]]</f>
        <v>0.11012258919445436</v>
      </c>
    </row>
    <row r="167" spans="1:26" x14ac:dyDescent="0.2">
      <c r="A167" s="1" t="s">
        <v>186</v>
      </c>
      <c r="B167" s="1">
        <v>107399.69100000001</v>
      </c>
      <c r="C167" s="1">
        <v>9.42</v>
      </c>
      <c r="D167" s="1">
        <v>908.303</v>
      </c>
      <c r="E167" s="1">
        <v>729.84100000000001</v>
      </c>
      <c r="F167" s="1">
        <v>98544.985000000001</v>
      </c>
      <c r="G167" s="1">
        <v>7207.1419999999998</v>
      </c>
      <c r="H167" s="1">
        <f t="shared" si="6"/>
        <v>105752.12700000001</v>
      </c>
      <c r="I167" s="1">
        <v>152123.92000000001</v>
      </c>
      <c r="J167" s="1">
        <v>21355.169000000002</v>
      </c>
      <c r="K167" s="1">
        <v>215461.29800000001</v>
      </c>
      <c r="L167" s="1">
        <v>6983.451</v>
      </c>
      <c r="M167" s="1">
        <v>76852.900999999998</v>
      </c>
      <c r="N167" s="1">
        <v>28656.32</v>
      </c>
      <c r="O167" s="1">
        <f t="shared" si="7"/>
        <v>112492.67199999999</v>
      </c>
      <c r="P167" s="1">
        <v>102968.626</v>
      </c>
      <c r="Q167" s="1">
        <v>25555.638999999999</v>
      </c>
      <c r="R167" s="1">
        <v>48.77</v>
      </c>
      <c r="S167" s="1">
        <f>LEFT(A167,4)*1</f>
        <v>2009</v>
      </c>
      <c r="T167" s="1">
        <f>RIGHT(A167,2)*1</f>
        <v>4</v>
      </c>
      <c r="U167" s="2">
        <f>M167/K167</f>
        <v>0.3566900492727933</v>
      </c>
      <c r="V167" s="2">
        <f>N167/K167</f>
        <v>0.13299984853892413</v>
      </c>
      <c r="W167" s="2">
        <f>P167/K167</f>
        <v>0.47789847622657505</v>
      </c>
      <c r="X167" s="2">
        <f>Q167/K167</f>
        <v>0.11860895314944217</v>
      </c>
      <c r="Y167" s="1">
        <f t="shared" si="8"/>
        <v>130768.75100000002</v>
      </c>
      <c r="Z167" s="1">
        <f>_4_1_Synthese_toutes_energies_2026_04[[#This Row],[5, Emissions CO2]]/_4_1_Synthese_toutes_energies_2026_04[[#This Row],[4, Conso totale]]</f>
        <v>0.11860895314944217</v>
      </c>
    </row>
    <row r="168" spans="1:26" x14ac:dyDescent="0.2">
      <c r="A168" s="1" t="s">
        <v>187</v>
      </c>
      <c r="B168" s="1">
        <v>123165.126</v>
      </c>
      <c r="C168" s="1">
        <v>65.941999999999993</v>
      </c>
      <c r="D168" s="1">
        <v>942.03</v>
      </c>
      <c r="E168" s="1">
        <v>753.12400000000002</v>
      </c>
      <c r="F168" s="1">
        <v>114347.825</v>
      </c>
      <c r="G168" s="1">
        <v>7056.2049999999999</v>
      </c>
      <c r="H168" s="1">
        <f t="shared" si="6"/>
        <v>121404.03</v>
      </c>
      <c r="I168" s="1">
        <v>177049.666</v>
      </c>
      <c r="J168" s="1">
        <v>29519.687999999998</v>
      </c>
      <c r="K168" s="1">
        <v>260434.83600000001</v>
      </c>
      <c r="L168" s="1">
        <v>10254.594999999999</v>
      </c>
      <c r="M168" s="1">
        <v>82383.430999999997</v>
      </c>
      <c r="N168" s="1">
        <v>50842.58</v>
      </c>
      <c r="O168" s="1">
        <f t="shared" si="7"/>
        <v>143480.606</v>
      </c>
      <c r="P168" s="1">
        <v>116954.23</v>
      </c>
      <c r="Q168" s="1">
        <v>32834.345000000001</v>
      </c>
      <c r="R168" s="1">
        <v>48.625</v>
      </c>
      <c r="S168" s="1">
        <f>LEFT(A168,4)*1</f>
        <v>2009</v>
      </c>
      <c r="T168" s="1">
        <f>RIGHT(A168,2)*1</f>
        <v>3</v>
      </c>
      <c r="U168" s="2">
        <f>M168/K168</f>
        <v>0.31633030459872885</v>
      </c>
      <c r="V168" s="2">
        <f>N168/K168</f>
        <v>0.19522188652212411</v>
      </c>
      <c r="W168" s="2">
        <f>P168/K168</f>
        <v>0.44907291127520282</v>
      </c>
      <c r="X168" s="2">
        <f>Q168/K168</f>
        <v>0.12607508851081659</v>
      </c>
      <c r="Y168" s="1">
        <f t="shared" si="8"/>
        <v>147529.978</v>
      </c>
      <c r="Z168" s="1">
        <f>_4_1_Synthese_toutes_energies_2026_04[[#This Row],[5, Emissions CO2]]/_4_1_Synthese_toutes_energies_2026_04[[#This Row],[4, Conso totale]]</f>
        <v>0.12607508851081659</v>
      </c>
    </row>
    <row r="169" spans="1:26" x14ac:dyDescent="0.2">
      <c r="A169" s="1" t="s">
        <v>188</v>
      </c>
      <c r="B169" s="1">
        <v>125383.217</v>
      </c>
      <c r="C169" s="1">
        <v>113.044</v>
      </c>
      <c r="D169" s="1">
        <v>910.62900000000002</v>
      </c>
      <c r="E169" s="1">
        <v>705.66200000000003</v>
      </c>
      <c r="F169" s="1">
        <v>117351.395</v>
      </c>
      <c r="G169" s="1">
        <v>6302.4880000000003</v>
      </c>
      <c r="H169" s="1">
        <f t="shared" si="6"/>
        <v>123653.883</v>
      </c>
      <c r="I169" s="1">
        <v>153078.99600000001</v>
      </c>
      <c r="J169" s="1">
        <v>31728.050999999999</v>
      </c>
      <c r="K169" s="1">
        <v>265880.58899999998</v>
      </c>
      <c r="L169" s="1">
        <v>12163.392</v>
      </c>
      <c r="M169" s="1">
        <v>75479.282000000007</v>
      </c>
      <c r="N169" s="1">
        <v>57912.631999999998</v>
      </c>
      <c r="O169" s="1">
        <f t="shared" si="7"/>
        <v>145555.30599999998</v>
      </c>
      <c r="P169" s="1">
        <v>120325.284</v>
      </c>
      <c r="Q169" s="1">
        <v>33591.976999999999</v>
      </c>
      <c r="R169" s="1">
        <v>48.576999999999998</v>
      </c>
      <c r="S169" s="1">
        <f>LEFT(A169,4)*1</f>
        <v>2009</v>
      </c>
      <c r="T169" s="1">
        <f>RIGHT(A169,2)*1</f>
        <v>2</v>
      </c>
      <c r="U169" s="2">
        <f>M169/K169</f>
        <v>0.28388413868001477</v>
      </c>
      <c r="V169" s="2">
        <f>N169/K169</f>
        <v>0.21781444150479148</v>
      </c>
      <c r="W169" s="2">
        <f>P169/K169</f>
        <v>0.45255384927705278</v>
      </c>
      <c r="X169" s="2">
        <f>Q169/K169</f>
        <v>0.12634234460793978</v>
      </c>
      <c r="Y169" s="1">
        <f t="shared" si="8"/>
        <v>121350.94500000001</v>
      </c>
      <c r="Z169" s="1">
        <f>_4_1_Synthese_toutes_energies_2026_04[[#This Row],[5, Emissions CO2]]/_4_1_Synthese_toutes_energies_2026_04[[#This Row],[4, Conso totale]]</f>
        <v>0.12634234460793978</v>
      </c>
    </row>
    <row r="170" spans="1:26" x14ac:dyDescent="0.2">
      <c r="A170" s="1" t="s">
        <v>189</v>
      </c>
      <c r="B170" s="1">
        <v>145275.48699999999</v>
      </c>
      <c r="C170" s="1">
        <v>113.044</v>
      </c>
      <c r="D170" s="1">
        <v>883.88</v>
      </c>
      <c r="E170" s="1">
        <v>922.375</v>
      </c>
      <c r="F170" s="1">
        <v>136557.878</v>
      </c>
      <c r="G170" s="1">
        <v>6798.31</v>
      </c>
      <c r="H170" s="1">
        <f t="shared" si="6"/>
        <v>143356.18799999999</v>
      </c>
      <c r="I170" s="1">
        <v>162500.709</v>
      </c>
      <c r="J170" s="1">
        <v>29367.324000000001</v>
      </c>
      <c r="K170" s="1">
        <v>312495.16600000003</v>
      </c>
      <c r="L170" s="1">
        <v>12173.206</v>
      </c>
      <c r="M170" s="1">
        <v>87886.747000000003</v>
      </c>
      <c r="N170" s="1">
        <v>71797.513999999996</v>
      </c>
      <c r="O170" s="1">
        <f t="shared" si="7"/>
        <v>171857.467</v>
      </c>
      <c r="P170" s="1">
        <v>140637.698</v>
      </c>
      <c r="Q170" s="1">
        <v>39654.339999999997</v>
      </c>
      <c r="R170" s="1">
        <v>48.66</v>
      </c>
      <c r="S170" s="1">
        <f>LEFT(A170,4)*1</f>
        <v>2009</v>
      </c>
      <c r="T170" s="1">
        <f>RIGHT(A170,2)*1</f>
        <v>1</v>
      </c>
      <c r="U170" s="2">
        <f>M170/K170</f>
        <v>0.28124194087533499</v>
      </c>
      <c r="V170" s="2">
        <f>N170/K170</f>
        <v>0.22975559884340735</v>
      </c>
      <c r="W170" s="2">
        <f>P170/K170</f>
        <v>0.45004759529624211</v>
      </c>
      <c r="X170" s="2">
        <f>Q170/K170</f>
        <v>0.12689585092653879</v>
      </c>
      <c r="Y170" s="1">
        <f t="shared" si="8"/>
        <v>133133.38500000001</v>
      </c>
      <c r="Z170" s="1">
        <f>_4_1_Synthese_toutes_energies_2026_04[[#This Row],[5, Emissions CO2]]/_4_1_Synthese_toutes_energies_2026_04[[#This Row],[4, Conso totale]]</f>
        <v>0.12689585092653879</v>
      </c>
    </row>
    <row r="171" spans="1:26" x14ac:dyDescent="0.2">
      <c r="A171" s="1" t="s">
        <v>190</v>
      </c>
      <c r="B171" s="1">
        <v>139345.24</v>
      </c>
      <c r="C171" s="1">
        <v>75.361999999999995</v>
      </c>
      <c r="D171" s="1">
        <v>967.61599999999999</v>
      </c>
      <c r="E171" s="1">
        <v>833.72</v>
      </c>
      <c r="F171" s="1">
        <v>131144.783</v>
      </c>
      <c r="G171" s="1">
        <v>6323.7579999999998</v>
      </c>
      <c r="H171" s="1">
        <f t="shared" si="6"/>
        <v>137468.541</v>
      </c>
      <c r="I171" s="1">
        <v>170748.83499999999</v>
      </c>
      <c r="J171" s="1">
        <v>36118.953000000001</v>
      </c>
      <c r="K171" s="1">
        <v>294932.80699999997</v>
      </c>
      <c r="L171" s="1">
        <v>10297.734</v>
      </c>
      <c r="M171" s="1">
        <v>86278.317999999999</v>
      </c>
      <c r="N171" s="1">
        <v>63756.73</v>
      </c>
      <c r="O171" s="1">
        <f t="shared" si="7"/>
        <v>160332.78200000001</v>
      </c>
      <c r="P171" s="1">
        <v>134600.02499999999</v>
      </c>
      <c r="Q171" s="1">
        <v>37080.360999999997</v>
      </c>
      <c r="R171" s="1">
        <v>48.722000000000001</v>
      </c>
      <c r="S171" s="1">
        <f>LEFT(A171,4)*1</f>
        <v>2008</v>
      </c>
      <c r="T171" s="1">
        <f>RIGHT(A171,2)*1</f>
        <v>12</v>
      </c>
      <c r="U171" s="2">
        <f>M171/K171</f>
        <v>0.29253550623142444</v>
      </c>
      <c r="V171" s="2">
        <f>N171/K171</f>
        <v>0.21617374699180214</v>
      </c>
      <c r="W171" s="2">
        <f>P171/K171</f>
        <v>0.45637522108552681</v>
      </c>
      <c r="X171" s="2">
        <f>Q171/K171</f>
        <v>0.12572477567746473</v>
      </c>
      <c r="Y171" s="1">
        <f t="shared" si="8"/>
        <v>134629.88199999998</v>
      </c>
      <c r="Z171" s="1">
        <f>_4_1_Synthese_toutes_energies_2026_04[[#This Row],[5, Emissions CO2]]/_4_1_Synthese_toutes_energies_2026_04[[#This Row],[4, Conso totale]]</f>
        <v>0.12572477567746473</v>
      </c>
    </row>
    <row r="172" spans="1:26" x14ac:dyDescent="0.2">
      <c r="A172" s="1" t="s">
        <v>191</v>
      </c>
      <c r="B172" s="1">
        <v>122339.443</v>
      </c>
      <c r="C172" s="1">
        <v>131.88399999999999</v>
      </c>
      <c r="D172" s="1">
        <v>903.65099999999995</v>
      </c>
      <c r="E172" s="1">
        <v>756.70600000000002</v>
      </c>
      <c r="F172" s="1">
        <v>114784.26700000001</v>
      </c>
      <c r="G172" s="1">
        <v>5762.9350000000004</v>
      </c>
      <c r="H172" s="1">
        <f t="shared" si="6"/>
        <v>120547.202</v>
      </c>
      <c r="I172" s="1">
        <v>169610.598</v>
      </c>
      <c r="J172" s="1">
        <v>34033.68</v>
      </c>
      <c r="K172" s="1">
        <v>252209.068</v>
      </c>
      <c r="L172" s="1">
        <v>9875.4130000000005</v>
      </c>
      <c r="M172" s="1">
        <v>73674.887000000002</v>
      </c>
      <c r="N172" s="1">
        <v>51540.182999999997</v>
      </c>
      <c r="O172" s="1">
        <f t="shared" si="7"/>
        <v>135090.48300000001</v>
      </c>
      <c r="P172" s="1">
        <v>117118.58500000001</v>
      </c>
      <c r="Q172" s="1">
        <v>30504.717000000001</v>
      </c>
      <c r="R172" s="1">
        <v>48.56</v>
      </c>
      <c r="S172" s="1">
        <f>LEFT(A172,4)*1</f>
        <v>2008</v>
      </c>
      <c r="T172" s="1">
        <f>RIGHT(A172,2)*1</f>
        <v>11</v>
      </c>
      <c r="U172" s="2">
        <f>M172/K172</f>
        <v>0.29211831114652864</v>
      </c>
      <c r="V172" s="2">
        <f>N172/K172</f>
        <v>0.20435499567366863</v>
      </c>
      <c r="W172" s="2">
        <f>P172/K172</f>
        <v>0.46437103125887608</v>
      </c>
      <c r="X172" s="2">
        <f>Q172/K172</f>
        <v>0.12095011984263786</v>
      </c>
      <c r="Y172" s="1">
        <f t="shared" si="8"/>
        <v>135576.91800000001</v>
      </c>
      <c r="Z172" s="1">
        <f>_4_1_Synthese_toutes_energies_2026_04[[#This Row],[5, Emissions CO2]]/_4_1_Synthese_toutes_energies_2026_04[[#This Row],[4, Conso totale]]</f>
        <v>0.12095011984263786</v>
      </c>
    </row>
    <row r="173" spans="1:26" x14ac:dyDescent="0.2">
      <c r="A173" s="1" t="s">
        <v>192</v>
      </c>
      <c r="B173" s="1">
        <v>113899.266</v>
      </c>
      <c r="C173" s="1">
        <v>178.98599999999999</v>
      </c>
      <c r="D173" s="1">
        <v>952.49699999999996</v>
      </c>
      <c r="E173" s="1">
        <v>424.47199999999998</v>
      </c>
      <c r="F173" s="1">
        <v>108061.84699999999</v>
      </c>
      <c r="G173" s="1">
        <v>4281.4650000000001</v>
      </c>
      <c r="H173" s="1">
        <f t="shared" si="6"/>
        <v>112343.31199999999</v>
      </c>
      <c r="I173" s="1">
        <v>177119.435</v>
      </c>
      <c r="J173" s="1">
        <v>33612.525999999998</v>
      </c>
      <c r="K173" s="1">
        <v>247082.31299999999</v>
      </c>
      <c r="L173" s="1">
        <v>14364.838</v>
      </c>
      <c r="M173" s="1">
        <v>84928.074999999997</v>
      </c>
      <c r="N173" s="1">
        <v>36926.355000000003</v>
      </c>
      <c r="O173" s="1">
        <f t="shared" si="7"/>
        <v>136219.26800000001</v>
      </c>
      <c r="P173" s="1">
        <v>110863.045</v>
      </c>
      <c r="Q173" s="1">
        <v>31905.919999999998</v>
      </c>
      <c r="R173" s="1">
        <v>48.094000000000001</v>
      </c>
      <c r="S173" s="1">
        <f>LEFT(A173,4)*1</f>
        <v>2008</v>
      </c>
      <c r="T173" s="1">
        <f>RIGHT(A173,2)*1</f>
        <v>10</v>
      </c>
      <c r="U173" s="2">
        <f>M173/K173</f>
        <v>0.34372381401496754</v>
      </c>
      <c r="V173" s="2">
        <f>N173/K173</f>
        <v>0.14944960872209417</v>
      </c>
      <c r="W173" s="2">
        <f>P173/K173</f>
        <v>0.44868871289868489</v>
      </c>
      <c r="X173" s="2">
        <f>Q173/K173</f>
        <v>0.12913073223496979</v>
      </c>
      <c r="Y173" s="1">
        <f t="shared" si="8"/>
        <v>143506.90899999999</v>
      </c>
      <c r="Z173" s="1">
        <f>_4_1_Synthese_toutes_energies_2026_04[[#This Row],[5, Emissions CO2]]/_4_1_Synthese_toutes_energies_2026_04[[#This Row],[4, Conso totale]]</f>
        <v>0.12913073223496979</v>
      </c>
    </row>
    <row r="174" spans="1:26" x14ac:dyDescent="0.2">
      <c r="A174" s="1" t="s">
        <v>193</v>
      </c>
      <c r="B174" s="1">
        <v>106530.132</v>
      </c>
      <c r="C174" s="1">
        <v>141.30500000000001</v>
      </c>
      <c r="D174" s="1">
        <v>930.4</v>
      </c>
      <c r="E174" s="1">
        <v>488.053</v>
      </c>
      <c r="F174" s="1">
        <v>99626.997000000003</v>
      </c>
      <c r="G174" s="1">
        <v>5343.3770000000004</v>
      </c>
      <c r="H174" s="1">
        <f t="shared" si="6"/>
        <v>104970.37400000001</v>
      </c>
      <c r="I174" s="1">
        <v>159935.72899999999</v>
      </c>
      <c r="J174" s="1">
        <v>36077.811000000002</v>
      </c>
      <c r="K174" s="1">
        <v>220005.916</v>
      </c>
      <c r="L174" s="1">
        <v>12053.462</v>
      </c>
      <c r="M174" s="1">
        <v>85406.067999999999</v>
      </c>
      <c r="N174" s="1">
        <v>21265.675999999999</v>
      </c>
      <c r="O174" s="1">
        <f t="shared" si="7"/>
        <v>118725.20600000001</v>
      </c>
      <c r="P174" s="1">
        <v>101280.71</v>
      </c>
      <c r="Q174" s="1">
        <v>27442.848999999998</v>
      </c>
      <c r="R174" s="1">
        <v>48.2</v>
      </c>
      <c r="S174" s="1">
        <f>LEFT(A174,4)*1</f>
        <v>2008</v>
      </c>
      <c r="T174" s="1">
        <f>RIGHT(A174,2)*1</f>
        <v>9</v>
      </c>
      <c r="U174" s="2">
        <f>M174/K174</f>
        <v>0.38819896097703116</v>
      </c>
      <c r="V174" s="2">
        <f>N174/K174</f>
        <v>9.6659564372805318E-2</v>
      </c>
      <c r="W174" s="2">
        <f>P174/K174</f>
        <v>0.46035448428577713</v>
      </c>
      <c r="X174" s="2">
        <f>Q174/K174</f>
        <v>0.12473686843948323</v>
      </c>
      <c r="Y174" s="1">
        <f t="shared" si="8"/>
        <v>123857.91799999999</v>
      </c>
      <c r="Z174" s="1">
        <f>_4_1_Synthese_toutes_energies_2026_04[[#This Row],[5, Emissions CO2]]/_4_1_Synthese_toutes_energies_2026_04[[#This Row],[4, Conso totale]]</f>
        <v>0.12473686843948323</v>
      </c>
    </row>
    <row r="175" spans="1:26" x14ac:dyDescent="0.2">
      <c r="A175" s="1" t="s">
        <v>194</v>
      </c>
      <c r="B175" s="1">
        <v>109018.698</v>
      </c>
      <c r="C175" s="1">
        <v>37.680999999999997</v>
      </c>
      <c r="D175" s="1">
        <v>1001.343</v>
      </c>
      <c r="E175" s="1">
        <v>782.67600000000004</v>
      </c>
      <c r="F175" s="1">
        <v>102460.84</v>
      </c>
      <c r="G175" s="1">
        <v>4736.1580000000004</v>
      </c>
      <c r="H175" s="1">
        <f t="shared" si="6"/>
        <v>107196.99799999999</v>
      </c>
      <c r="I175" s="1">
        <v>149684.80900000001</v>
      </c>
      <c r="J175" s="1">
        <v>30414.856</v>
      </c>
      <c r="K175" s="1">
        <v>201518.08199999999</v>
      </c>
      <c r="L175" s="1">
        <v>9314.5300000000007</v>
      </c>
      <c r="M175" s="1">
        <v>75472.884999999995</v>
      </c>
      <c r="N175" s="1">
        <v>14718.602000000001</v>
      </c>
      <c r="O175" s="1">
        <f t="shared" si="7"/>
        <v>99506.016999999993</v>
      </c>
      <c r="P175" s="1">
        <v>102012.065</v>
      </c>
      <c r="Q175" s="1">
        <v>22724.48</v>
      </c>
      <c r="R175" s="1">
        <v>48.423999999999999</v>
      </c>
      <c r="S175" s="1">
        <f>LEFT(A175,4)*1</f>
        <v>2008</v>
      </c>
      <c r="T175" s="1">
        <f>RIGHT(A175,2)*1</f>
        <v>8</v>
      </c>
      <c r="U175" s="2">
        <f>M175/K175</f>
        <v>0.3745216521066333</v>
      </c>
      <c r="V175" s="2">
        <f>N175/K175</f>
        <v>7.3038616951505125E-2</v>
      </c>
      <c r="W175" s="2">
        <f>P175/K175</f>
        <v>0.50621792341195471</v>
      </c>
      <c r="X175" s="2">
        <f>Q175/K175</f>
        <v>0.11276645636196557</v>
      </c>
      <c r="Y175" s="1">
        <f t="shared" si="8"/>
        <v>119269.95300000001</v>
      </c>
      <c r="Z175" s="1">
        <f>_4_1_Synthese_toutes_energies_2026_04[[#This Row],[5, Emissions CO2]]/_4_1_Synthese_toutes_energies_2026_04[[#This Row],[4, Conso totale]]</f>
        <v>0.11276645636196557</v>
      </c>
    </row>
    <row r="176" spans="1:26" x14ac:dyDescent="0.2">
      <c r="A176" s="1" t="s">
        <v>195</v>
      </c>
      <c r="B176" s="1">
        <v>110216.52899999999</v>
      </c>
      <c r="C176" s="1">
        <v>89.492999999999995</v>
      </c>
      <c r="D176" s="1">
        <v>1031.5809999999999</v>
      </c>
      <c r="E176" s="1">
        <v>803.27200000000005</v>
      </c>
      <c r="F176" s="1">
        <v>101837.054</v>
      </c>
      <c r="G176" s="1">
        <v>6455.1289999999999</v>
      </c>
      <c r="H176" s="1">
        <f t="shared" si="6"/>
        <v>108292.183</v>
      </c>
      <c r="I176" s="1">
        <v>177267.27799999999</v>
      </c>
      <c r="J176" s="1">
        <v>35383.523000000001</v>
      </c>
      <c r="K176" s="1">
        <v>218190.45300000001</v>
      </c>
      <c r="L176" s="1">
        <v>11308.655000000001</v>
      </c>
      <c r="M176" s="1">
        <v>85257.203999999998</v>
      </c>
      <c r="N176" s="1">
        <v>18115.272000000001</v>
      </c>
      <c r="O176" s="1">
        <f t="shared" si="7"/>
        <v>114681.13099999999</v>
      </c>
      <c r="P176" s="1">
        <v>103509.322</v>
      </c>
      <c r="Q176" s="1">
        <v>26061.08</v>
      </c>
      <c r="R176" s="1">
        <v>48.392000000000003</v>
      </c>
      <c r="S176" s="1">
        <f>LEFT(A176,4)*1</f>
        <v>2008</v>
      </c>
      <c r="T176" s="1">
        <f>RIGHT(A176,2)*1</f>
        <v>7</v>
      </c>
      <c r="U176" s="2">
        <f>M176/K176</f>
        <v>0.39074672071009448</v>
      </c>
      <c r="V176" s="2">
        <f>N176/K176</f>
        <v>8.3025044180095264E-2</v>
      </c>
      <c r="W176" s="2">
        <f>P176/K176</f>
        <v>0.47439895090185269</v>
      </c>
      <c r="X176" s="2">
        <f>Q176/K176</f>
        <v>0.11944188960458321</v>
      </c>
      <c r="Y176" s="1">
        <f t="shared" si="8"/>
        <v>141883.755</v>
      </c>
      <c r="Z176" s="1">
        <f>_4_1_Synthese_toutes_energies_2026_04[[#This Row],[5, Emissions CO2]]/_4_1_Synthese_toutes_energies_2026_04[[#This Row],[4, Conso totale]]</f>
        <v>0.11944188960458321</v>
      </c>
    </row>
    <row r="177" spans="1:26" x14ac:dyDescent="0.2">
      <c r="A177" s="1" t="s">
        <v>196</v>
      </c>
      <c r="B177" s="1">
        <v>102064.89599999999</v>
      </c>
      <c r="C177" s="1">
        <v>113.044</v>
      </c>
      <c r="D177" s="1">
        <v>994.36500000000001</v>
      </c>
      <c r="E177" s="1">
        <v>771.03399999999999</v>
      </c>
      <c r="F177" s="1">
        <v>91410.369000000006</v>
      </c>
      <c r="G177" s="1">
        <v>8776.0840000000007</v>
      </c>
      <c r="H177" s="1">
        <f t="shared" si="6"/>
        <v>100186.45300000001</v>
      </c>
      <c r="I177" s="1">
        <v>155695.54199999999</v>
      </c>
      <c r="J177" s="1">
        <v>31844.345000000001</v>
      </c>
      <c r="K177" s="1">
        <v>203578.144</v>
      </c>
      <c r="L177" s="1">
        <v>11832.992</v>
      </c>
      <c r="M177" s="1">
        <v>78179.186000000002</v>
      </c>
      <c r="N177" s="1">
        <v>18559.445</v>
      </c>
      <c r="O177" s="1">
        <f t="shared" si="7"/>
        <v>108571.62299999999</v>
      </c>
      <c r="P177" s="1">
        <v>95006.520999999993</v>
      </c>
      <c r="Q177" s="1">
        <v>24525.351999999999</v>
      </c>
      <c r="R177" s="1">
        <v>48.445999999999998</v>
      </c>
      <c r="S177" s="1">
        <f>LEFT(A177,4)*1</f>
        <v>2008</v>
      </c>
      <c r="T177" s="1">
        <f>RIGHT(A177,2)*1</f>
        <v>6</v>
      </c>
      <c r="U177" s="2">
        <f>M177/K177</f>
        <v>0.3840254384085553</v>
      </c>
      <c r="V177" s="2">
        <f>N177/K177</f>
        <v>9.1166196111896955E-2</v>
      </c>
      <c r="W177" s="2">
        <f>P177/K177</f>
        <v>0.46668330466751867</v>
      </c>
      <c r="X177" s="2">
        <f>Q177/K177</f>
        <v>0.12047143921304243</v>
      </c>
      <c r="Y177" s="1">
        <f t="shared" si="8"/>
        <v>123851.19699999999</v>
      </c>
      <c r="Z177" s="1">
        <f>_4_1_Synthese_toutes_energies_2026_04[[#This Row],[5, Emissions CO2]]/_4_1_Synthese_toutes_energies_2026_04[[#This Row],[4, Conso totale]]</f>
        <v>0.12047143921304243</v>
      </c>
    </row>
    <row r="178" spans="1:26" x14ac:dyDescent="0.2">
      <c r="A178" s="1" t="s">
        <v>197</v>
      </c>
      <c r="B178" s="1">
        <v>111452.784</v>
      </c>
      <c r="C178" s="1">
        <v>4.71</v>
      </c>
      <c r="D178" s="1">
        <v>988.55</v>
      </c>
      <c r="E178" s="1">
        <v>816.70500000000004</v>
      </c>
      <c r="F178" s="1">
        <v>102006.213</v>
      </c>
      <c r="G178" s="1">
        <v>7636.6059999999998</v>
      </c>
      <c r="H178" s="1">
        <f t="shared" si="6"/>
        <v>109642.819</v>
      </c>
      <c r="I178" s="1">
        <v>165612.09299999999</v>
      </c>
      <c r="J178" s="1">
        <v>36211.839999999997</v>
      </c>
      <c r="K178" s="1">
        <v>211847.856</v>
      </c>
      <c r="L178" s="1">
        <v>9902.7279999999992</v>
      </c>
      <c r="M178" s="1">
        <v>77957.053</v>
      </c>
      <c r="N178" s="1">
        <v>20163.303</v>
      </c>
      <c r="O178" s="1">
        <f t="shared" si="7"/>
        <v>108023.084</v>
      </c>
      <c r="P178" s="1">
        <v>103824.772</v>
      </c>
      <c r="Q178" s="1">
        <v>24301.884999999998</v>
      </c>
      <c r="R178" s="1">
        <v>48.591999999999999</v>
      </c>
      <c r="S178" s="1">
        <f>LEFT(A178,4)*1</f>
        <v>2008</v>
      </c>
      <c r="T178" s="1">
        <f>RIGHT(A178,2)*1</f>
        <v>5</v>
      </c>
      <c r="U178" s="2">
        <f>M178/K178</f>
        <v>0.3679860371114636</v>
      </c>
      <c r="V178" s="2">
        <f>N178/K178</f>
        <v>9.5178225452515322E-2</v>
      </c>
      <c r="W178" s="2">
        <f>P178/K178</f>
        <v>0.49009120960846542</v>
      </c>
      <c r="X178" s="2">
        <f>Q178/K178</f>
        <v>0.11471385860992617</v>
      </c>
      <c r="Y178" s="1">
        <f t="shared" si="8"/>
        <v>129400.253</v>
      </c>
      <c r="Z178" s="1">
        <f>_4_1_Synthese_toutes_energies_2026_04[[#This Row],[5, Emissions CO2]]/_4_1_Synthese_toutes_energies_2026_04[[#This Row],[4, Conso totale]]</f>
        <v>0.11471385860992617</v>
      </c>
    </row>
    <row r="179" spans="1:26" x14ac:dyDescent="0.2">
      <c r="A179" s="1" t="s">
        <v>198</v>
      </c>
      <c r="B179" s="1">
        <v>118529.398</v>
      </c>
      <c r="C179" s="1">
        <v>75.361999999999995</v>
      </c>
      <c r="D179" s="1">
        <v>983.89800000000002</v>
      </c>
      <c r="E179" s="1">
        <v>809.54100000000005</v>
      </c>
      <c r="F179" s="1">
        <v>109092.33500000001</v>
      </c>
      <c r="G179" s="1">
        <v>7568.2610000000004</v>
      </c>
      <c r="H179" s="1">
        <f t="shared" si="6"/>
        <v>116660.59600000001</v>
      </c>
      <c r="I179" s="1">
        <v>160390.997</v>
      </c>
      <c r="J179" s="1">
        <v>29349.510999999999</v>
      </c>
      <c r="K179" s="1">
        <v>246976.39</v>
      </c>
      <c r="L179" s="1">
        <v>14159.634</v>
      </c>
      <c r="M179" s="1">
        <v>81391.392000000007</v>
      </c>
      <c r="N179" s="1">
        <v>38562.451999999997</v>
      </c>
      <c r="O179" s="1">
        <f t="shared" si="7"/>
        <v>134113.478</v>
      </c>
      <c r="P179" s="1">
        <v>112862.913</v>
      </c>
      <c r="Q179" s="1">
        <v>30658.831999999999</v>
      </c>
      <c r="R179" s="1">
        <v>48.558</v>
      </c>
      <c r="S179" s="1">
        <f>LEFT(A179,4)*1</f>
        <v>2008</v>
      </c>
      <c r="T179" s="1">
        <f>RIGHT(A179,2)*1</f>
        <v>4</v>
      </c>
      <c r="U179" s="2">
        <f>M179/K179</f>
        <v>0.32955130650342734</v>
      </c>
      <c r="V179" s="2">
        <f>N179/K179</f>
        <v>0.15613821223963956</v>
      </c>
      <c r="W179" s="2">
        <f>P179/K179</f>
        <v>0.45697855167451429</v>
      </c>
      <c r="X179" s="2">
        <f>Q179/K179</f>
        <v>0.12413669177041578</v>
      </c>
      <c r="Y179" s="1">
        <f t="shared" si="8"/>
        <v>131041.486</v>
      </c>
      <c r="Z179" s="1">
        <f>_4_1_Synthese_toutes_energies_2026_04[[#This Row],[5, Emissions CO2]]/_4_1_Synthese_toutes_energies_2026_04[[#This Row],[4, Conso totale]]</f>
        <v>0.12413669177041578</v>
      </c>
    </row>
    <row r="180" spans="1:26" x14ac:dyDescent="0.2">
      <c r="A180" s="1" t="s">
        <v>199</v>
      </c>
      <c r="B180" s="1">
        <v>126649.189</v>
      </c>
      <c r="C180" s="1">
        <v>103.623</v>
      </c>
      <c r="D180" s="1">
        <v>1030.4179999999999</v>
      </c>
      <c r="E180" s="1">
        <v>863.27200000000005</v>
      </c>
      <c r="F180" s="1">
        <v>118281.86500000001</v>
      </c>
      <c r="G180" s="1">
        <v>6370.0110000000004</v>
      </c>
      <c r="H180" s="1">
        <f t="shared" si="6"/>
        <v>124651.876</v>
      </c>
      <c r="I180" s="1">
        <v>177978.81099999999</v>
      </c>
      <c r="J180" s="1">
        <v>31350.618999999999</v>
      </c>
      <c r="K180" s="1">
        <v>270502.46299999999</v>
      </c>
      <c r="L180" s="1">
        <v>12900.52</v>
      </c>
      <c r="M180" s="1">
        <v>80184.198000000004</v>
      </c>
      <c r="N180" s="1">
        <v>55840.421999999999</v>
      </c>
      <c r="O180" s="1">
        <f t="shared" si="7"/>
        <v>148925.14000000001</v>
      </c>
      <c r="P180" s="1">
        <v>121577.323</v>
      </c>
      <c r="Q180" s="1">
        <v>33584.684999999998</v>
      </c>
      <c r="R180" s="1">
        <v>48.677</v>
      </c>
      <c r="S180" s="1">
        <f>LEFT(A180,4)*1</f>
        <v>2008</v>
      </c>
      <c r="T180" s="1">
        <f>RIGHT(A180,2)*1</f>
        <v>3</v>
      </c>
      <c r="U180" s="2">
        <f>M180/K180</f>
        <v>0.2964268683941706</v>
      </c>
      <c r="V180" s="2">
        <f>N180/K180</f>
        <v>0.20643221278173723</v>
      </c>
      <c r="W180" s="2">
        <f>P180/K180</f>
        <v>0.4494499667457742</v>
      </c>
      <c r="X180" s="2">
        <f>Q180/K180</f>
        <v>0.12415666987845504</v>
      </c>
      <c r="Y180" s="1">
        <f t="shared" si="8"/>
        <v>146628.19199999998</v>
      </c>
      <c r="Z180" s="1">
        <f>_4_1_Synthese_toutes_energies_2026_04[[#This Row],[5, Emissions CO2]]/_4_1_Synthese_toutes_energies_2026_04[[#This Row],[4, Conso totale]]</f>
        <v>0.12415666987845504</v>
      </c>
    </row>
    <row r="181" spans="1:26" x14ac:dyDescent="0.2">
      <c r="A181" s="1" t="s">
        <v>200</v>
      </c>
      <c r="B181" s="1">
        <v>130114.745</v>
      </c>
      <c r="C181" s="1">
        <v>117.754</v>
      </c>
      <c r="D181" s="1">
        <v>946.68200000000002</v>
      </c>
      <c r="E181" s="1">
        <v>747.75099999999998</v>
      </c>
      <c r="F181" s="1">
        <v>123370.659</v>
      </c>
      <c r="G181" s="1">
        <v>4931.8990000000003</v>
      </c>
      <c r="H181" s="1">
        <f t="shared" si="6"/>
        <v>128302.558</v>
      </c>
      <c r="I181" s="1">
        <v>156832.25700000001</v>
      </c>
      <c r="J181" s="1">
        <v>32451.953000000001</v>
      </c>
      <c r="K181" s="1">
        <v>270565.27100000001</v>
      </c>
      <c r="L181" s="1">
        <v>12758.057000000001</v>
      </c>
      <c r="M181" s="1">
        <v>78381.547999999995</v>
      </c>
      <c r="N181" s="1">
        <v>55467.889000000003</v>
      </c>
      <c r="O181" s="1">
        <f t="shared" si="7"/>
        <v>146607.49400000001</v>
      </c>
      <c r="P181" s="1">
        <v>123957.776</v>
      </c>
      <c r="Q181" s="1">
        <v>33435.758999999998</v>
      </c>
      <c r="R181" s="1">
        <v>48.689</v>
      </c>
      <c r="S181" s="1">
        <f>LEFT(A181,4)*1</f>
        <v>2008</v>
      </c>
      <c r="T181" s="1">
        <f>RIGHT(A181,2)*1</f>
        <v>2</v>
      </c>
      <c r="U181" s="2">
        <f>M181/K181</f>
        <v>0.28969552415320882</v>
      </c>
      <c r="V181" s="2">
        <f>N181/K181</f>
        <v>0.20500742314411816</v>
      </c>
      <c r="W181" s="2">
        <f>P181/K181</f>
        <v>0.45814370610779531</v>
      </c>
      <c r="X181" s="2">
        <f>Q181/K181</f>
        <v>0.12357742320890842</v>
      </c>
      <c r="Y181" s="1">
        <f t="shared" si="8"/>
        <v>124380.304</v>
      </c>
      <c r="Z181" s="1">
        <f>_4_1_Synthese_toutes_energies_2026_04[[#This Row],[5, Emissions CO2]]/_4_1_Synthese_toutes_energies_2026_04[[#This Row],[4, Conso totale]]</f>
        <v>0.12357742320890842</v>
      </c>
    </row>
    <row r="182" spans="1:26" x14ac:dyDescent="0.2">
      <c r="A182" s="1" t="s">
        <v>201</v>
      </c>
      <c r="B182" s="1">
        <v>138764.04</v>
      </c>
      <c r="C182" s="1">
        <v>235.50800000000001</v>
      </c>
      <c r="D182" s="1">
        <v>1017.625</v>
      </c>
      <c r="E182" s="1">
        <v>840.88400000000001</v>
      </c>
      <c r="F182" s="1">
        <v>129923.352</v>
      </c>
      <c r="G182" s="1">
        <v>6746.6710000000003</v>
      </c>
      <c r="H182" s="1">
        <f t="shared" si="6"/>
        <v>136670.02299999999</v>
      </c>
      <c r="I182" s="1">
        <v>189172.50099999999</v>
      </c>
      <c r="J182" s="1">
        <v>34251.292000000001</v>
      </c>
      <c r="K182" s="1">
        <v>295414.52600000001</v>
      </c>
      <c r="L182" s="1">
        <v>14481.017</v>
      </c>
      <c r="M182" s="1">
        <v>87392.471999999994</v>
      </c>
      <c r="N182" s="1">
        <v>61210.794999999998</v>
      </c>
      <c r="O182" s="1">
        <f t="shared" si="7"/>
        <v>163084.28399999999</v>
      </c>
      <c r="P182" s="1">
        <v>132330.242</v>
      </c>
      <c r="Q182" s="1">
        <v>37410.811000000002</v>
      </c>
      <c r="R182" s="1">
        <v>48.704999999999998</v>
      </c>
      <c r="S182" s="1">
        <f>LEFT(A182,4)*1</f>
        <v>2008</v>
      </c>
      <c r="T182" s="1">
        <f>RIGHT(A182,2)*1</f>
        <v>1</v>
      </c>
      <c r="U182" s="2">
        <f>M182/K182</f>
        <v>0.29582997553749268</v>
      </c>
      <c r="V182" s="2">
        <f>N182/K182</f>
        <v>0.20720306421221818</v>
      </c>
      <c r="W182" s="2">
        <f>P182/K182</f>
        <v>0.4479476476386946</v>
      </c>
      <c r="X182" s="2">
        <f>Q182/K182</f>
        <v>0.12663835968580639</v>
      </c>
      <c r="Y182" s="1">
        <f t="shared" si="8"/>
        <v>154921.20899999997</v>
      </c>
      <c r="Z182" s="1">
        <f>_4_1_Synthese_toutes_energies_2026_04[[#This Row],[5, Emissions CO2]]/_4_1_Synthese_toutes_energies_2026_04[[#This Row],[4, Conso totale]]</f>
        <v>0.12663835968580639</v>
      </c>
    </row>
    <row r="183" spans="1:26" x14ac:dyDescent="0.2">
      <c r="A183" s="1" t="s">
        <v>202</v>
      </c>
      <c r="B183" s="1">
        <v>134399.027</v>
      </c>
      <c r="C183" s="1">
        <v>362.68200000000002</v>
      </c>
      <c r="D183" s="1">
        <v>1042.048</v>
      </c>
      <c r="E183" s="1">
        <v>805.06299999999999</v>
      </c>
      <c r="F183" s="1">
        <v>126925.84299999999</v>
      </c>
      <c r="G183" s="1">
        <v>5263.3909999999996</v>
      </c>
      <c r="H183" s="1">
        <f t="shared" si="6"/>
        <v>132189.234</v>
      </c>
      <c r="I183" s="1">
        <v>180983.31</v>
      </c>
      <c r="J183" s="1">
        <v>29169.438999999998</v>
      </c>
      <c r="K183" s="1">
        <v>294506.489</v>
      </c>
      <c r="L183" s="1">
        <v>15259.138000000001</v>
      </c>
      <c r="M183" s="1">
        <v>82471.819000000003</v>
      </c>
      <c r="N183" s="1">
        <v>66294.604999999996</v>
      </c>
      <c r="O183" s="1">
        <f t="shared" si="7"/>
        <v>164025.56200000001</v>
      </c>
      <c r="P183" s="1">
        <v>130480.927</v>
      </c>
      <c r="Q183" s="1">
        <v>37735.546000000002</v>
      </c>
      <c r="R183" s="1">
        <v>48.777999999999999</v>
      </c>
      <c r="S183" s="1">
        <f>LEFT(A183,4)*1</f>
        <v>2007</v>
      </c>
      <c r="T183" s="1">
        <f>RIGHT(A183,2)*1</f>
        <v>12</v>
      </c>
      <c r="U183" s="2">
        <f>M183/K183</f>
        <v>0.28003396217188276</v>
      </c>
      <c r="V183" s="2">
        <f>N183/K183</f>
        <v>0.22510405534731698</v>
      </c>
      <c r="W183" s="2">
        <f>P183/K183</f>
        <v>0.44304941274146253</v>
      </c>
      <c r="X183" s="2">
        <f>Q183/K183</f>
        <v>0.12813145859071379</v>
      </c>
      <c r="Y183" s="1">
        <f t="shared" si="8"/>
        <v>151813.87099999998</v>
      </c>
      <c r="Z183" s="1">
        <f>_4_1_Synthese_toutes_energies_2026_04[[#This Row],[5, Emissions CO2]]/_4_1_Synthese_toutes_energies_2026_04[[#This Row],[4, Conso totale]]</f>
        <v>0.12813145859071379</v>
      </c>
    </row>
    <row r="184" spans="1:26" x14ac:dyDescent="0.2">
      <c r="A184" s="1" t="s">
        <v>203</v>
      </c>
      <c r="B184" s="1">
        <v>119738.1</v>
      </c>
      <c r="C184" s="1">
        <v>141.30500000000001</v>
      </c>
      <c r="D184" s="1">
        <v>957.149</v>
      </c>
      <c r="E184" s="1">
        <v>728.94500000000005</v>
      </c>
      <c r="F184" s="1">
        <v>114099.296</v>
      </c>
      <c r="G184" s="1">
        <v>3811.4059999999999</v>
      </c>
      <c r="H184" s="1">
        <f t="shared" si="6"/>
        <v>117910.702</v>
      </c>
      <c r="I184" s="1">
        <v>175765.42</v>
      </c>
      <c r="J184" s="1">
        <v>26925.355</v>
      </c>
      <c r="K184" s="1">
        <v>275212.55499999999</v>
      </c>
      <c r="L184" s="1">
        <v>14306.816999999999</v>
      </c>
      <c r="M184" s="1">
        <v>87173.827999999994</v>
      </c>
      <c r="N184" s="1">
        <v>56458.322999999997</v>
      </c>
      <c r="O184" s="1">
        <f t="shared" si="7"/>
        <v>157938.96799999999</v>
      </c>
      <c r="P184" s="1">
        <v>117273.587</v>
      </c>
      <c r="Q184" s="1">
        <v>35919.968999999997</v>
      </c>
      <c r="R184" s="1">
        <v>48.993000000000002</v>
      </c>
      <c r="S184" s="1">
        <f>LEFT(A184,4)*1</f>
        <v>2007</v>
      </c>
      <c r="T184" s="1">
        <f>RIGHT(A184,2)*1</f>
        <v>11</v>
      </c>
      <c r="U184" s="2">
        <f>M184/K184</f>
        <v>0.31675091276268263</v>
      </c>
      <c r="V184" s="2">
        <f>N184/K184</f>
        <v>0.20514443100170338</v>
      </c>
      <c r="W184" s="2">
        <f>P184/K184</f>
        <v>0.4261200474665845</v>
      </c>
      <c r="X184" s="2">
        <f>Q184/K184</f>
        <v>0.13051718879612886</v>
      </c>
      <c r="Y184" s="1">
        <f t="shared" si="8"/>
        <v>148840.065</v>
      </c>
      <c r="Z184" s="1">
        <f>_4_1_Synthese_toutes_energies_2026_04[[#This Row],[5, Emissions CO2]]/_4_1_Synthese_toutes_energies_2026_04[[#This Row],[4, Conso totale]]</f>
        <v>0.13051718879612886</v>
      </c>
    </row>
    <row r="185" spans="1:26" x14ac:dyDescent="0.2">
      <c r="A185" s="1" t="s">
        <v>204</v>
      </c>
      <c r="B185" s="1">
        <v>123573.326</v>
      </c>
      <c r="C185" s="1">
        <v>103.623</v>
      </c>
      <c r="D185" s="1">
        <v>1024.6030000000001</v>
      </c>
      <c r="E185" s="1">
        <v>922.375</v>
      </c>
      <c r="F185" s="1">
        <v>117287.747</v>
      </c>
      <c r="G185" s="1">
        <v>4234.9769999999999</v>
      </c>
      <c r="H185" s="1">
        <f t="shared" si="6"/>
        <v>121522.724</v>
      </c>
      <c r="I185" s="1">
        <v>165332.14199999999</v>
      </c>
      <c r="J185" s="1">
        <v>28660.468000000001</v>
      </c>
      <c r="K185" s="1">
        <v>260656.75700000001</v>
      </c>
      <c r="L185" s="1">
        <v>12925.528</v>
      </c>
      <c r="M185" s="1">
        <v>92222.410999999993</v>
      </c>
      <c r="N185" s="1">
        <v>37933.803999999996</v>
      </c>
      <c r="O185" s="1">
        <f t="shared" si="7"/>
        <v>143081.74299999999</v>
      </c>
      <c r="P185" s="1">
        <v>117575.014</v>
      </c>
      <c r="Q185" s="1">
        <v>32655.129000000001</v>
      </c>
      <c r="R185" s="1">
        <v>49.503</v>
      </c>
      <c r="S185" s="1">
        <f>LEFT(A185,4)*1</f>
        <v>2007</v>
      </c>
      <c r="T185" s="1">
        <f>RIGHT(A185,2)*1</f>
        <v>10</v>
      </c>
      <c r="U185" s="2">
        <f>M185/K185</f>
        <v>0.35380786618165433</v>
      </c>
      <c r="V185" s="2">
        <f>N185/K185</f>
        <v>0.1455316349232412</v>
      </c>
      <c r="W185" s="2">
        <f>P185/K185</f>
        <v>0.45107218916254677</v>
      </c>
      <c r="X185" s="2">
        <f>Q185/K185</f>
        <v>0.12528019367631432</v>
      </c>
      <c r="Y185" s="1">
        <f t="shared" si="8"/>
        <v>136671.674</v>
      </c>
      <c r="Z185" s="1">
        <f>_4_1_Synthese_toutes_energies_2026_04[[#This Row],[5, Emissions CO2]]/_4_1_Synthese_toutes_energies_2026_04[[#This Row],[4, Conso totale]]</f>
        <v>0.12528019367631432</v>
      </c>
    </row>
    <row r="186" spans="1:26" x14ac:dyDescent="0.2">
      <c r="A186" s="1" t="s">
        <v>205</v>
      </c>
      <c r="B186" s="1">
        <v>112490.137</v>
      </c>
      <c r="C186" s="1">
        <v>113.044</v>
      </c>
      <c r="D186" s="1">
        <v>981.572</v>
      </c>
      <c r="E186" s="1">
        <v>878.495</v>
      </c>
      <c r="F186" s="1">
        <v>106219.091</v>
      </c>
      <c r="G186" s="1">
        <v>4297.9340000000002</v>
      </c>
      <c r="H186" s="1">
        <f t="shared" si="6"/>
        <v>110517.02499999999</v>
      </c>
      <c r="I186" s="1">
        <v>151879.36799999999</v>
      </c>
      <c r="J186" s="1">
        <v>30300.431</v>
      </c>
      <c r="K186" s="1">
        <v>218611.05100000001</v>
      </c>
      <c r="L186" s="1">
        <v>12385.498</v>
      </c>
      <c r="M186" s="1">
        <v>80089.994999999995</v>
      </c>
      <c r="N186" s="1">
        <v>20924.487000000001</v>
      </c>
      <c r="O186" s="1">
        <f t="shared" si="7"/>
        <v>113399.97999999998</v>
      </c>
      <c r="P186" s="1">
        <v>105211.071</v>
      </c>
      <c r="Q186" s="1">
        <v>25891.115000000002</v>
      </c>
      <c r="R186" s="1">
        <v>49.813000000000002</v>
      </c>
      <c r="S186" s="1">
        <f>LEFT(A186,4)*1</f>
        <v>2007</v>
      </c>
      <c r="T186" s="1">
        <f>RIGHT(A186,2)*1</f>
        <v>9</v>
      </c>
      <c r="U186" s="2">
        <f>M186/K186</f>
        <v>0.36635840060985753</v>
      </c>
      <c r="V186" s="2">
        <f>N186/K186</f>
        <v>9.5715595823195596E-2</v>
      </c>
      <c r="W186" s="2">
        <f>P186/K186</f>
        <v>0.48127059688304591</v>
      </c>
      <c r="X186" s="2">
        <f>Q186/K186</f>
        <v>0.11843461198125799</v>
      </c>
      <c r="Y186" s="1">
        <f t="shared" si="8"/>
        <v>121578.93699999999</v>
      </c>
      <c r="Z186" s="1">
        <f>_4_1_Synthese_toutes_energies_2026_04[[#This Row],[5, Emissions CO2]]/_4_1_Synthese_toutes_energies_2026_04[[#This Row],[4, Conso totale]]</f>
        <v>0.11843461198125799</v>
      </c>
    </row>
    <row r="187" spans="1:26" x14ac:dyDescent="0.2">
      <c r="A187" s="1" t="s">
        <v>206</v>
      </c>
      <c r="B187" s="1">
        <v>111732.963</v>
      </c>
      <c r="C187" s="1">
        <v>207.24700000000001</v>
      </c>
      <c r="D187" s="1">
        <v>1014.136</v>
      </c>
      <c r="E187" s="1">
        <v>904.46500000000003</v>
      </c>
      <c r="F187" s="1">
        <v>104203.57799999999</v>
      </c>
      <c r="G187" s="1">
        <v>5403.5370000000003</v>
      </c>
      <c r="H187" s="1">
        <f t="shared" si="6"/>
        <v>109607.11499999999</v>
      </c>
      <c r="I187" s="1">
        <v>162410.764</v>
      </c>
      <c r="J187" s="1">
        <v>32280.322</v>
      </c>
      <c r="K187" s="1">
        <v>209083.973</v>
      </c>
      <c r="L187" s="1">
        <v>10327.732</v>
      </c>
      <c r="M187" s="1">
        <v>81091.338000000003</v>
      </c>
      <c r="N187" s="1">
        <v>15126.058999999999</v>
      </c>
      <c r="O187" s="1">
        <f t="shared" si="7"/>
        <v>106545.129</v>
      </c>
      <c r="P187" s="1">
        <v>102538.84299999999</v>
      </c>
      <c r="Q187" s="1">
        <v>24383.823</v>
      </c>
      <c r="R187" s="1">
        <v>49.886000000000003</v>
      </c>
      <c r="S187" s="1">
        <f>LEFT(A187,4)*1</f>
        <v>2007</v>
      </c>
      <c r="T187" s="1">
        <f>RIGHT(A187,2)*1</f>
        <v>8</v>
      </c>
      <c r="U187" s="2">
        <f>M187/K187</f>
        <v>0.38784100395873006</v>
      </c>
      <c r="V187" s="2">
        <f>N187/K187</f>
        <v>7.2344421157522196E-2</v>
      </c>
      <c r="W187" s="2">
        <f>P187/K187</f>
        <v>0.49041943066578325</v>
      </c>
      <c r="X187" s="2">
        <f>Q187/K187</f>
        <v>0.11662215257407607</v>
      </c>
      <c r="Y187" s="1">
        <f t="shared" si="8"/>
        <v>130130.442</v>
      </c>
      <c r="Z187" s="1">
        <f>_4_1_Synthese_toutes_energies_2026_04[[#This Row],[5, Emissions CO2]]/_4_1_Synthese_toutes_energies_2026_04[[#This Row],[4, Conso totale]]</f>
        <v>0.11662215257407607</v>
      </c>
    </row>
    <row r="188" spans="1:26" x14ac:dyDescent="0.2">
      <c r="A188" s="1" t="s">
        <v>207</v>
      </c>
      <c r="B188" s="1">
        <v>110337.262</v>
      </c>
      <c r="C188" s="1">
        <v>183.696</v>
      </c>
      <c r="D188" s="1">
        <v>1022.277</v>
      </c>
      <c r="E188" s="1">
        <v>904.46500000000003</v>
      </c>
      <c r="F188" s="1">
        <v>101666.758</v>
      </c>
      <c r="G188" s="1">
        <v>6560.0659999999998</v>
      </c>
      <c r="H188" s="1">
        <f t="shared" si="6"/>
        <v>108226.82400000001</v>
      </c>
      <c r="I188" s="1">
        <v>163557.242</v>
      </c>
      <c r="J188" s="1">
        <v>33107.919000000002</v>
      </c>
      <c r="K188" s="1">
        <v>215134.853</v>
      </c>
      <c r="L188" s="1">
        <v>11865.772999999999</v>
      </c>
      <c r="M188" s="1">
        <v>82853.282999999996</v>
      </c>
      <c r="N188" s="1">
        <v>17929.006000000001</v>
      </c>
      <c r="O188" s="1">
        <f t="shared" si="7"/>
        <v>112648.06200000001</v>
      </c>
      <c r="P188" s="1">
        <v>102486.791</v>
      </c>
      <c r="Q188" s="1">
        <v>25546.862000000001</v>
      </c>
      <c r="R188" s="1">
        <v>49.911999999999999</v>
      </c>
      <c r="S188" s="1">
        <f>LEFT(A188,4)*1</f>
        <v>2007</v>
      </c>
      <c r="T188" s="1">
        <f>RIGHT(A188,2)*1</f>
        <v>7</v>
      </c>
      <c r="U188" s="2">
        <f>M188/K188</f>
        <v>0.38512254915757416</v>
      </c>
      <c r="V188" s="2">
        <f>N188/K188</f>
        <v>8.3338453765090317E-2</v>
      </c>
      <c r="W188" s="2">
        <f>P188/K188</f>
        <v>0.47638394974523257</v>
      </c>
      <c r="X188" s="2">
        <f>Q188/K188</f>
        <v>0.11874813236328564</v>
      </c>
      <c r="Y188" s="1">
        <f t="shared" si="8"/>
        <v>130449.323</v>
      </c>
      <c r="Z188" s="1">
        <f>_4_1_Synthese_toutes_energies_2026_04[[#This Row],[5, Emissions CO2]]/_4_1_Synthese_toutes_energies_2026_04[[#This Row],[4, Conso totale]]</f>
        <v>0.11874813236328564</v>
      </c>
    </row>
    <row r="189" spans="1:26" x14ac:dyDescent="0.2">
      <c r="A189" s="1" t="s">
        <v>208</v>
      </c>
      <c r="B189" s="1">
        <v>108273.86</v>
      </c>
      <c r="C189" s="1">
        <v>211.95699999999999</v>
      </c>
      <c r="D189" s="1">
        <v>1056.0039999999999</v>
      </c>
      <c r="E189" s="1">
        <v>880.28599999999994</v>
      </c>
      <c r="F189" s="1">
        <v>98523.769</v>
      </c>
      <c r="G189" s="1">
        <v>7601.8440000000001</v>
      </c>
      <c r="H189" s="1">
        <f t="shared" si="6"/>
        <v>106125.613</v>
      </c>
      <c r="I189" s="1">
        <v>148435.60800000001</v>
      </c>
      <c r="J189" s="1">
        <v>31950.080000000002</v>
      </c>
      <c r="K189" s="1">
        <v>207427.56</v>
      </c>
      <c r="L189" s="1">
        <v>10852.75</v>
      </c>
      <c r="M189" s="1">
        <v>78719.981</v>
      </c>
      <c r="N189" s="1">
        <v>18482.431</v>
      </c>
      <c r="O189" s="1">
        <f t="shared" si="7"/>
        <v>108055.162</v>
      </c>
      <c r="P189" s="1">
        <v>99372.398000000001</v>
      </c>
      <c r="Q189" s="1">
        <v>24465.072</v>
      </c>
      <c r="R189" s="1">
        <v>49.935000000000002</v>
      </c>
      <c r="S189" s="1">
        <f>LEFT(A189,4)*1</f>
        <v>2007</v>
      </c>
      <c r="T189" s="1">
        <f>RIGHT(A189,2)*1</f>
        <v>6</v>
      </c>
      <c r="U189" s="2">
        <f>M189/K189</f>
        <v>0.37950589111687955</v>
      </c>
      <c r="V189" s="2">
        <f>N189/K189</f>
        <v>8.9103063257360796E-2</v>
      </c>
      <c r="W189" s="2">
        <f>P189/K189</f>
        <v>0.47907037039822481</v>
      </c>
      <c r="X189" s="2">
        <f>Q189/K189</f>
        <v>0.11794513708785853</v>
      </c>
      <c r="Y189" s="1">
        <f t="shared" si="8"/>
        <v>116485.52800000001</v>
      </c>
      <c r="Z189" s="1">
        <f>_4_1_Synthese_toutes_energies_2026_04[[#This Row],[5, Emissions CO2]]/_4_1_Synthese_toutes_energies_2026_04[[#This Row],[4, Conso totale]]</f>
        <v>0.11794513708785853</v>
      </c>
    </row>
    <row r="190" spans="1:26" x14ac:dyDescent="0.2">
      <c r="A190" s="1" t="s">
        <v>209</v>
      </c>
      <c r="B190" s="1">
        <v>110085.739</v>
      </c>
      <c r="C190" s="1">
        <v>155.435</v>
      </c>
      <c r="D190" s="1">
        <v>985.06100000000004</v>
      </c>
      <c r="E190" s="1">
        <v>817.601</v>
      </c>
      <c r="F190" s="1">
        <v>101563.709</v>
      </c>
      <c r="G190" s="1">
        <v>6563.933</v>
      </c>
      <c r="H190" s="1">
        <f t="shared" si="6"/>
        <v>108127.64200000001</v>
      </c>
      <c r="I190" s="1">
        <v>155256.068</v>
      </c>
      <c r="J190" s="1">
        <v>32957.269999999997</v>
      </c>
      <c r="K190" s="1">
        <v>211099.552</v>
      </c>
      <c r="L190" s="1">
        <v>12783.992</v>
      </c>
      <c r="M190" s="1">
        <v>74454.096999999994</v>
      </c>
      <c r="N190" s="1">
        <v>21392.838</v>
      </c>
      <c r="O190" s="1">
        <f t="shared" si="7"/>
        <v>108630.927</v>
      </c>
      <c r="P190" s="1">
        <v>102468.624</v>
      </c>
      <c r="Q190" s="1">
        <v>24659.645</v>
      </c>
      <c r="R190" s="1">
        <v>49.933</v>
      </c>
      <c r="S190" s="1">
        <f>LEFT(A190,4)*1</f>
        <v>2007</v>
      </c>
      <c r="T190" s="1">
        <f>RIGHT(A190,2)*1</f>
        <v>5</v>
      </c>
      <c r="U190" s="2">
        <f>M190/K190</f>
        <v>0.35269661301791866</v>
      </c>
      <c r="V190" s="2">
        <f>N190/K190</f>
        <v>0.10134004453026978</v>
      </c>
      <c r="W190" s="2">
        <f>P190/K190</f>
        <v>0.48540427030370958</v>
      </c>
      <c r="X190" s="2">
        <f>Q190/K190</f>
        <v>0.11681524080164794</v>
      </c>
      <c r="Y190" s="1">
        <f t="shared" si="8"/>
        <v>122298.79800000001</v>
      </c>
      <c r="Z190" s="1">
        <f>_4_1_Synthese_toutes_energies_2026_04[[#This Row],[5, Emissions CO2]]/_4_1_Synthese_toutes_energies_2026_04[[#This Row],[4, Conso totale]]</f>
        <v>0.11681524080164794</v>
      </c>
    </row>
    <row r="191" spans="1:26" x14ac:dyDescent="0.2">
      <c r="A191" s="1" t="s">
        <v>210</v>
      </c>
      <c r="B191" s="1">
        <v>108352.60799999999</v>
      </c>
      <c r="C191" s="1">
        <v>4.71</v>
      </c>
      <c r="D191" s="1">
        <v>938.54100000000005</v>
      </c>
      <c r="E191" s="1">
        <v>428.94900000000001</v>
      </c>
      <c r="F191" s="1">
        <v>101333.36500000001</v>
      </c>
      <c r="G191" s="1">
        <v>5647.0429999999997</v>
      </c>
      <c r="H191" s="1">
        <f t="shared" si="6"/>
        <v>106980.40800000001</v>
      </c>
      <c r="I191" s="1">
        <v>183519.63</v>
      </c>
      <c r="J191" s="1">
        <v>28885.767</v>
      </c>
      <c r="K191" s="1">
        <v>218812.08600000001</v>
      </c>
      <c r="L191" s="1">
        <v>13846.51</v>
      </c>
      <c r="M191" s="1">
        <v>77126.671000000002</v>
      </c>
      <c r="N191" s="1">
        <v>25502.333999999999</v>
      </c>
      <c r="O191" s="1">
        <f t="shared" si="7"/>
        <v>116475.515</v>
      </c>
      <c r="P191" s="1">
        <v>102336.572</v>
      </c>
      <c r="Q191" s="1">
        <v>26537.357</v>
      </c>
      <c r="R191" s="1">
        <v>50.064</v>
      </c>
      <c r="S191" s="1">
        <f>LEFT(A191,4)*1</f>
        <v>2007</v>
      </c>
      <c r="T191" s="1">
        <f>RIGHT(A191,2)*1</f>
        <v>4</v>
      </c>
      <c r="U191" s="2">
        <f>M191/K191</f>
        <v>0.35247902622709787</v>
      </c>
      <c r="V191" s="2">
        <f>N191/K191</f>
        <v>0.11654901914330271</v>
      </c>
      <c r="W191" s="2">
        <f>P191/K191</f>
        <v>0.46769158811456146</v>
      </c>
      <c r="X191" s="2">
        <f>Q191/K191</f>
        <v>0.12127921032661787</v>
      </c>
      <c r="Y191" s="1">
        <f t="shared" si="8"/>
        <v>154633.86300000001</v>
      </c>
      <c r="Z191" s="1">
        <f>_4_1_Synthese_toutes_energies_2026_04[[#This Row],[5, Emissions CO2]]/_4_1_Synthese_toutes_energies_2026_04[[#This Row],[4, Conso totale]]</f>
        <v>0.12127921032661787</v>
      </c>
    </row>
    <row r="192" spans="1:26" x14ac:dyDescent="0.2">
      <c r="A192" s="1" t="s">
        <v>211</v>
      </c>
      <c r="B192" s="1">
        <v>126111.58100000001</v>
      </c>
      <c r="C192" s="1">
        <v>160.14500000000001</v>
      </c>
      <c r="D192" s="1">
        <v>996.69100000000003</v>
      </c>
      <c r="E192" s="1">
        <v>871.33100000000002</v>
      </c>
      <c r="F192" s="1">
        <v>116790.68799999999</v>
      </c>
      <c r="G192" s="1">
        <v>7292.7250000000004</v>
      </c>
      <c r="H192" s="1">
        <f t="shared" si="6"/>
        <v>124083.413</v>
      </c>
      <c r="I192" s="1">
        <v>135369.26</v>
      </c>
      <c r="J192" s="1">
        <v>29887.923999999999</v>
      </c>
      <c r="K192" s="1">
        <v>268657.44699999999</v>
      </c>
      <c r="L192" s="1">
        <v>13602.045</v>
      </c>
      <c r="M192" s="1">
        <v>83544.104999999996</v>
      </c>
      <c r="N192" s="1">
        <v>53033.892999999996</v>
      </c>
      <c r="O192" s="1">
        <f t="shared" si="7"/>
        <v>150180.04300000001</v>
      </c>
      <c r="P192" s="1">
        <v>118477.405</v>
      </c>
      <c r="Q192" s="1">
        <v>34049.375999999997</v>
      </c>
      <c r="R192" s="1">
        <v>50.26</v>
      </c>
      <c r="S192" s="1">
        <f>LEFT(A192,4)*1</f>
        <v>2007</v>
      </c>
      <c r="T192" s="1">
        <f>RIGHT(A192,2)*1</f>
        <v>3</v>
      </c>
      <c r="U192" s="2">
        <f>M192/K192</f>
        <v>0.31096887852135363</v>
      </c>
      <c r="V192" s="2">
        <f>N192/K192</f>
        <v>0.19740339823894776</v>
      </c>
      <c r="W192" s="2">
        <f>P192/K192</f>
        <v>0.44099803047707814</v>
      </c>
      <c r="X192" s="2">
        <f>Q192/K192</f>
        <v>0.12673899934737337</v>
      </c>
      <c r="Y192" s="1">
        <f t="shared" si="8"/>
        <v>105481.33600000001</v>
      </c>
      <c r="Z192" s="1">
        <f>_4_1_Synthese_toutes_energies_2026_04[[#This Row],[5, Emissions CO2]]/_4_1_Synthese_toutes_energies_2026_04[[#This Row],[4, Conso totale]]</f>
        <v>0.12673899934737337</v>
      </c>
    </row>
    <row r="193" spans="1:26" x14ac:dyDescent="0.2">
      <c r="A193" s="1" t="s">
        <v>212</v>
      </c>
      <c r="B193" s="1">
        <v>122525.001</v>
      </c>
      <c r="C193" s="1">
        <v>174.27600000000001</v>
      </c>
      <c r="D193" s="1">
        <v>815.26300000000003</v>
      </c>
      <c r="E193" s="1">
        <v>817.601</v>
      </c>
      <c r="F193" s="1">
        <v>114708.496</v>
      </c>
      <c r="G193" s="1">
        <v>6009.366</v>
      </c>
      <c r="H193" s="1">
        <f t="shared" si="6"/>
        <v>120717.86199999999</v>
      </c>
      <c r="I193" s="1">
        <v>156311.18700000001</v>
      </c>
      <c r="J193" s="1">
        <v>29800.607</v>
      </c>
      <c r="K193" s="1">
        <v>254002.43900000001</v>
      </c>
      <c r="L193" s="1">
        <v>12300.99</v>
      </c>
      <c r="M193" s="1">
        <v>75712.463000000003</v>
      </c>
      <c r="N193" s="1">
        <v>50410.048999999999</v>
      </c>
      <c r="O193" s="1">
        <f t="shared" si="7"/>
        <v>138423.50200000001</v>
      </c>
      <c r="P193" s="1">
        <v>115578.93700000001</v>
      </c>
      <c r="Q193" s="1">
        <v>31302.532999999999</v>
      </c>
      <c r="R193" s="1">
        <v>49.859000000000002</v>
      </c>
      <c r="S193" s="1">
        <f>LEFT(A193,4)*1</f>
        <v>2007</v>
      </c>
      <c r="T193" s="1">
        <f>RIGHT(A193,2)*1</f>
        <v>2</v>
      </c>
      <c r="U193" s="2">
        <f>M193/K193</f>
        <v>0.29807770074207829</v>
      </c>
      <c r="V193" s="2">
        <f>N193/K193</f>
        <v>0.19846285413031012</v>
      </c>
      <c r="W193" s="2">
        <f>P193/K193</f>
        <v>0.45503081566866371</v>
      </c>
      <c r="X193" s="2">
        <f>Q193/K193</f>
        <v>0.12323713553002535</v>
      </c>
      <c r="Y193" s="1">
        <f t="shared" si="8"/>
        <v>126510.58</v>
      </c>
      <c r="Z193" s="1">
        <f>_4_1_Synthese_toutes_energies_2026_04[[#This Row],[5, Emissions CO2]]/_4_1_Synthese_toutes_energies_2026_04[[#This Row],[4, Conso totale]]</f>
        <v>0.12323713553002535</v>
      </c>
    </row>
    <row r="194" spans="1:26" x14ac:dyDescent="0.2">
      <c r="A194" s="1" t="s">
        <v>213</v>
      </c>
      <c r="B194" s="1">
        <v>137613.291</v>
      </c>
      <c r="C194" s="1">
        <v>169.565</v>
      </c>
      <c r="D194" s="1">
        <v>951.33399999999995</v>
      </c>
      <c r="E194" s="1">
        <v>859.69</v>
      </c>
      <c r="F194" s="1">
        <v>129735.439</v>
      </c>
      <c r="G194" s="1">
        <v>5897.2629999999999</v>
      </c>
      <c r="H194" s="1">
        <f t="shared" ref="H194:H257" si="9">SUM(F194,G194)</f>
        <v>135632.70199999999</v>
      </c>
      <c r="I194" s="1">
        <v>161952.93599999999</v>
      </c>
      <c r="J194" s="1">
        <v>32578.491000000002</v>
      </c>
      <c r="K194" s="1">
        <v>288662.217</v>
      </c>
      <c r="L194" s="1">
        <v>13295.251</v>
      </c>
      <c r="M194" s="1">
        <v>86312.044999999998</v>
      </c>
      <c r="N194" s="1">
        <v>58260.09</v>
      </c>
      <c r="O194" s="1">
        <f t="shared" ref="O194:O257" si="10">SUM(L194,M194,N194)</f>
        <v>157867.386</v>
      </c>
      <c r="P194" s="1">
        <v>130794.83100000001</v>
      </c>
      <c r="Q194" s="1">
        <v>35998.449999999997</v>
      </c>
      <c r="R194" s="1">
        <v>49.317999999999998</v>
      </c>
      <c r="S194" s="1">
        <f>LEFT(A194,4)*1</f>
        <v>2007</v>
      </c>
      <c r="T194" s="1">
        <f>RIGHT(A194,2)*1</f>
        <v>1</v>
      </c>
      <c r="U194" s="2">
        <f>M194/K194</f>
        <v>0.29900707441736302</v>
      </c>
      <c r="V194" s="2">
        <f>N194/K194</f>
        <v>0.20182790323404187</v>
      </c>
      <c r="W194" s="2">
        <f>P194/K194</f>
        <v>0.45310686088162344</v>
      </c>
      <c r="X194" s="2">
        <f>Q194/K194</f>
        <v>0.12470786919785902</v>
      </c>
      <c r="Y194" s="1">
        <f t="shared" si="8"/>
        <v>129374.44499999998</v>
      </c>
      <c r="Z194" s="1">
        <f>_4_1_Synthese_toutes_energies_2026_04[[#This Row],[5, Emissions CO2]]/_4_1_Synthese_toutes_energies_2026_04[[#This Row],[4, Conso totale]]</f>
        <v>0.12470786919785902</v>
      </c>
    </row>
    <row r="195" spans="1:26" x14ac:dyDescent="0.2">
      <c r="A195" s="1" t="s">
        <v>214</v>
      </c>
      <c r="B195" s="1">
        <v>135909.981</v>
      </c>
      <c r="C195" s="1">
        <v>113.044</v>
      </c>
      <c r="D195" s="1">
        <v>1102.5239999999999</v>
      </c>
      <c r="E195" s="1">
        <v>895.51</v>
      </c>
      <c r="F195" s="1">
        <v>128223.046</v>
      </c>
      <c r="G195" s="1">
        <v>5575.8580000000002</v>
      </c>
      <c r="H195" s="1">
        <f t="shared" si="9"/>
        <v>133798.90400000001</v>
      </c>
      <c r="I195" s="1">
        <v>178957.136</v>
      </c>
      <c r="J195" s="1">
        <v>31156.244999999999</v>
      </c>
      <c r="K195" s="1">
        <v>284765.78200000001</v>
      </c>
      <c r="L195" s="1">
        <v>13192.781000000001</v>
      </c>
      <c r="M195" s="1">
        <v>80769.187000000005</v>
      </c>
      <c r="N195" s="1">
        <v>60946.62</v>
      </c>
      <c r="O195" s="1">
        <f t="shared" si="10"/>
        <v>154908.58800000002</v>
      </c>
      <c r="P195" s="1">
        <v>129857.194</v>
      </c>
      <c r="Q195" s="1">
        <v>35428.468999999997</v>
      </c>
      <c r="R195" s="1">
        <v>49.055999999999997</v>
      </c>
      <c r="S195" s="1">
        <f>LEFT(A195,4)*1</f>
        <v>2006</v>
      </c>
      <c r="T195" s="1">
        <f>RIGHT(A195,2)*1</f>
        <v>12</v>
      </c>
      <c r="U195" s="2">
        <f>M195/K195</f>
        <v>0.28363375133322727</v>
      </c>
      <c r="V195" s="2">
        <f>N195/K195</f>
        <v>0.2140236778869731</v>
      </c>
      <c r="W195" s="2">
        <f>P195/K195</f>
        <v>0.45601403752927028</v>
      </c>
      <c r="X195" s="2">
        <f>Q195/K195</f>
        <v>0.12441266205221242</v>
      </c>
      <c r="Y195" s="1">
        <f t="shared" si="8"/>
        <v>147800.891</v>
      </c>
      <c r="Z195" s="1">
        <f>_4_1_Synthese_toutes_energies_2026_04[[#This Row],[5, Emissions CO2]]/_4_1_Synthese_toutes_energies_2026_04[[#This Row],[4, Conso totale]]</f>
        <v>0.12441266205221242</v>
      </c>
    </row>
    <row r="196" spans="1:26" x14ac:dyDescent="0.2">
      <c r="A196" s="1" t="s">
        <v>215</v>
      </c>
      <c r="B196" s="1">
        <v>124998.579</v>
      </c>
      <c r="C196" s="1">
        <v>141.30500000000001</v>
      </c>
      <c r="D196" s="1">
        <v>1032.7439999999999</v>
      </c>
      <c r="E196" s="1">
        <v>903.57</v>
      </c>
      <c r="F196" s="1">
        <v>118378.853</v>
      </c>
      <c r="G196" s="1">
        <v>4542.1090000000004</v>
      </c>
      <c r="H196" s="1">
        <f t="shared" si="9"/>
        <v>122920.962</v>
      </c>
      <c r="I196" s="1">
        <v>173524.13800000001</v>
      </c>
      <c r="J196" s="1">
        <v>35951.339999999997</v>
      </c>
      <c r="K196" s="1">
        <v>255848.484</v>
      </c>
      <c r="L196" s="1">
        <v>12401.518</v>
      </c>
      <c r="M196" s="1">
        <v>80081.854000000007</v>
      </c>
      <c r="N196" s="1">
        <v>46945.321000000004</v>
      </c>
      <c r="O196" s="1">
        <f t="shared" si="10"/>
        <v>139428.693</v>
      </c>
      <c r="P196" s="1">
        <v>116419.791</v>
      </c>
      <c r="Q196" s="1">
        <v>31483.846000000001</v>
      </c>
      <c r="R196" s="1">
        <v>48.851999999999997</v>
      </c>
      <c r="S196" s="1">
        <f>LEFT(A196,4)*1</f>
        <v>2006</v>
      </c>
      <c r="T196" s="1">
        <f>RIGHT(A196,2)*1</f>
        <v>11</v>
      </c>
      <c r="U196" s="2">
        <f>M196/K196</f>
        <v>0.31300499712947294</v>
      </c>
      <c r="V196" s="2">
        <f>N196/K196</f>
        <v>0.18348875969888492</v>
      </c>
      <c r="W196" s="2">
        <f>P196/K196</f>
        <v>0.4550341248064616</v>
      </c>
      <c r="X196" s="2">
        <f>Q196/K196</f>
        <v>0.12305660564320561</v>
      </c>
      <c r="Y196" s="1">
        <f t="shared" ref="Y196:Y206" si="11">I196-J196</f>
        <v>137572.79800000001</v>
      </c>
      <c r="Z196" s="1">
        <f>_4_1_Synthese_toutes_energies_2026_04[[#This Row],[5, Emissions CO2]]/_4_1_Synthese_toutes_energies_2026_04[[#This Row],[4, Conso totale]]</f>
        <v>0.12305660564320561</v>
      </c>
    </row>
    <row r="197" spans="1:26" x14ac:dyDescent="0.2">
      <c r="A197" s="1" t="s">
        <v>216</v>
      </c>
      <c r="B197" s="1">
        <v>121162.333</v>
      </c>
      <c r="C197" s="1">
        <v>150.72499999999999</v>
      </c>
      <c r="D197" s="1">
        <v>1107.1759999999999</v>
      </c>
      <c r="E197" s="1">
        <v>889.24099999999999</v>
      </c>
      <c r="F197" s="1">
        <v>113681.039</v>
      </c>
      <c r="G197" s="1">
        <v>5334.152</v>
      </c>
      <c r="H197" s="1">
        <f t="shared" si="9"/>
        <v>119015.19100000001</v>
      </c>
      <c r="I197" s="1">
        <v>157907.08900000001</v>
      </c>
      <c r="J197" s="1">
        <v>36606.58</v>
      </c>
      <c r="K197" s="1">
        <v>237816.27600000001</v>
      </c>
      <c r="L197" s="1">
        <v>11609.597</v>
      </c>
      <c r="M197" s="1">
        <v>88130.976999999999</v>
      </c>
      <c r="N197" s="1">
        <v>26380.829000000002</v>
      </c>
      <c r="O197" s="1">
        <f t="shared" si="10"/>
        <v>126121.40299999999</v>
      </c>
      <c r="P197" s="1">
        <v>111694.87300000001</v>
      </c>
      <c r="Q197" s="1">
        <v>28988.845000000001</v>
      </c>
      <c r="R197" s="1">
        <v>48.658000000000001</v>
      </c>
      <c r="S197" s="1">
        <f>LEFT(A197,4)*1</f>
        <v>2006</v>
      </c>
      <c r="T197" s="1">
        <f>RIGHT(A197,2)*1</f>
        <v>10</v>
      </c>
      <c r="U197" s="2">
        <f>M197/K197</f>
        <v>0.37058429507995488</v>
      </c>
      <c r="V197" s="2">
        <f>N197/K197</f>
        <v>0.11092945127103075</v>
      </c>
      <c r="W197" s="2">
        <f>P197/K197</f>
        <v>0.46966874966959787</v>
      </c>
      <c r="X197" s="2">
        <f>Q197/K197</f>
        <v>0.12189596728863082</v>
      </c>
      <c r="Y197" s="1">
        <f t="shared" si="11"/>
        <v>121300.50900000001</v>
      </c>
      <c r="Z197" s="1">
        <f>_4_1_Synthese_toutes_energies_2026_04[[#This Row],[5, Emissions CO2]]/_4_1_Synthese_toutes_energies_2026_04[[#This Row],[4, Conso totale]]</f>
        <v>0.12189596728863082</v>
      </c>
    </row>
    <row r="198" spans="1:26" x14ac:dyDescent="0.2">
      <c r="A198" s="1" t="s">
        <v>217</v>
      </c>
      <c r="B198" s="1">
        <v>114458.77</v>
      </c>
      <c r="C198" s="1">
        <v>141.30500000000001</v>
      </c>
      <c r="D198" s="1">
        <v>1073.4490000000001</v>
      </c>
      <c r="E198" s="1">
        <v>893.71900000000005</v>
      </c>
      <c r="F198" s="1">
        <v>107807.25599999999</v>
      </c>
      <c r="G198" s="1">
        <v>4543.0420000000004</v>
      </c>
      <c r="H198" s="1">
        <f t="shared" si="9"/>
        <v>112350.298</v>
      </c>
      <c r="I198" s="1">
        <v>142411.247</v>
      </c>
      <c r="J198" s="1">
        <v>35379.713000000003</v>
      </c>
      <c r="K198" s="1">
        <v>218333.60200000001</v>
      </c>
      <c r="L198" s="1">
        <v>11473.994000000001</v>
      </c>
      <c r="M198" s="1">
        <v>83534.801000000007</v>
      </c>
      <c r="N198" s="1">
        <v>17956.767</v>
      </c>
      <c r="O198" s="1">
        <f t="shared" si="10"/>
        <v>112965.56200000001</v>
      </c>
      <c r="P198" s="1">
        <v>105368.041</v>
      </c>
      <c r="Q198" s="1">
        <v>26196.662</v>
      </c>
      <c r="R198" s="1">
        <v>48.673000000000002</v>
      </c>
      <c r="S198" s="1">
        <f>LEFT(A198,4)*1</f>
        <v>2006</v>
      </c>
      <c r="T198" s="1">
        <f>RIGHT(A198,2)*1</f>
        <v>9</v>
      </c>
      <c r="U198" s="2">
        <f>M198/K198</f>
        <v>0.38260167118023364</v>
      </c>
      <c r="V198" s="2">
        <f>N198/K198</f>
        <v>8.2244633146298748E-2</v>
      </c>
      <c r="W198" s="2">
        <f>P198/K198</f>
        <v>0.48260112064655991</v>
      </c>
      <c r="X198" s="2">
        <f>Q198/K198</f>
        <v>0.11998456380525431</v>
      </c>
      <c r="Y198" s="1">
        <f t="shared" si="11"/>
        <v>107031.534</v>
      </c>
      <c r="Z198" s="1">
        <f>_4_1_Synthese_toutes_energies_2026_04[[#This Row],[5, Emissions CO2]]/_4_1_Synthese_toutes_energies_2026_04[[#This Row],[4, Conso totale]]</f>
        <v>0.11998456380525431</v>
      </c>
    </row>
    <row r="199" spans="1:26" x14ac:dyDescent="0.2">
      <c r="A199" s="1" t="s">
        <v>218</v>
      </c>
      <c r="B199" s="1">
        <v>110901.17600000001</v>
      </c>
      <c r="C199" s="1">
        <v>84.783000000000001</v>
      </c>
      <c r="D199" s="1">
        <v>1075.7750000000001</v>
      </c>
      <c r="E199" s="1">
        <v>936.70299999999997</v>
      </c>
      <c r="F199" s="1">
        <v>104570.31</v>
      </c>
      <c r="G199" s="1">
        <v>4233.6049999999996</v>
      </c>
      <c r="H199" s="1">
        <f t="shared" si="9"/>
        <v>108803.91499999999</v>
      </c>
      <c r="I199" s="1">
        <v>169031.73</v>
      </c>
      <c r="J199" s="1">
        <v>32420.968000000001</v>
      </c>
      <c r="K199" s="1">
        <v>205959.902</v>
      </c>
      <c r="L199" s="1">
        <v>9739.7669999999998</v>
      </c>
      <c r="M199" s="1">
        <v>79623.631999999998</v>
      </c>
      <c r="N199" s="1">
        <v>14904.868</v>
      </c>
      <c r="O199" s="1">
        <f t="shared" si="10"/>
        <v>104268.26700000001</v>
      </c>
      <c r="P199" s="1">
        <v>101691.63499999999</v>
      </c>
      <c r="Q199" s="1">
        <v>23790.823</v>
      </c>
      <c r="R199" s="1">
        <v>48.503999999999998</v>
      </c>
      <c r="S199" s="1">
        <f>LEFT(A199,4)*1</f>
        <v>2006</v>
      </c>
      <c r="T199" s="1">
        <f>RIGHT(A199,2)*1</f>
        <v>8</v>
      </c>
      <c r="U199" s="2">
        <f>M199/K199</f>
        <v>0.38659773687404453</v>
      </c>
      <c r="V199" s="2">
        <f>N199/K199</f>
        <v>7.2367814585578893E-2</v>
      </c>
      <c r="W199" s="2">
        <f>P199/K199</f>
        <v>0.49374482126137348</v>
      </c>
      <c r="X199" s="2">
        <f>Q199/K199</f>
        <v>0.11551191648945337</v>
      </c>
      <c r="Y199" s="1">
        <f t="shared" si="11"/>
        <v>136610.76200000002</v>
      </c>
      <c r="Z199" s="1">
        <f>_4_1_Synthese_toutes_energies_2026_04[[#This Row],[5, Emissions CO2]]/_4_1_Synthese_toutes_energies_2026_04[[#This Row],[4, Conso totale]]</f>
        <v>0.11551191648945337</v>
      </c>
    </row>
    <row r="200" spans="1:26" x14ac:dyDescent="0.2">
      <c r="A200" s="1" t="s">
        <v>219</v>
      </c>
      <c r="B200" s="1">
        <v>111666.245</v>
      </c>
      <c r="C200" s="1">
        <v>80.072999999999993</v>
      </c>
      <c r="D200" s="1">
        <v>1057.1669999999999</v>
      </c>
      <c r="E200" s="1">
        <v>808.64599999999996</v>
      </c>
      <c r="F200" s="1">
        <v>105161.325</v>
      </c>
      <c r="G200" s="1">
        <v>4559.0349999999999</v>
      </c>
      <c r="H200" s="1">
        <f t="shared" si="9"/>
        <v>109720.36</v>
      </c>
      <c r="I200" s="1">
        <v>169210.19200000001</v>
      </c>
      <c r="J200" s="1">
        <v>28126.521000000001</v>
      </c>
      <c r="K200" s="1">
        <v>216462.47700000001</v>
      </c>
      <c r="L200" s="1">
        <v>11306.918</v>
      </c>
      <c r="M200" s="1">
        <v>83801.127999999997</v>
      </c>
      <c r="N200" s="1">
        <v>16600.964</v>
      </c>
      <c r="O200" s="1">
        <f t="shared" si="10"/>
        <v>111709.01000000001</v>
      </c>
      <c r="P200" s="1">
        <v>104753.466</v>
      </c>
      <c r="Q200" s="1">
        <v>25399.378000000001</v>
      </c>
      <c r="R200" s="1">
        <v>48.423000000000002</v>
      </c>
      <c r="S200" s="1">
        <f>LEFT(A200,4)*1</f>
        <v>2006</v>
      </c>
      <c r="T200" s="1">
        <f>RIGHT(A200,2)*1</f>
        <v>7</v>
      </c>
      <c r="U200" s="2">
        <f>M200/K200</f>
        <v>0.38713928234314715</v>
      </c>
      <c r="V200" s="2">
        <f>N200/K200</f>
        <v>7.6692109552086468E-2</v>
      </c>
      <c r="W200" s="2">
        <f>P200/K200</f>
        <v>0.48393360111092137</v>
      </c>
      <c r="X200" s="2">
        <f>Q200/K200</f>
        <v>0.11733847986965426</v>
      </c>
      <c r="Y200" s="1">
        <f t="shared" si="11"/>
        <v>141083.671</v>
      </c>
      <c r="Z200" s="1">
        <f>_4_1_Synthese_toutes_energies_2026_04[[#This Row],[5, Emissions CO2]]/_4_1_Synthese_toutes_energies_2026_04[[#This Row],[4, Conso totale]]</f>
        <v>0.11733847986965426</v>
      </c>
    </row>
    <row r="201" spans="1:26" x14ac:dyDescent="0.2">
      <c r="A201" s="1" t="s">
        <v>220</v>
      </c>
      <c r="B201" s="1">
        <v>112108.36199999999</v>
      </c>
      <c r="C201" s="1">
        <v>146.01499999999999</v>
      </c>
      <c r="D201" s="1">
        <v>1037.431</v>
      </c>
      <c r="E201" s="1">
        <v>866.85400000000004</v>
      </c>
      <c r="F201" s="1">
        <v>104758.223</v>
      </c>
      <c r="G201" s="1">
        <v>5299.84</v>
      </c>
      <c r="H201" s="1">
        <f t="shared" si="9"/>
        <v>110058.06299999999</v>
      </c>
      <c r="I201" s="1">
        <v>154440.36499999999</v>
      </c>
      <c r="J201" s="1">
        <v>32235.62</v>
      </c>
      <c r="K201" s="1">
        <v>215197.37899999999</v>
      </c>
      <c r="L201" s="1">
        <v>10903.089</v>
      </c>
      <c r="M201" s="1">
        <v>81957.773000000001</v>
      </c>
      <c r="N201" s="1">
        <v>18224.524000000001</v>
      </c>
      <c r="O201" s="1">
        <f t="shared" si="10"/>
        <v>111085.386</v>
      </c>
      <c r="P201" s="1">
        <v>104111.992</v>
      </c>
      <c r="Q201" s="1">
        <v>25252.600999999999</v>
      </c>
      <c r="R201" s="1">
        <v>48.390999999999998</v>
      </c>
      <c r="S201" s="1">
        <f>LEFT(A201,4)*1</f>
        <v>2006</v>
      </c>
      <c r="T201" s="1">
        <f>RIGHT(A201,2)*1</f>
        <v>6</v>
      </c>
      <c r="U201" s="2">
        <f>M201/K201</f>
        <v>0.38084930857824251</v>
      </c>
      <c r="V201" s="2">
        <f>N201/K201</f>
        <v>8.4687481254128116E-2</v>
      </c>
      <c r="W201" s="2">
        <f>P201/K201</f>
        <v>0.48379767673657403</v>
      </c>
      <c r="X201" s="2">
        <f>Q201/K201</f>
        <v>0.11734622938878823</v>
      </c>
      <c r="Y201" s="1">
        <f t="shared" si="11"/>
        <v>122204.745</v>
      </c>
      <c r="Z201" s="1">
        <f>_4_1_Synthese_toutes_energies_2026_04[[#This Row],[5, Emissions CO2]]/_4_1_Synthese_toutes_energies_2026_04[[#This Row],[4, Conso totale]]</f>
        <v>0.11734622938878823</v>
      </c>
    </row>
    <row r="202" spans="1:26" x14ac:dyDescent="0.2">
      <c r="A202" s="1" t="s">
        <v>221</v>
      </c>
      <c r="B202" s="1">
        <v>117520.095</v>
      </c>
      <c r="C202" s="1">
        <v>131.88399999999999</v>
      </c>
      <c r="D202" s="1">
        <v>1072.3440000000001</v>
      </c>
      <c r="E202" s="1">
        <v>1022.672</v>
      </c>
      <c r="F202" s="1">
        <v>108225.51300000001</v>
      </c>
      <c r="G202" s="1">
        <v>7067.6819999999998</v>
      </c>
      <c r="H202" s="1">
        <f t="shared" si="9"/>
        <v>115293.19500000001</v>
      </c>
      <c r="I202" s="1">
        <v>168405.913</v>
      </c>
      <c r="J202" s="1">
        <v>33621.879000000001</v>
      </c>
      <c r="K202" s="1">
        <v>218461.79800000001</v>
      </c>
      <c r="L202" s="1">
        <v>8996.4230000000007</v>
      </c>
      <c r="M202" s="1">
        <v>78922.540999999997</v>
      </c>
      <c r="N202" s="1">
        <v>22488.942999999999</v>
      </c>
      <c r="O202" s="1">
        <f t="shared" si="10"/>
        <v>110407.90699999999</v>
      </c>
      <c r="P202" s="1">
        <v>108053.89200000001</v>
      </c>
      <c r="Q202" s="1">
        <v>24578.92</v>
      </c>
      <c r="R202" s="1">
        <v>48.41</v>
      </c>
      <c r="S202" s="1">
        <f>LEFT(A202,4)*1</f>
        <v>2006</v>
      </c>
      <c r="T202" s="1">
        <f>RIGHT(A202,2)*1</f>
        <v>5</v>
      </c>
      <c r="U202" s="2">
        <f>M202/K202</f>
        <v>0.361264723272121</v>
      </c>
      <c r="V202" s="2">
        <f>N202/K202</f>
        <v>0.10294222242004984</v>
      </c>
      <c r="W202" s="2">
        <f>P202/K202</f>
        <v>0.49461229830214987</v>
      </c>
      <c r="X202" s="2">
        <f>Q202/K202</f>
        <v>0.1125090071812006</v>
      </c>
      <c r="Y202" s="1">
        <f t="shared" si="11"/>
        <v>134784.03399999999</v>
      </c>
      <c r="Z202" s="1">
        <f>_4_1_Synthese_toutes_energies_2026_04[[#This Row],[5, Emissions CO2]]/_4_1_Synthese_toutes_energies_2026_04[[#This Row],[4, Conso totale]]</f>
        <v>0.1125090071812006</v>
      </c>
    </row>
    <row r="203" spans="1:26" x14ac:dyDescent="0.2">
      <c r="A203" s="1" t="s">
        <v>222</v>
      </c>
      <c r="B203" s="1">
        <v>123736.288</v>
      </c>
      <c r="C203" s="1">
        <v>174.27600000000001</v>
      </c>
      <c r="D203" s="1">
        <v>1032.2560000000001</v>
      </c>
      <c r="E203" s="1">
        <v>1032.5229999999999</v>
      </c>
      <c r="F203" s="1">
        <v>114187.19</v>
      </c>
      <c r="G203" s="1">
        <v>7310.0439999999999</v>
      </c>
      <c r="H203" s="1">
        <f t="shared" si="9"/>
        <v>121497.234</v>
      </c>
      <c r="I203" s="1">
        <v>163221.45499999999</v>
      </c>
      <c r="J203" s="1">
        <v>29584.988000000001</v>
      </c>
      <c r="K203" s="1">
        <v>238140.07</v>
      </c>
      <c r="L203" s="1">
        <v>10350.01</v>
      </c>
      <c r="M203" s="1">
        <v>79326.486000000004</v>
      </c>
      <c r="N203" s="1">
        <v>34215.646000000001</v>
      </c>
      <c r="O203" s="1">
        <f t="shared" si="10"/>
        <v>123892.14199999999</v>
      </c>
      <c r="P203" s="1">
        <v>114247.929</v>
      </c>
      <c r="Q203" s="1">
        <v>27918.598999999998</v>
      </c>
      <c r="R203" s="1">
        <v>48.265999999999998</v>
      </c>
      <c r="S203" s="1">
        <f>LEFT(A203,4)*1</f>
        <v>2006</v>
      </c>
      <c r="T203" s="1">
        <f>RIGHT(A203,2)*1</f>
        <v>4</v>
      </c>
      <c r="U203" s="2">
        <f>M203/K203</f>
        <v>0.33310851886454895</v>
      </c>
      <c r="V203" s="2">
        <f>N203/K203</f>
        <v>0.1436786593705125</v>
      </c>
      <c r="W203" s="2">
        <f>P203/K203</f>
        <v>0.47975096757131214</v>
      </c>
      <c r="X203" s="2">
        <f>Q203/K203</f>
        <v>0.11723604095690406</v>
      </c>
      <c r="Y203" s="1">
        <f t="shared" si="11"/>
        <v>133636.46699999998</v>
      </c>
      <c r="Z203" s="1">
        <f>_4_1_Synthese_toutes_energies_2026_04[[#This Row],[5, Emissions CO2]]/_4_1_Synthese_toutes_energies_2026_04[[#This Row],[4, Conso totale]]</f>
        <v>0.11723604095690406</v>
      </c>
    </row>
    <row r="204" spans="1:26" x14ac:dyDescent="0.2">
      <c r="A204" s="1" t="s">
        <v>223</v>
      </c>
      <c r="B204" s="1">
        <v>121755.28200000001</v>
      </c>
      <c r="C204" s="1">
        <v>343.84100000000001</v>
      </c>
      <c r="D204" s="1">
        <v>1077.4849999999999</v>
      </c>
      <c r="E204" s="1">
        <v>1011.926</v>
      </c>
      <c r="F204" s="1">
        <v>112414.144</v>
      </c>
      <c r="G204" s="1">
        <v>6907.8860000000004</v>
      </c>
      <c r="H204" s="1">
        <f t="shared" si="9"/>
        <v>119322.03</v>
      </c>
      <c r="I204" s="1">
        <v>179226.821</v>
      </c>
      <c r="J204" s="1">
        <v>28193.780999999999</v>
      </c>
      <c r="K204" s="1">
        <v>283287.234</v>
      </c>
      <c r="L204" s="1">
        <v>15349.493</v>
      </c>
      <c r="M204" s="1">
        <v>90977.756999999998</v>
      </c>
      <c r="N204" s="1">
        <v>60228.421000000002</v>
      </c>
      <c r="O204" s="1">
        <f t="shared" si="10"/>
        <v>166555.671</v>
      </c>
      <c r="P204" s="1">
        <v>116731.564</v>
      </c>
      <c r="Q204" s="1">
        <v>38359.874000000003</v>
      </c>
      <c r="R204" s="1" t="s">
        <v>224</v>
      </c>
      <c r="S204" s="1">
        <f>LEFT(A204,4)*1</f>
        <v>2006</v>
      </c>
      <c r="T204" s="1">
        <f>RIGHT(A204,2)*1</f>
        <v>3</v>
      </c>
      <c r="U204" s="2">
        <f>M204/K204</f>
        <v>0.32115021815631833</v>
      </c>
      <c r="V204" s="2">
        <f>N204/K204</f>
        <v>0.21260548931054196</v>
      </c>
      <c r="W204" s="2">
        <f>P204/K204</f>
        <v>0.41206079904045378</v>
      </c>
      <c r="X204" s="2">
        <f>Q204/K204</f>
        <v>0.13540982224423145</v>
      </c>
      <c r="Y204" s="1">
        <f t="shared" si="11"/>
        <v>151033.04</v>
      </c>
      <c r="Z204" s="1">
        <f>_4_1_Synthese_toutes_energies_2026_04[[#This Row],[5, Emissions CO2]]/_4_1_Synthese_toutes_energies_2026_04[[#This Row],[4, Conso totale]]</f>
        <v>0.13540982224423145</v>
      </c>
    </row>
    <row r="205" spans="1:26" x14ac:dyDescent="0.2">
      <c r="A205" s="1" t="s">
        <v>225</v>
      </c>
      <c r="B205" s="1">
        <v>118526.47199999999</v>
      </c>
      <c r="C205" s="1">
        <v>320.29000000000002</v>
      </c>
      <c r="D205" s="1">
        <v>1017.171</v>
      </c>
      <c r="E205" s="1">
        <v>968.04600000000005</v>
      </c>
      <c r="F205" s="1">
        <v>111416.995</v>
      </c>
      <c r="G205" s="1">
        <v>4803.9690000000001</v>
      </c>
      <c r="H205" s="1">
        <f t="shared" si="9"/>
        <v>116220.96399999999</v>
      </c>
      <c r="I205" s="1">
        <v>161844.19099999999</v>
      </c>
      <c r="J205" s="1">
        <v>28471.707999999999</v>
      </c>
      <c r="K205" s="1">
        <v>277897.90000000002</v>
      </c>
      <c r="L205" s="1">
        <v>15248.619000000001</v>
      </c>
      <c r="M205" s="1">
        <v>83243.481</v>
      </c>
      <c r="N205" s="1">
        <v>64140.008000000002</v>
      </c>
      <c r="O205" s="1">
        <f t="shared" si="10"/>
        <v>162632.10800000001</v>
      </c>
      <c r="P205" s="1">
        <v>115265.792</v>
      </c>
      <c r="Q205" s="1">
        <v>37273.167000000001</v>
      </c>
      <c r="R205" s="1">
        <v>48.151000000000003</v>
      </c>
      <c r="S205" s="1">
        <f>LEFT(A205,4)*1</f>
        <v>2006</v>
      </c>
      <c r="T205" s="1">
        <f>RIGHT(A205,2)*1</f>
        <v>2</v>
      </c>
      <c r="U205" s="2">
        <f>M205/K205</f>
        <v>0.29954699549726715</v>
      </c>
      <c r="V205" s="2">
        <f>N205/K205</f>
        <v>0.23080421982317964</v>
      </c>
      <c r="W205" s="2">
        <f>P205/K205</f>
        <v>0.41477748482446247</v>
      </c>
      <c r="X205" s="2">
        <f>Q205/K205</f>
        <v>0.13412540001201881</v>
      </c>
      <c r="Y205" s="1">
        <f t="shared" si="11"/>
        <v>133372.48300000001</v>
      </c>
      <c r="Z205" s="1">
        <f>_4_1_Synthese_toutes_energies_2026_04[[#This Row],[5, Emissions CO2]]/_4_1_Synthese_toutes_energies_2026_04[[#This Row],[4, Conso totale]]</f>
        <v>0.13412540001201881</v>
      </c>
    </row>
    <row r="206" spans="1:26" x14ac:dyDescent="0.2">
      <c r="A206" s="1" t="s">
        <v>226</v>
      </c>
      <c r="B206" s="1">
        <v>142423.04800000001</v>
      </c>
      <c r="C206" s="1">
        <v>301.45</v>
      </c>
      <c r="D206" s="1">
        <v>1111.095</v>
      </c>
      <c r="E206" s="1">
        <v>995.80700000000002</v>
      </c>
      <c r="F206" s="1">
        <v>135581.94500000001</v>
      </c>
      <c r="G206" s="1">
        <v>4432.7520000000004</v>
      </c>
      <c r="H206" s="1">
        <f t="shared" si="9"/>
        <v>140014.69700000001</v>
      </c>
      <c r="I206" s="1">
        <v>188805.209</v>
      </c>
      <c r="J206" s="1">
        <v>31481.670999999998</v>
      </c>
      <c r="K206" s="1">
        <v>314157.56300000002</v>
      </c>
      <c r="L206" s="1">
        <v>16054.939</v>
      </c>
      <c r="M206" s="1">
        <v>89251.051000000007</v>
      </c>
      <c r="N206" s="1">
        <v>71644.381999999998</v>
      </c>
      <c r="O206" s="1">
        <f t="shared" si="10"/>
        <v>176950.372</v>
      </c>
      <c r="P206" s="1">
        <v>137207.19099999999</v>
      </c>
      <c r="Q206" s="1">
        <v>40714.197999999997</v>
      </c>
      <c r="R206" s="1">
        <v>48.24</v>
      </c>
      <c r="S206" s="1">
        <f>LEFT(A206,4)*1</f>
        <v>2006</v>
      </c>
      <c r="T206" s="1">
        <f>RIGHT(A206,2)*1</f>
        <v>1</v>
      </c>
      <c r="U206" s="2">
        <f>M206/K206</f>
        <v>0.28409645831127101</v>
      </c>
      <c r="V206" s="2">
        <f>N206/K206</f>
        <v>0.22805238656629123</v>
      </c>
      <c r="W206" s="2">
        <f>P206/K206</f>
        <v>0.43674642013950171</v>
      </c>
      <c r="X206" s="2">
        <f>Q206/K206</f>
        <v>0.12959801957720177</v>
      </c>
      <c r="Y206" s="1">
        <f t="shared" si="11"/>
        <v>157323.538</v>
      </c>
      <c r="Z206" s="1">
        <f>_4_1_Synthese_toutes_energies_2026_04[[#This Row],[5, Emissions CO2]]/_4_1_Synthese_toutes_energies_2026_04[[#This Row],[4, Conso totale]]</f>
        <v>0.12959801957720177</v>
      </c>
    </row>
    <row r="207" spans="1:26" x14ac:dyDescent="0.2">
      <c r="A207" s="1"/>
      <c r="B207" s="1"/>
      <c r="C207" s="1"/>
      <c r="D207" s="1"/>
      <c r="E207" s="1"/>
      <c r="F207" s="1"/>
      <c r="G207" s="1"/>
      <c r="H207" s="1">
        <f t="shared" si="9"/>
        <v>0</v>
      </c>
      <c r="I207" s="1"/>
      <c r="J207" s="1"/>
      <c r="K207" s="1"/>
      <c r="L207" s="1"/>
      <c r="M207" s="1"/>
      <c r="N207" s="1"/>
      <c r="O207" s="1">
        <f t="shared" si="10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B2B7-0F6D-8648-9D1C-B6DE96476306}">
  <dimension ref="A1:E10"/>
  <sheetViews>
    <sheetView zoomScale="178" zoomScaleNormal="371" workbookViewId="0">
      <selection activeCell="C2" sqref="C2"/>
    </sheetView>
  </sheetViews>
  <sheetFormatPr baseColWidth="10" defaultRowHeight="16" x14ac:dyDescent="0.2"/>
  <cols>
    <col min="1" max="1" width="15.33203125" bestFit="1" customWidth="1"/>
    <col min="2" max="2" width="15.83203125" customWidth="1"/>
    <col min="3" max="3" width="17.5" customWidth="1"/>
    <col min="4" max="4" width="21.33203125" customWidth="1"/>
    <col min="5" max="5" width="15.83203125" customWidth="1"/>
  </cols>
  <sheetData>
    <row r="1" spans="1:5" x14ac:dyDescent="0.2">
      <c r="A1" t="s">
        <v>227</v>
      </c>
      <c r="B1" s="3" t="s">
        <v>253</v>
      </c>
      <c r="C1" s="3" t="s">
        <v>254</v>
      </c>
      <c r="D1" s="3" t="s">
        <v>255</v>
      </c>
      <c r="E1" s="3" t="s">
        <v>256</v>
      </c>
    </row>
    <row r="2" spans="1:5" x14ac:dyDescent="0.2">
      <c r="A2" s="4" t="s">
        <v>251</v>
      </c>
      <c r="B2" s="4">
        <f>AVERAGE('4 1 Synthese-toutes-energies 20'!K:K)</f>
        <v>225622.12632352943</v>
      </c>
      <c r="C2" s="4">
        <f>AVERAGE('4 1 Synthese-toutes-energies 20'!Q:Q)</f>
        <v>27021.449455882335</v>
      </c>
      <c r="D2" s="4">
        <f>AVERAGE('4 1 Synthese-toutes-energies 20'!R:R)</f>
        <v>49.888650246305431</v>
      </c>
      <c r="E2" s="4">
        <f>AVERAGE('4 1 Synthese-toutes-energies 20'!I:I)</f>
        <v>142942.09477832506</v>
      </c>
    </row>
    <row r="3" spans="1:5" x14ac:dyDescent="0.2">
      <c r="A3" s="4" t="s">
        <v>252</v>
      </c>
      <c r="B3" s="4">
        <f>MEDIAN('4 1 Synthese-toutes-energies 20'!K:K)</f>
        <v>218248.97500000001</v>
      </c>
      <c r="C3" s="4">
        <f>MEDIAN('4 1 Synthese-toutes-energies 20'!Q:Q)</f>
        <v>26071.408500000001</v>
      </c>
      <c r="D3" s="4">
        <f>MEDIAN('4 1 Synthese-toutes-energies 20'!R:R)</f>
        <v>49.987000000000002</v>
      </c>
      <c r="E3" s="4">
        <f>MEDIAN('4 1 Synthese-toutes-energies 20'!I:I)</f>
        <v>142750.22500000001</v>
      </c>
    </row>
    <row r="4" spans="1:5" x14ac:dyDescent="0.2">
      <c r="A4" s="4" t="s">
        <v>257</v>
      </c>
      <c r="B4" s="4">
        <f>STDEV('4 1 Synthese-toutes-energies 20'!K:K)</f>
        <v>35604.820047689987</v>
      </c>
      <c r="C4" s="4">
        <f>STDEV('4 1 Synthese-toutes-energies 20'!Q:Q)</f>
        <v>4900.6757296982569</v>
      </c>
      <c r="D4" s="4">
        <f>STDEV('4 1 Synthese-toutes-energies 20'!R:R)</f>
        <v>1.5528037149191685</v>
      </c>
      <c r="E4" s="4">
        <f>STDEV('4 1 Synthese-toutes-energies 20'!S:S)</f>
        <v>4.9110311138278506</v>
      </c>
    </row>
    <row r="5" spans="1:5" x14ac:dyDescent="0.2">
      <c r="A5" s="4" t="s">
        <v>261</v>
      </c>
      <c r="B5" s="4">
        <f>MIN('4 1 Synthese-toutes-energies 20'!K:K)</f>
        <v>156717.94500000001</v>
      </c>
      <c r="C5" s="4">
        <f>MIN('4 1 Synthese-toutes-energies 20'!Q:Q)</f>
        <v>14804.465</v>
      </c>
      <c r="D5" s="4">
        <f>MIN('4 1 Synthese-toutes-energies 20'!R:R)</f>
        <v>44.884</v>
      </c>
      <c r="E5" s="4">
        <f>MIN('4 1 Synthese-toutes-energies 20'!I:I)</f>
        <v>102095.609</v>
      </c>
    </row>
    <row r="6" spans="1:5" x14ac:dyDescent="0.2">
      <c r="A6" s="4" t="s">
        <v>259</v>
      </c>
      <c r="B6" s="4">
        <f>MAX('4 1 Synthese-toutes-energies 20'!K:K)</f>
        <v>314157.56300000002</v>
      </c>
      <c r="C6" s="4">
        <f>MAX('4 1 Synthese-toutes-energies 20'!Q:Q)</f>
        <v>40714.197999999997</v>
      </c>
      <c r="D6" s="4">
        <f>MAX('4 1 Synthese-toutes-energies 20'!R:R)</f>
        <v>53.246000000000002</v>
      </c>
      <c r="E6" s="4">
        <f>MAX('4 1 Synthese-toutes-energies 20'!I:I)</f>
        <v>189172.50099999999</v>
      </c>
    </row>
    <row r="7" spans="1:5" x14ac:dyDescent="0.2">
      <c r="A7" s="4" t="s">
        <v>260</v>
      </c>
      <c r="B7" s="4">
        <f>B6-B5</f>
        <v>157439.61800000002</v>
      </c>
      <c r="C7" s="4">
        <f>C6-C5</f>
        <v>25909.732999999997</v>
      </c>
      <c r="D7" s="4">
        <f t="shared" ref="D7:E7" si="0">D6-D5</f>
        <v>8.3620000000000019</v>
      </c>
      <c r="E7" s="4">
        <f t="shared" si="0"/>
        <v>87076.891999999993</v>
      </c>
    </row>
    <row r="8" spans="1:5" x14ac:dyDescent="0.2">
      <c r="A8" s="4" t="s">
        <v>263</v>
      </c>
      <c r="B8" s="4">
        <f>QUARTILE('4 1 Synthese-toutes-energies 20'!K:K,1)</f>
        <v>199935.30225000001</v>
      </c>
      <c r="C8" s="4">
        <f>QUARTILE('4 1 Synthese-toutes-energies 20'!Q:Q,1)</f>
        <v>23178.774250000002</v>
      </c>
      <c r="D8" s="4">
        <f>QUARTILE('4 1 Synthese-toutes-energies 20'!R:R,1)</f>
        <v>48.661000000000001</v>
      </c>
      <c r="E8" s="4">
        <f>QUARTILE('4 1 Synthese-toutes-energies 20'!I:I,1)</f>
        <v>131834.28750000001</v>
      </c>
    </row>
    <row r="9" spans="1:5" x14ac:dyDescent="0.2">
      <c r="A9" s="4" t="s">
        <v>262</v>
      </c>
      <c r="B9" s="4">
        <f>QUARTILE('4 1 Synthese-toutes-energies 20'!K:K,3)</f>
        <v>255379.49325</v>
      </c>
      <c r="C9" s="4">
        <f>QUARTILE('4 1 Synthese-toutes-energies 20'!Q:Q,3)</f>
        <v>30179.593499999999</v>
      </c>
      <c r="D9" s="4">
        <f>QUARTILE('4 1 Synthese-toutes-energies 20'!R:R,3)</f>
        <v>50.842500000000001</v>
      </c>
      <c r="E9" s="4">
        <f>QUARTILE('4 1 Synthese-toutes-energies 20'!I:I,3)</f>
        <v>154202.076</v>
      </c>
    </row>
    <row r="10" spans="1:5" x14ac:dyDescent="0.2">
      <c r="A10" s="4" t="s">
        <v>258</v>
      </c>
      <c r="B10" s="4">
        <f>B4/B2</f>
        <v>0.15780730652557842</v>
      </c>
      <c r="C10" s="4">
        <f>C4/C2</f>
        <v>0.18136242978747472</v>
      </c>
      <c r="D10" s="4">
        <f t="shared" ref="D10:E10" si="1">D4/D2</f>
        <v>3.1125390389453628E-2</v>
      </c>
      <c r="E10" s="4">
        <f t="shared" si="1"/>
        <v>3.4356787071323454E-5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14E7-7F7A-AD48-873C-D3A8473CD21C}">
  <dimension ref="A2:E24"/>
  <sheetViews>
    <sheetView tabSelected="1" topLeftCell="A22" zoomScale="138" workbookViewId="0">
      <selection activeCell="D24" sqref="D24"/>
    </sheetView>
  </sheetViews>
  <sheetFormatPr baseColWidth="10" defaultRowHeight="16" x14ac:dyDescent="0.2"/>
  <cols>
    <col min="1" max="1" width="20" bestFit="1" customWidth="1"/>
    <col min="2" max="2" width="13.5" bestFit="1" customWidth="1"/>
    <col min="3" max="3" width="12.83203125" bestFit="1" customWidth="1"/>
    <col min="4" max="4" width="12.1640625" bestFit="1" customWidth="1"/>
    <col min="5" max="5" width="20" bestFit="1" customWidth="1"/>
    <col min="6" max="6" width="12.1640625" bestFit="1" customWidth="1"/>
  </cols>
  <sheetData>
    <row r="2" spans="1:5" x14ac:dyDescent="0.2">
      <c r="B2" t="s">
        <v>266</v>
      </c>
    </row>
    <row r="3" spans="1:5" x14ac:dyDescent="0.2">
      <c r="A3" s="5" t="s">
        <v>264</v>
      </c>
      <c r="B3" t="s">
        <v>267</v>
      </c>
      <c r="C3" t="s">
        <v>268</v>
      </c>
      <c r="D3" t="s">
        <v>269</v>
      </c>
      <c r="E3" t="s">
        <v>270</v>
      </c>
    </row>
    <row r="4" spans="1:5" x14ac:dyDescent="0.2">
      <c r="A4" s="6">
        <v>2006</v>
      </c>
      <c r="B4" s="1">
        <v>12218.928999999998</v>
      </c>
      <c r="C4" s="1">
        <v>83301.722333333339</v>
      </c>
      <c r="D4" s="1">
        <v>37889.774416666674</v>
      </c>
      <c r="E4" s="1">
        <v>113783.61333333333</v>
      </c>
    </row>
    <row r="5" spans="1:5" x14ac:dyDescent="0.2">
      <c r="A5" s="6">
        <v>2007</v>
      </c>
      <c r="B5" s="1">
        <v>12812.668666666665</v>
      </c>
      <c r="C5" s="1">
        <v>81814.336333333325</v>
      </c>
      <c r="D5" s="1">
        <v>36812.326583333335</v>
      </c>
      <c r="E5" s="1">
        <v>112049.58333333333</v>
      </c>
    </row>
    <row r="6" spans="1:5" x14ac:dyDescent="0.2">
      <c r="A6" s="6">
        <v>2008</v>
      </c>
      <c r="B6" s="1">
        <v>11937.465000000002</v>
      </c>
      <c r="C6" s="1">
        <v>81208.607166666654</v>
      </c>
      <c r="D6" s="1">
        <v>38010.593666666675</v>
      </c>
      <c r="E6" s="1">
        <v>113245.27491666668</v>
      </c>
    </row>
    <row r="7" spans="1:5" x14ac:dyDescent="0.2">
      <c r="A7" s="6">
        <v>2009</v>
      </c>
      <c r="B7" s="1">
        <v>10024.17575</v>
      </c>
      <c r="C7" s="1">
        <v>77834.986499999999</v>
      </c>
      <c r="D7" s="1">
        <v>36251.513500000001</v>
      </c>
      <c r="E7" s="1">
        <v>107286.75275</v>
      </c>
    </row>
    <row r="8" spans="1:5" x14ac:dyDescent="0.2">
      <c r="A8" s="6">
        <v>2010</v>
      </c>
      <c r="B8" s="1">
        <v>10572.517249999999</v>
      </c>
      <c r="C8" s="1">
        <v>76709.250916666657</v>
      </c>
      <c r="D8" s="1">
        <v>40665.557000000008</v>
      </c>
      <c r="E8" s="1">
        <v>112115.58858333336</v>
      </c>
    </row>
    <row r="9" spans="1:5" x14ac:dyDescent="0.2">
      <c r="A9" s="6">
        <v>2011</v>
      </c>
      <c r="B9" s="1">
        <v>8865.206416666666</v>
      </c>
      <c r="C9" s="1">
        <v>75255.403999999995</v>
      </c>
      <c r="D9" s="1">
        <v>35128.693166666664</v>
      </c>
      <c r="E9" s="1">
        <v>112282.79758333333</v>
      </c>
    </row>
    <row r="10" spans="1:5" x14ac:dyDescent="0.2">
      <c r="A10" s="6">
        <v>2012</v>
      </c>
      <c r="B10" s="1">
        <v>9887.2260000000006</v>
      </c>
      <c r="C10" s="1">
        <v>74113.919499999989</v>
      </c>
      <c r="D10" s="1">
        <v>36647.776666666665</v>
      </c>
      <c r="E10" s="1">
        <v>110543.02275</v>
      </c>
    </row>
    <row r="11" spans="1:5" x14ac:dyDescent="0.2">
      <c r="A11" s="6">
        <v>2013</v>
      </c>
      <c r="B11" s="1">
        <v>10493.818333333335</v>
      </c>
      <c r="C11" s="1">
        <v>73384.39675</v>
      </c>
      <c r="D11" s="1">
        <v>37168.664916666668</v>
      </c>
      <c r="E11" s="1">
        <v>110861.22183333333</v>
      </c>
    </row>
    <row r="12" spans="1:5" x14ac:dyDescent="0.2">
      <c r="A12" s="6">
        <v>2014</v>
      </c>
      <c r="B12" s="1">
        <v>8098.090416666666</v>
      </c>
      <c r="C12" s="1">
        <v>71308.001833333328</v>
      </c>
      <c r="D12" s="1">
        <v>31109.791083333334</v>
      </c>
      <c r="E12" s="1">
        <v>111952.06508333333</v>
      </c>
    </row>
    <row r="13" spans="1:5" x14ac:dyDescent="0.2">
      <c r="A13" s="6">
        <v>2015</v>
      </c>
      <c r="B13" s="1">
        <v>8378.4714166666672</v>
      </c>
      <c r="C13" s="1">
        <v>72351.266166666654</v>
      </c>
      <c r="D13" s="1">
        <v>33538.27416666667</v>
      </c>
      <c r="E13" s="1">
        <v>112307.48616666667</v>
      </c>
    </row>
    <row r="14" spans="1:5" x14ac:dyDescent="0.2">
      <c r="A14" s="6">
        <v>2016</v>
      </c>
      <c r="B14" s="1">
        <v>7998.6869166666656</v>
      </c>
      <c r="C14" s="1">
        <v>72210.386166666663</v>
      </c>
      <c r="D14" s="1">
        <v>36660.038083333333</v>
      </c>
      <c r="E14" s="1">
        <v>106009.38683333334</v>
      </c>
    </row>
    <row r="15" spans="1:5" x14ac:dyDescent="0.2">
      <c r="A15" s="6">
        <v>2017</v>
      </c>
      <c r="B15" s="1">
        <v>8720.2171666666691</v>
      </c>
      <c r="C15" s="1">
        <v>72663.979166666686</v>
      </c>
      <c r="D15" s="1">
        <v>36808.644333333337</v>
      </c>
      <c r="E15" s="1">
        <v>104333.06500000002</v>
      </c>
    </row>
    <row r="16" spans="1:5" x14ac:dyDescent="0.2">
      <c r="A16" s="6">
        <v>2018</v>
      </c>
      <c r="B16" s="1">
        <v>8038.9015833333333</v>
      </c>
      <c r="C16" s="1">
        <v>73350.996333333344</v>
      </c>
      <c r="D16" s="1">
        <v>35096.324416666663</v>
      </c>
      <c r="E16" s="1">
        <v>108104.1675</v>
      </c>
    </row>
    <row r="17" spans="1:5" x14ac:dyDescent="0.2">
      <c r="A17" s="6">
        <v>2019</v>
      </c>
      <c r="B17" s="1">
        <v>6387.4827500000001</v>
      </c>
      <c r="C17" s="1">
        <v>73161.556916666668</v>
      </c>
      <c r="D17" s="1">
        <v>35735.377</v>
      </c>
      <c r="E17" s="1">
        <v>104945.53266666667</v>
      </c>
    </row>
    <row r="18" spans="1:5" x14ac:dyDescent="0.2">
      <c r="A18" s="6">
        <v>2020</v>
      </c>
      <c r="B18" s="1">
        <v>5290.6178181818177</v>
      </c>
      <c r="C18" s="1">
        <v>61693.213416666666</v>
      </c>
      <c r="D18" s="1">
        <v>33168.847083333334</v>
      </c>
      <c r="E18" s="1">
        <v>95592.662583333324</v>
      </c>
    </row>
    <row r="19" spans="1:5" x14ac:dyDescent="0.2">
      <c r="A19" s="6">
        <v>2021</v>
      </c>
      <c r="B19" s="1">
        <v>6629.4677499999998</v>
      </c>
      <c r="C19" s="1">
        <v>67425.234416666673</v>
      </c>
      <c r="D19" s="1">
        <v>35206.837500000001</v>
      </c>
      <c r="E19" s="1">
        <v>101715.93675000001</v>
      </c>
    </row>
    <row r="20" spans="1:5" x14ac:dyDescent="0.2">
      <c r="A20" s="6">
        <v>2022</v>
      </c>
      <c r="B20" s="1">
        <v>5622.2667499999998</v>
      </c>
      <c r="C20" s="1">
        <v>66336.680416666655</v>
      </c>
      <c r="D20" s="1">
        <v>31775.548999999999</v>
      </c>
      <c r="E20" s="1">
        <v>84673.646416666656</v>
      </c>
    </row>
    <row r="21" spans="1:5" x14ac:dyDescent="0.2">
      <c r="A21" s="6" t="s">
        <v>265</v>
      </c>
      <c r="B21" s="1">
        <v>8957.7531527093543</v>
      </c>
      <c r="C21" s="1">
        <v>73771.996372549009</v>
      </c>
      <c r="D21" s="1">
        <v>35745.56368137255</v>
      </c>
      <c r="E21" s="1">
        <v>107164.81200490192</v>
      </c>
    </row>
    <row r="23" spans="1:5" x14ac:dyDescent="0.2">
      <c r="A23" t="s">
        <v>281</v>
      </c>
      <c r="B23" t="s">
        <v>282</v>
      </c>
      <c r="C23" t="s">
        <v>283</v>
      </c>
      <c r="D23" t="s">
        <v>284</v>
      </c>
      <c r="E23" t="s">
        <v>285</v>
      </c>
    </row>
    <row r="24" spans="1:5" x14ac:dyDescent="0.2">
      <c r="B24">
        <f>GETPIVOTDATA("Conso charbon",$A$3)</f>
        <v>8957.7531527093543</v>
      </c>
      <c r="C24">
        <f>GETPIVOTDATA("Conso pétrole",$A$3)</f>
        <v>73771.996372549009</v>
      </c>
      <c r="D24">
        <f>GETPIVOTDATA("Conso gaz",$A$3)</f>
        <v>35745.56368137255</v>
      </c>
      <c r="E24">
        <f>GETPIVOTDATA("Conso nucléaire + ENR",$A$3)</f>
        <v>107164.81200490192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B8D4-3FD2-9248-993F-B0DF8D7C670D}">
  <dimension ref="A3:B21"/>
  <sheetViews>
    <sheetView zoomScale="260" zoomScaleNormal="260" workbookViewId="0">
      <selection activeCell="B3" sqref="B3"/>
    </sheetView>
  </sheetViews>
  <sheetFormatPr baseColWidth="10" defaultRowHeight="16" x14ac:dyDescent="0.2"/>
  <cols>
    <col min="1" max="1" width="20" bestFit="1" customWidth="1"/>
    <col min="2" max="2" width="31" bestFit="1" customWidth="1"/>
  </cols>
  <sheetData>
    <row r="3" spans="1:2" x14ac:dyDescent="0.2">
      <c r="A3" s="5" t="s">
        <v>264</v>
      </c>
      <c r="B3" t="s">
        <v>288</v>
      </c>
    </row>
    <row r="4" spans="1:2" x14ac:dyDescent="0.2">
      <c r="A4" s="6">
        <v>2006</v>
      </c>
      <c r="B4" s="1">
        <v>365385.38200000004</v>
      </c>
    </row>
    <row r="5" spans="1:2" x14ac:dyDescent="0.2">
      <c r="A5" s="6">
        <v>2007</v>
      </c>
      <c r="B5" s="1">
        <v>359144.87699999998</v>
      </c>
    </row>
    <row r="6" spans="1:2" x14ac:dyDescent="0.2">
      <c r="A6" s="6">
        <v>2008</v>
      </c>
      <c r="B6" s="1">
        <v>359636.73100000003</v>
      </c>
    </row>
    <row r="7" spans="1:2" x14ac:dyDescent="0.2">
      <c r="A7" s="6">
        <v>2009</v>
      </c>
      <c r="B7" s="1">
        <v>341974.174</v>
      </c>
    </row>
    <row r="8" spans="1:2" x14ac:dyDescent="0.2">
      <c r="A8" s="6">
        <v>2010</v>
      </c>
      <c r="B8" s="1">
        <v>352087.38500000007</v>
      </c>
    </row>
    <row r="9" spans="1:2" x14ac:dyDescent="0.2">
      <c r="A9" s="6">
        <v>2011</v>
      </c>
      <c r="B9" s="1">
        <v>326114.65699999995</v>
      </c>
    </row>
    <row r="10" spans="1:2" x14ac:dyDescent="0.2">
      <c r="A10" s="6">
        <v>2012</v>
      </c>
      <c r="B10" s="1">
        <v>331894.09000000003</v>
      </c>
    </row>
    <row r="11" spans="1:2" x14ac:dyDescent="0.2">
      <c r="A11" s="6">
        <v>2013</v>
      </c>
      <c r="B11" s="1">
        <v>335034.57800000004</v>
      </c>
    </row>
    <row r="12" spans="1:2" x14ac:dyDescent="0.2">
      <c r="A12" s="6">
        <v>2014</v>
      </c>
      <c r="B12" s="1">
        <v>303573.26800000004</v>
      </c>
    </row>
    <row r="13" spans="1:2" x14ac:dyDescent="0.2">
      <c r="A13" s="6">
        <v>2015</v>
      </c>
      <c r="B13" s="1">
        <v>313317.45499999996</v>
      </c>
    </row>
    <row r="14" spans="1:2" x14ac:dyDescent="0.2">
      <c r="A14" s="6">
        <v>2016</v>
      </c>
      <c r="B14" s="1">
        <v>317186.89799999999</v>
      </c>
    </row>
    <row r="15" spans="1:2" x14ac:dyDescent="0.2">
      <c r="A15" s="6">
        <v>2017</v>
      </c>
      <c r="B15" s="1">
        <v>322059.08799999999</v>
      </c>
    </row>
    <row r="16" spans="1:2" x14ac:dyDescent="0.2">
      <c r="A16" s="6">
        <v>2018</v>
      </c>
      <c r="B16" s="1">
        <v>320209.674</v>
      </c>
    </row>
    <row r="17" spans="1:2" x14ac:dyDescent="0.2">
      <c r="A17" s="6">
        <v>2019</v>
      </c>
      <c r="B17" s="1">
        <v>313602.07199999999</v>
      </c>
    </row>
    <row r="18" spans="1:2" x14ac:dyDescent="0.2">
      <c r="A18" s="6">
        <v>2020</v>
      </c>
      <c r="B18" s="1">
        <v>268684.83199999999</v>
      </c>
    </row>
    <row r="19" spans="1:2" x14ac:dyDescent="0.2">
      <c r="A19" s="6">
        <v>2021</v>
      </c>
      <c r="B19" s="1">
        <v>295788.05799999996</v>
      </c>
    </row>
    <row r="20" spans="1:2" x14ac:dyDescent="0.2">
      <c r="A20" s="6">
        <v>2022</v>
      </c>
      <c r="B20" s="1">
        <v>286682.47000000003</v>
      </c>
    </row>
    <row r="21" spans="1:2" x14ac:dyDescent="0.2">
      <c r="A21" s="6" t="s">
        <v>265</v>
      </c>
      <c r="B21" s="1">
        <v>5512375.6890000002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49DB-44BC-5646-8ED0-7DF3BA9C167E}">
  <dimension ref="A2:C21"/>
  <sheetViews>
    <sheetView zoomScale="312" zoomScaleNormal="312" workbookViewId="0">
      <selection activeCell="C3" sqref="C3"/>
    </sheetView>
  </sheetViews>
  <sheetFormatPr baseColWidth="10" defaultRowHeight="16" x14ac:dyDescent="0.2"/>
  <cols>
    <col min="1" max="2" width="20" bestFit="1" customWidth="1"/>
    <col min="3" max="3" width="19.6640625" bestFit="1" customWidth="1"/>
    <col min="4" max="4" width="16.6640625" bestFit="1" customWidth="1"/>
  </cols>
  <sheetData>
    <row r="2" spans="1:3" x14ac:dyDescent="0.2">
      <c r="B2" t="s">
        <v>271</v>
      </c>
    </row>
    <row r="3" spans="1:3" x14ac:dyDescent="0.2">
      <c r="A3" s="5" t="s">
        <v>264</v>
      </c>
      <c r="B3" t="s">
        <v>286</v>
      </c>
      <c r="C3" t="s">
        <v>287</v>
      </c>
    </row>
    <row r="4" spans="1:3" x14ac:dyDescent="0.2">
      <c r="A4" s="6">
        <v>2006</v>
      </c>
      <c r="B4" s="1">
        <v>2006985.486</v>
      </c>
      <c r="C4" s="1">
        <v>383231.01400000002</v>
      </c>
    </row>
    <row r="5" spans="1:3" x14ac:dyDescent="0.2">
      <c r="A5" s="6">
        <v>2007</v>
      </c>
      <c r="B5" s="1">
        <v>1940772.9349999996</v>
      </c>
      <c r="C5" s="1">
        <v>366504.07299999997</v>
      </c>
    </row>
    <row r="6" spans="1:3" x14ac:dyDescent="0.2">
      <c r="A6" s="6">
        <v>2008</v>
      </c>
      <c r="B6" s="1">
        <v>2010048.8849999995</v>
      </c>
      <c r="C6" s="1">
        <v>401100.90899999999</v>
      </c>
    </row>
    <row r="7" spans="1:3" x14ac:dyDescent="0.2">
      <c r="A7" s="6">
        <v>2009</v>
      </c>
      <c r="B7" s="1">
        <v>1870809.8219999999</v>
      </c>
      <c r="C7" s="1">
        <v>317527.57500000001</v>
      </c>
    </row>
    <row r="8" spans="1:3" x14ac:dyDescent="0.2">
      <c r="A8" s="6">
        <v>2010</v>
      </c>
      <c r="B8" s="1">
        <v>1837908.7540000002</v>
      </c>
      <c r="C8" s="1">
        <v>318941.42800000001</v>
      </c>
    </row>
    <row r="9" spans="1:3" x14ac:dyDescent="0.2">
      <c r="A9" s="6">
        <v>2011</v>
      </c>
      <c r="B9" s="1">
        <v>1796817.6290000002</v>
      </c>
      <c r="C9" s="1">
        <v>342700.66600000003</v>
      </c>
    </row>
    <row r="10" spans="1:3" x14ac:dyDescent="0.2">
      <c r="A10" s="6">
        <v>2012</v>
      </c>
      <c r="B10" s="1">
        <v>1744378.4219999998</v>
      </c>
      <c r="C10" s="1">
        <v>303051.24599999998</v>
      </c>
    </row>
    <row r="11" spans="1:3" x14ac:dyDescent="0.2">
      <c r="A11" s="6">
        <v>2013</v>
      </c>
      <c r="B11" s="1">
        <v>1731394.8180000002</v>
      </c>
      <c r="C11" s="1">
        <v>286366.62199999997</v>
      </c>
    </row>
    <row r="12" spans="1:3" x14ac:dyDescent="0.2">
      <c r="A12" s="6">
        <v>2014</v>
      </c>
      <c r="B12" s="1">
        <v>1633823.8979999998</v>
      </c>
      <c r="C12" s="1">
        <v>326947.64199999993</v>
      </c>
    </row>
    <row r="13" spans="1:3" x14ac:dyDescent="0.2">
      <c r="A13" s="6">
        <v>2015</v>
      </c>
      <c r="B13" s="1">
        <v>1673220.5370000002</v>
      </c>
      <c r="C13" s="1">
        <v>341633.50099999999</v>
      </c>
    </row>
    <row r="14" spans="1:3" x14ac:dyDescent="0.2">
      <c r="A14" s="6">
        <v>2016</v>
      </c>
      <c r="B14" s="1">
        <v>1674874.7590000001</v>
      </c>
      <c r="C14" s="1">
        <v>311756.35399999993</v>
      </c>
    </row>
    <row r="15" spans="1:3" x14ac:dyDescent="0.2">
      <c r="A15" s="6">
        <v>2017</v>
      </c>
      <c r="B15" s="1">
        <v>1702017.3080000004</v>
      </c>
      <c r="C15" s="1">
        <v>333024.78899999999</v>
      </c>
    </row>
    <row r="16" spans="1:3" x14ac:dyDescent="0.2">
      <c r="A16" s="6">
        <v>2018</v>
      </c>
      <c r="B16" s="1">
        <v>1528087.3640000001</v>
      </c>
      <c r="C16" s="1">
        <v>310000.55099999998</v>
      </c>
    </row>
    <row r="17" spans="1:3" x14ac:dyDescent="0.2">
      <c r="A17" s="6">
        <v>2019</v>
      </c>
      <c r="B17" s="1">
        <v>1628608.9670000002</v>
      </c>
      <c r="C17" s="1">
        <v>337065.88700000005</v>
      </c>
    </row>
    <row r="18" spans="1:3" x14ac:dyDescent="0.2">
      <c r="A18" s="6">
        <v>2020</v>
      </c>
      <c r="B18" s="1">
        <v>1339609.726</v>
      </c>
      <c r="C18" s="1">
        <v>268338.55900000001</v>
      </c>
    </row>
    <row r="19" spans="1:3" x14ac:dyDescent="0.2">
      <c r="A19" s="6">
        <v>2021</v>
      </c>
      <c r="B19" s="1">
        <v>1416681.612</v>
      </c>
      <c r="C19" s="1">
        <v>242906.06099999996</v>
      </c>
    </row>
    <row r="20" spans="1:3" x14ac:dyDescent="0.2">
      <c r="A20" s="6">
        <v>2022</v>
      </c>
      <c r="B20" s="1">
        <v>1481204.3180000002</v>
      </c>
      <c r="C20" s="1">
        <v>264714.14199999999</v>
      </c>
    </row>
    <row r="21" spans="1:3" x14ac:dyDescent="0.2">
      <c r="A21" s="6" t="s">
        <v>265</v>
      </c>
      <c r="B21" s="1">
        <v>29017245.240000002</v>
      </c>
      <c r="C21" s="1">
        <v>5455811.0189999994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AF04-0C6B-9142-ABBD-6077AD76B366}">
  <dimension ref="A1:D5"/>
  <sheetViews>
    <sheetView zoomScale="159" zoomScaleNormal="159" workbookViewId="0">
      <selection activeCell="A8" sqref="A1:XFD1048576"/>
    </sheetView>
  </sheetViews>
  <sheetFormatPr baseColWidth="10" defaultRowHeight="16" x14ac:dyDescent="0.2"/>
  <cols>
    <col min="1" max="1" width="24.33203125" bestFit="1" customWidth="1"/>
    <col min="2" max="2" width="33.33203125" customWidth="1"/>
    <col min="3" max="3" width="26.83203125" customWidth="1"/>
    <col min="4" max="4" width="37.83203125" customWidth="1"/>
  </cols>
  <sheetData>
    <row r="1" spans="1:4" x14ac:dyDescent="0.2">
      <c r="A1" t="s">
        <v>227</v>
      </c>
      <c r="B1" t="s">
        <v>277</v>
      </c>
      <c r="C1" t="s">
        <v>278</v>
      </c>
      <c r="D1" t="s">
        <v>279</v>
      </c>
    </row>
    <row r="2" spans="1:4" x14ac:dyDescent="0.2">
      <c r="A2" t="s">
        <v>272</v>
      </c>
      <c r="B2">
        <f>CORREL('4 1 Synthese-toutes-energies 20'!K:K,'4 1 Synthese-toutes-energies 20'!Q:Q)</f>
        <v>0.9660366803740813</v>
      </c>
      <c r="C2">
        <f>CORREL('4 1 Synthese-toutes-energies 20'!O:O,'4 1 Synthese-toutes-energies 20'!Q:Q)</f>
        <v>0.99686604654056621</v>
      </c>
      <c r="D2">
        <f>CORREL('4 1 Synthese-toutes-energies 20'!H:H,'4 1 Synthese-toutes-energies 20'!R:R)</f>
        <v>0.19243325663738617</v>
      </c>
    </row>
    <row r="3" spans="1:4" x14ac:dyDescent="0.2">
      <c r="A3" t="s">
        <v>273</v>
      </c>
      <c r="B3">
        <f>RSQ('4 1 Synthese-toutes-energies 20'!Q:Q,'4 1 Synthese-toutes-energies 20'!K:K)</f>
        <v>0.93322686782817466</v>
      </c>
      <c r="D3">
        <f>RSQ('4 1 Synthese-toutes-energies 20'!R:R,'4 1 Synthese-toutes-energies 20'!H:H)</f>
        <v>3.703055826007013E-2</v>
      </c>
    </row>
    <row r="4" spans="1:4" x14ac:dyDescent="0.2">
      <c r="A4" t="s">
        <v>274</v>
      </c>
      <c r="B4">
        <f>SLOPE('4 1 Synthese-toutes-energies 20'!Q:Q,'4 1 Synthese-toutes-energies 20'!K:K)</f>
        <v>0.13296605648241752</v>
      </c>
      <c r="D4">
        <f>SLOPE('4 1 Synthese-toutes-energies 20'!R:R,'4 1 Synthese-toutes-energies 20'!H:H)</f>
        <v>1.8647817379785709E-5</v>
      </c>
    </row>
    <row r="5" spans="1:4" x14ac:dyDescent="0.2">
      <c r="A5" t="s">
        <v>275</v>
      </c>
      <c r="B5">
        <f>INTERCEPT('4 1 Synthese-toutes-energies 20'!Q:Q,'4 1 Synthese-toutes-energies 20'!K:K)</f>
        <v>-2978.6349365352216</v>
      </c>
      <c r="D5">
        <f>INTERCEPT('4 1 Synthese-toutes-energies 20'!R:R,'4 1 Synthese-toutes-energies 20'!H:H)</f>
        <v>47.819014759850283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756AFD-AE9E-E847-A880-6690FD2FA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4 1 Synthese-toutes-energies 20</vt:lpstr>
      <vt:lpstr>Statistiques à une variable</vt:lpstr>
      <vt:lpstr>Mix énergétique moyen par année</vt:lpstr>
      <vt:lpstr>Emissions CO2</vt:lpstr>
      <vt:lpstr>Import Exports par année</vt:lpstr>
      <vt:lpstr>Statistiques à deux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Valenza</dc:creator>
  <cp:lastModifiedBy>Dylan Valenza</cp:lastModifiedBy>
  <dcterms:created xsi:type="dcterms:W3CDTF">2026-05-06T12:39:36Z</dcterms:created>
  <dcterms:modified xsi:type="dcterms:W3CDTF">2026-05-07T14:47:40Z</dcterms:modified>
</cp:coreProperties>
</file>