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T\SAE 204\Energie\"/>
    </mc:Choice>
  </mc:AlternateContent>
  <xr:revisionPtr revIDLastSave="0" documentId="13_ncr:1_{E944D793-4720-4556-BADE-E94048D8CDB8}" xr6:coauthVersionLast="47" xr6:coauthVersionMax="47" xr10:uidLastSave="{00000000-0000-0000-0000-000000000000}"/>
  <bookViews>
    <workbookView xWindow="-120" yWindow="-120" windowWidth="29040" windowHeight="15840" activeTab="1" xr2:uid="{E9DFF96F-0125-4661-B2BF-F5488BD6FCB1}"/>
  </bookViews>
  <sheets>
    <sheet name="Synthese-Electricite" sheetId="2" r:id="rId1"/>
    <sheet name="Stats" sheetId="1" r:id="rId2"/>
  </sheets>
  <definedNames>
    <definedName name="_xlchart.v1.0" hidden="1">'Synthese-Electricite'!$F$1</definedName>
    <definedName name="_xlchart.v1.1" hidden="1">'Synthese-Electricite'!$F$2:$F$145</definedName>
    <definedName name="_xlchart.v1.10" hidden="1">'Synthese-Electricite'!$L$1:$L$145</definedName>
    <definedName name="_xlchart.v1.11" hidden="1">'Synthese-Electricite'!$L$2:$L$145</definedName>
    <definedName name="_xlchart.v1.2" hidden="1">'Synthese-Electricite'!$L$1:$L$145</definedName>
    <definedName name="_xlchart.v1.3" hidden="1">'Synthese-Electricite'!$L$2:$L$145</definedName>
    <definedName name="_xlchart.v1.4" hidden="1">'Synthese-Electricite'!$F$1</definedName>
    <definedName name="_xlchart.v1.5" hidden="1">'Synthese-Electricite'!$F$2:$F$145</definedName>
    <definedName name="_xlchart.v1.6" hidden="1">'Synthese-Electricite'!$L$1:$L$145</definedName>
    <definedName name="_xlchart.v1.7" hidden="1">'Synthese-Electricite'!$L$2:$L$145</definedName>
    <definedName name="_xlchart.v1.8" hidden="1">'Synthese-Electricite'!$F$1</definedName>
    <definedName name="_xlchart.v1.9" hidden="1">'Synthese-Electricite'!$F$2:$F$145</definedName>
    <definedName name="DonnéesExternes_1" localSheetId="0" hidden="1">'Synthese-Electricite'!$A$1:$I$517</definedName>
  </definedNames>
  <calcPr calcId="191029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5" i="1" l="1"/>
  <c r="B14" i="1"/>
  <c r="B13" i="1"/>
  <c r="B12" i="1"/>
  <c r="E7" i="1"/>
  <c r="D7" i="1"/>
  <c r="C7" i="1"/>
  <c r="B7" i="1"/>
  <c r="E6" i="1"/>
  <c r="D6" i="1"/>
  <c r="C6" i="1"/>
  <c r="B6" i="1"/>
  <c r="E5" i="1"/>
  <c r="D5" i="1"/>
  <c r="D8" i="1" s="1"/>
  <c r="C5" i="1"/>
  <c r="B5" i="1"/>
  <c r="E4" i="1"/>
  <c r="D4" i="1"/>
  <c r="C4" i="1"/>
  <c r="B4" i="1"/>
  <c r="M35" i="2"/>
  <c r="M197" i="2"/>
  <c r="K2" i="2"/>
  <c r="K3" i="2"/>
  <c r="K4" i="2"/>
  <c r="L4" i="2" s="1"/>
  <c r="K5" i="2"/>
  <c r="L5" i="2" s="1"/>
  <c r="K6" i="2"/>
  <c r="M6" i="2" s="1"/>
  <c r="K7" i="2"/>
  <c r="L7" i="2" s="1"/>
  <c r="K8" i="2"/>
  <c r="K9" i="2"/>
  <c r="K10" i="2"/>
  <c r="L10" i="2" s="1"/>
  <c r="K11" i="2"/>
  <c r="L11" i="2" s="1"/>
  <c r="K12" i="2"/>
  <c r="L12" i="2" s="1"/>
  <c r="K13" i="2"/>
  <c r="M13" i="2" s="1"/>
  <c r="K14" i="2"/>
  <c r="M14" i="2" s="1"/>
  <c r="K15" i="2"/>
  <c r="K16" i="2"/>
  <c r="L16" i="2" s="1"/>
  <c r="K17" i="2"/>
  <c r="L17" i="2" s="1"/>
  <c r="K18" i="2"/>
  <c r="L18" i="2" s="1"/>
  <c r="K19" i="2"/>
  <c r="K20" i="2"/>
  <c r="K21" i="2"/>
  <c r="K22" i="2"/>
  <c r="L22" i="2" s="1"/>
  <c r="K23" i="2"/>
  <c r="L23" i="2" s="1"/>
  <c r="K24" i="2"/>
  <c r="M24" i="2" s="1"/>
  <c r="K25" i="2"/>
  <c r="L25" i="2" s="1"/>
  <c r="K26" i="2"/>
  <c r="K27" i="2"/>
  <c r="K28" i="2"/>
  <c r="L28" i="2" s="1"/>
  <c r="K29" i="2"/>
  <c r="L29" i="2" s="1"/>
  <c r="K30" i="2"/>
  <c r="L30" i="2" s="1"/>
  <c r="K31" i="2"/>
  <c r="K32" i="2"/>
  <c r="M32" i="2" s="1"/>
  <c r="K33" i="2"/>
  <c r="K34" i="2"/>
  <c r="L34" i="2" s="1"/>
  <c r="K35" i="2"/>
  <c r="L35" i="2" s="1"/>
  <c r="K36" i="2"/>
  <c r="L36" i="2" s="1"/>
  <c r="K37" i="2"/>
  <c r="K38" i="2"/>
  <c r="K39" i="2"/>
  <c r="K40" i="2"/>
  <c r="L40" i="2" s="1"/>
  <c r="K41" i="2"/>
  <c r="L41" i="2" s="1"/>
  <c r="K42" i="2"/>
  <c r="M42" i="2" s="1"/>
  <c r="K43" i="2"/>
  <c r="L43" i="2" s="1"/>
  <c r="K44" i="2"/>
  <c r="K45" i="2"/>
  <c r="K46" i="2"/>
  <c r="L46" i="2" s="1"/>
  <c r="K47" i="2"/>
  <c r="L47" i="2" s="1"/>
  <c r="K48" i="2"/>
  <c r="L48" i="2" s="1"/>
  <c r="K49" i="2"/>
  <c r="M49" i="2" s="1"/>
  <c r="K50" i="2"/>
  <c r="M50" i="2" s="1"/>
  <c r="K51" i="2"/>
  <c r="K52" i="2"/>
  <c r="L52" i="2" s="1"/>
  <c r="K53" i="2"/>
  <c r="L53" i="2" s="1"/>
  <c r="K54" i="2"/>
  <c r="L54" i="2" s="1"/>
  <c r="K55" i="2"/>
  <c r="K56" i="2"/>
  <c r="K57" i="2"/>
  <c r="K58" i="2"/>
  <c r="L58" i="2" s="1"/>
  <c r="K59" i="2"/>
  <c r="L59" i="2" s="1"/>
  <c r="K60" i="2"/>
  <c r="M60" i="2" s="1"/>
  <c r="K61" i="2"/>
  <c r="L61" i="2" s="1"/>
  <c r="K62" i="2"/>
  <c r="K63" i="2"/>
  <c r="K64" i="2"/>
  <c r="L64" i="2" s="1"/>
  <c r="K65" i="2"/>
  <c r="L65" i="2" s="1"/>
  <c r="K66" i="2"/>
  <c r="L66" i="2" s="1"/>
  <c r="K67" i="2"/>
  <c r="K68" i="2"/>
  <c r="M68" i="2" s="1"/>
  <c r="K69" i="2"/>
  <c r="K70" i="2"/>
  <c r="L70" i="2" s="1"/>
  <c r="K71" i="2"/>
  <c r="L71" i="2" s="1"/>
  <c r="K72" i="2"/>
  <c r="L72" i="2" s="1"/>
  <c r="K73" i="2"/>
  <c r="K74" i="2"/>
  <c r="K75" i="2"/>
  <c r="K76" i="2"/>
  <c r="L76" i="2" s="1"/>
  <c r="K77" i="2"/>
  <c r="L77" i="2" s="1"/>
  <c r="K78" i="2"/>
  <c r="M78" i="2" s="1"/>
  <c r="K79" i="2"/>
  <c r="L79" i="2" s="1"/>
  <c r="K80" i="2"/>
  <c r="K81" i="2"/>
  <c r="K82" i="2"/>
  <c r="L82" i="2" s="1"/>
  <c r="K83" i="2"/>
  <c r="L83" i="2" s="1"/>
  <c r="K84" i="2"/>
  <c r="L84" i="2" s="1"/>
  <c r="K85" i="2"/>
  <c r="M85" i="2" s="1"/>
  <c r="K86" i="2"/>
  <c r="M86" i="2" s="1"/>
  <c r="K87" i="2"/>
  <c r="K88" i="2"/>
  <c r="L88" i="2" s="1"/>
  <c r="K89" i="2"/>
  <c r="L89" i="2" s="1"/>
  <c r="K90" i="2"/>
  <c r="K91" i="2"/>
  <c r="K92" i="2"/>
  <c r="K93" i="2"/>
  <c r="K94" i="2"/>
  <c r="L94" i="2" s="1"/>
  <c r="K95" i="2"/>
  <c r="L95" i="2" s="1"/>
  <c r="K96" i="2"/>
  <c r="K97" i="2"/>
  <c r="L97" i="2" s="1"/>
  <c r="K98" i="2"/>
  <c r="K99" i="2"/>
  <c r="K100" i="2"/>
  <c r="L100" i="2" s="1"/>
  <c r="K101" i="2"/>
  <c r="L101" i="2" s="1"/>
  <c r="K102" i="2"/>
  <c r="K103" i="2"/>
  <c r="K104" i="2"/>
  <c r="M104" i="2" s="1"/>
  <c r="K105" i="2"/>
  <c r="K106" i="2"/>
  <c r="L106" i="2" s="1"/>
  <c r="K107" i="2"/>
  <c r="L107" i="2" s="1"/>
  <c r="K108" i="2"/>
  <c r="K109" i="2"/>
  <c r="K110" i="2"/>
  <c r="K111" i="2"/>
  <c r="K112" i="2"/>
  <c r="L112" i="2" s="1"/>
  <c r="K113" i="2"/>
  <c r="L113" i="2" s="1"/>
  <c r="K114" i="2"/>
  <c r="K115" i="2"/>
  <c r="L115" i="2" s="1"/>
  <c r="K116" i="2"/>
  <c r="K117" i="2"/>
  <c r="K118" i="2"/>
  <c r="L118" i="2" s="1"/>
  <c r="K119" i="2"/>
  <c r="L119" i="2" s="1"/>
  <c r="K120" i="2"/>
  <c r="K121" i="2"/>
  <c r="M121" i="2" s="1"/>
  <c r="K122" i="2"/>
  <c r="M122" i="2" s="1"/>
  <c r="K123" i="2"/>
  <c r="K124" i="2"/>
  <c r="L124" i="2" s="1"/>
  <c r="K125" i="2"/>
  <c r="L125" i="2" s="1"/>
  <c r="K126" i="2"/>
  <c r="K127" i="2"/>
  <c r="K128" i="2"/>
  <c r="K129" i="2"/>
  <c r="K130" i="2"/>
  <c r="L130" i="2" s="1"/>
  <c r="K131" i="2"/>
  <c r="L131" i="2" s="1"/>
  <c r="K132" i="2"/>
  <c r="K133" i="2"/>
  <c r="L133" i="2" s="1"/>
  <c r="K134" i="2"/>
  <c r="K135" i="2"/>
  <c r="K136" i="2"/>
  <c r="L136" i="2" s="1"/>
  <c r="K137" i="2"/>
  <c r="L137" i="2" s="1"/>
  <c r="K138" i="2"/>
  <c r="K139" i="2"/>
  <c r="K140" i="2"/>
  <c r="M140" i="2" s="1"/>
  <c r="K141" i="2"/>
  <c r="K142" i="2"/>
  <c r="L142" i="2" s="1"/>
  <c r="K143" i="2"/>
  <c r="L143" i="2" s="1"/>
  <c r="K144" i="2"/>
  <c r="K145" i="2"/>
  <c r="K146" i="2"/>
  <c r="K147" i="2"/>
  <c r="K148" i="2"/>
  <c r="K149" i="2"/>
  <c r="L149" i="2" s="1"/>
  <c r="K150" i="2"/>
  <c r="K151" i="2"/>
  <c r="L151" i="2" s="1"/>
  <c r="K152" i="2"/>
  <c r="K153" i="2"/>
  <c r="K154" i="2"/>
  <c r="K155" i="2"/>
  <c r="L155" i="2" s="1"/>
  <c r="K156" i="2"/>
  <c r="K157" i="2"/>
  <c r="M157" i="2" s="1"/>
  <c r="K158" i="2"/>
  <c r="K159" i="2"/>
  <c r="K160" i="2"/>
  <c r="K161" i="2"/>
  <c r="L161" i="2" s="1"/>
  <c r="K162" i="2"/>
  <c r="K163" i="2"/>
  <c r="K164" i="2"/>
  <c r="K165" i="2"/>
  <c r="K166" i="2"/>
  <c r="K167" i="2"/>
  <c r="L167" i="2" s="1"/>
  <c r="K168" i="2"/>
  <c r="K169" i="2"/>
  <c r="L169" i="2" s="1"/>
  <c r="K170" i="2"/>
  <c r="K171" i="2"/>
  <c r="K172" i="2"/>
  <c r="K173" i="2"/>
  <c r="L173" i="2" s="1"/>
  <c r="K174" i="2"/>
  <c r="K175" i="2"/>
  <c r="K176" i="2"/>
  <c r="M176" i="2" s="1"/>
  <c r="K177" i="2"/>
  <c r="K178" i="2"/>
  <c r="K179" i="2"/>
  <c r="L179" i="2" s="1"/>
  <c r="K180" i="2"/>
  <c r="K181" i="2"/>
  <c r="K182" i="2"/>
  <c r="K183" i="2"/>
  <c r="K184" i="2"/>
  <c r="K185" i="2"/>
  <c r="L185" i="2" s="1"/>
  <c r="K186" i="2"/>
  <c r="K187" i="2"/>
  <c r="L187" i="2" s="1"/>
  <c r="K188" i="2"/>
  <c r="K189" i="2"/>
  <c r="K190" i="2"/>
  <c r="K191" i="2"/>
  <c r="L191" i="2" s="1"/>
  <c r="K192" i="2"/>
  <c r="K193" i="2"/>
  <c r="K194" i="2"/>
  <c r="M194" i="2" s="1"/>
  <c r="K195" i="2"/>
  <c r="K196" i="2"/>
  <c r="K197" i="2"/>
  <c r="L197" i="2" s="1"/>
  <c r="K198" i="2"/>
  <c r="K199" i="2"/>
  <c r="K200" i="2"/>
  <c r="K201" i="2"/>
  <c r="K202" i="2"/>
  <c r="K203" i="2"/>
  <c r="L203" i="2" s="1"/>
  <c r="K204" i="2"/>
  <c r="K205" i="2"/>
  <c r="L205" i="2" s="1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L104" i="2" l="1"/>
  <c r="L68" i="2"/>
  <c r="L32" i="2"/>
  <c r="C8" i="1"/>
  <c r="M191" i="2"/>
  <c r="M29" i="2"/>
  <c r="M143" i="2"/>
  <c r="M137" i="2"/>
  <c r="E8" i="1"/>
  <c r="M89" i="2"/>
  <c r="M83" i="2"/>
  <c r="L13" i="2"/>
  <c r="M173" i="2"/>
  <c r="M119" i="2"/>
  <c r="M65" i="2"/>
  <c r="M11" i="2"/>
  <c r="M161" i="2"/>
  <c r="M107" i="2"/>
  <c r="M53" i="2"/>
  <c r="M179" i="2"/>
  <c r="M125" i="2"/>
  <c r="M71" i="2"/>
  <c r="M17" i="2"/>
  <c r="M155" i="2"/>
  <c r="M101" i="2"/>
  <c r="M47" i="2"/>
  <c r="L200" i="2"/>
  <c r="M200" i="2"/>
  <c r="L164" i="2"/>
  <c r="M164" i="2"/>
  <c r="L201" i="2"/>
  <c r="M201" i="2"/>
  <c r="L195" i="2"/>
  <c r="M195" i="2"/>
  <c r="L189" i="2"/>
  <c r="M189" i="2"/>
  <c r="L183" i="2"/>
  <c r="M183" i="2"/>
  <c r="L177" i="2"/>
  <c r="M177" i="2"/>
  <c r="L171" i="2"/>
  <c r="M171" i="2"/>
  <c r="L165" i="2"/>
  <c r="M165" i="2"/>
  <c r="L159" i="2"/>
  <c r="M159" i="2"/>
  <c r="L153" i="2"/>
  <c r="M153" i="2"/>
  <c r="L147" i="2"/>
  <c r="M147" i="2"/>
  <c r="L141" i="2"/>
  <c r="M141" i="2"/>
  <c r="L135" i="2"/>
  <c r="M135" i="2"/>
  <c r="L129" i="2"/>
  <c r="M129" i="2"/>
  <c r="L123" i="2"/>
  <c r="M123" i="2"/>
  <c r="L117" i="2"/>
  <c r="M117" i="2"/>
  <c r="L111" i="2"/>
  <c r="M111" i="2"/>
  <c r="L105" i="2"/>
  <c r="M105" i="2"/>
  <c r="L99" i="2"/>
  <c r="M99" i="2"/>
  <c r="L93" i="2"/>
  <c r="M93" i="2"/>
  <c r="L87" i="2"/>
  <c r="M87" i="2"/>
  <c r="L81" i="2"/>
  <c r="M81" i="2"/>
  <c r="L75" i="2"/>
  <c r="M75" i="2"/>
  <c r="L69" i="2"/>
  <c r="M69" i="2"/>
  <c r="L63" i="2"/>
  <c r="M63" i="2"/>
  <c r="L57" i="2"/>
  <c r="M57" i="2"/>
  <c r="L51" i="2"/>
  <c r="M51" i="2"/>
  <c r="L45" i="2"/>
  <c r="M45" i="2"/>
  <c r="L39" i="2"/>
  <c r="M39" i="2"/>
  <c r="L33" i="2"/>
  <c r="M33" i="2"/>
  <c r="L27" i="2"/>
  <c r="M27" i="2"/>
  <c r="L21" i="2"/>
  <c r="M21" i="2"/>
  <c r="L15" i="2"/>
  <c r="M15" i="2"/>
  <c r="L9" i="2"/>
  <c r="M9" i="2"/>
  <c r="L3" i="2"/>
  <c r="M3" i="2"/>
  <c r="L194" i="2"/>
  <c r="L85" i="2"/>
  <c r="M205" i="2"/>
  <c r="M169" i="2"/>
  <c r="M133" i="2"/>
  <c r="M97" i="2"/>
  <c r="M61" i="2"/>
  <c r="M25" i="2"/>
  <c r="L146" i="2"/>
  <c r="M146" i="2"/>
  <c r="L176" i="2"/>
  <c r="L182" i="2"/>
  <c r="M182" i="2"/>
  <c r="L152" i="2"/>
  <c r="M152" i="2"/>
  <c r="L199" i="2"/>
  <c r="M199" i="2"/>
  <c r="L193" i="2"/>
  <c r="M193" i="2"/>
  <c r="L181" i="2"/>
  <c r="M181" i="2"/>
  <c r="L175" i="2"/>
  <c r="M175" i="2"/>
  <c r="L163" i="2"/>
  <c r="M163" i="2"/>
  <c r="L145" i="2"/>
  <c r="M145" i="2"/>
  <c r="L139" i="2"/>
  <c r="M139" i="2"/>
  <c r="L127" i="2"/>
  <c r="M127" i="2"/>
  <c r="L109" i="2"/>
  <c r="M109" i="2"/>
  <c r="L103" i="2"/>
  <c r="M103" i="2"/>
  <c r="L91" i="2"/>
  <c r="M91" i="2"/>
  <c r="L73" i="2"/>
  <c r="M73" i="2"/>
  <c r="L67" i="2"/>
  <c r="M67" i="2"/>
  <c r="L55" i="2"/>
  <c r="M55" i="2"/>
  <c r="L37" i="2"/>
  <c r="M37" i="2"/>
  <c r="L31" i="2"/>
  <c r="M31" i="2"/>
  <c r="L19" i="2"/>
  <c r="M19" i="2"/>
  <c r="L157" i="2"/>
  <c r="L49" i="2"/>
  <c r="L188" i="2"/>
  <c r="M188" i="2"/>
  <c r="M158" i="2"/>
  <c r="L158" i="2"/>
  <c r="M204" i="2"/>
  <c r="L204" i="2"/>
  <c r="L198" i="2"/>
  <c r="M198" i="2"/>
  <c r="L192" i="2"/>
  <c r="M192" i="2"/>
  <c r="M186" i="2"/>
  <c r="L186" i="2"/>
  <c r="L180" i="2"/>
  <c r="M180" i="2"/>
  <c r="L174" i="2"/>
  <c r="M174" i="2"/>
  <c r="M168" i="2"/>
  <c r="L168" i="2"/>
  <c r="L162" i="2"/>
  <c r="M162" i="2"/>
  <c r="L156" i="2"/>
  <c r="M156" i="2"/>
  <c r="M150" i="2"/>
  <c r="L150" i="2"/>
  <c r="L144" i="2"/>
  <c r="M144" i="2"/>
  <c r="L138" i="2"/>
  <c r="M138" i="2"/>
  <c r="M132" i="2"/>
  <c r="L132" i="2"/>
  <c r="L126" i="2"/>
  <c r="M126" i="2"/>
  <c r="L120" i="2"/>
  <c r="M120" i="2"/>
  <c r="M114" i="2"/>
  <c r="L114" i="2"/>
  <c r="L108" i="2"/>
  <c r="M108" i="2"/>
  <c r="L102" i="2"/>
  <c r="M102" i="2"/>
  <c r="M96" i="2"/>
  <c r="L96" i="2"/>
  <c r="L90" i="2"/>
  <c r="M90" i="2"/>
  <c r="L140" i="2"/>
  <c r="M187" i="2"/>
  <c r="M151" i="2"/>
  <c r="M115" i="2"/>
  <c r="M79" i="2"/>
  <c r="M43" i="2"/>
  <c r="M7" i="2"/>
  <c r="L121" i="2"/>
  <c r="L170" i="2"/>
  <c r="M170" i="2"/>
  <c r="L202" i="2"/>
  <c r="M202" i="2"/>
  <c r="L196" i="2"/>
  <c r="M196" i="2"/>
  <c r="L190" i="2"/>
  <c r="M190" i="2"/>
  <c r="L184" i="2"/>
  <c r="M184" i="2"/>
  <c r="L178" i="2"/>
  <c r="M178" i="2"/>
  <c r="L172" i="2"/>
  <c r="M172" i="2"/>
  <c r="L166" i="2"/>
  <c r="M166" i="2"/>
  <c r="L160" i="2"/>
  <c r="M160" i="2"/>
  <c r="L154" i="2"/>
  <c r="M154" i="2"/>
  <c r="L148" i="2"/>
  <c r="M148" i="2"/>
  <c r="L60" i="2"/>
  <c r="L24" i="2"/>
  <c r="M203" i="2"/>
  <c r="M185" i="2"/>
  <c r="M167" i="2"/>
  <c r="M149" i="2"/>
  <c r="M131" i="2"/>
  <c r="M113" i="2"/>
  <c r="M95" i="2"/>
  <c r="M77" i="2"/>
  <c r="M59" i="2"/>
  <c r="M41" i="2"/>
  <c r="M23" i="2"/>
  <c r="M5" i="2"/>
  <c r="L122" i="2"/>
  <c r="L86" i="2"/>
  <c r="L50" i="2"/>
  <c r="L14" i="2"/>
  <c r="M130" i="2"/>
  <c r="M112" i="2"/>
  <c r="M94" i="2"/>
  <c r="M84" i="2"/>
  <c r="M76" i="2"/>
  <c r="M66" i="2"/>
  <c r="M58" i="2"/>
  <c r="M48" i="2"/>
  <c r="M40" i="2"/>
  <c r="M30" i="2"/>
  <c r="M22" i="2"/>
  <c r="M12" i="2"/>
  <c r="M4" i="2"/>
  <c r="B8" i="1"/>
  <c r="L134" i="2"/>
  <c r="M134" i="2"/>
  <c r="L128" i="2"/>
  <c r="M128" i="2"/>
  <c r="L116" i="2"/>
  <c r="M116" i="2"/>
  <c r="L110" i="2"/>
  <c r="M110" i="2"/>
  <c r="L98" i="2"/>
  <c r="M98" i="2"/>
  <c r="L92" i="2"/>
  <c r="M92" i="2"/>
  <c r="L80" i="2"/>
  <c r="M80" i="2"/>
  <c r="L74" i="2"/>
  <c r="M74" i="2"/>
  <c r="L62" i="2"/>
  <c r="M62" i="2"/>
  <c r="L56" i="2"/>
  <c r="M56" i="2"/>
  <c r="L44" i="2"/>
  <c r="M44" i="2"/>
  <c r="L38" i="2"/>
  <c r="M38" i="2"/>
  <c r="L26" i="2"/>
  <c r="M26" i="2"/>
  <c r="L20" i="2"/>
  <c r="M20" i="2"/>
  <c r="L8" i="2"/>
  <c r="M8" i="2"/>
  <c r="L2" i="2"/>
  <c r="M2" i="2"/>
  <c r="L78" i="2"/>
  <c r="L42" i="2"/>
  <c r="L6" i="2"/>
  <c r="M136" i="2"/>
  <c r="M118" i="2"/>
  <c r="M100" i="2"/>
  <c r="M82" i="2"/>
  <c r="M72" i="2"/>
  <c r="M64" i="2"/>
  <c r="M54" i="2"/>
  <c r="M46" i="2"/>
  <c r="M36" i="2"/>
  <c r="M28" i="2"/>
  <c r="M18" i="2"/>
  <c r="M10" i="2"/>
  <c r="M142" i="2"/>
  <c r="M124" i="2"/>
  <c r="M106" i="2"/>
  <c r="M88" i="2"/>
  <c r="M70" i="2"/>
  <c r="M52" i="2"/>
  <c r="M34" i="2"/>
  <c r="M1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968DF6-BAE7-4930-9E5E-3872A2725C9A}" keepAlive="1" name="Requête - 4 2-Synthese-Electricite 2026-04" description="Connexion à la requête « 4 2-Synthese-Electricite 2026-04 » dans le classeur." type="5" refreshedVersion="7" background="1" saveData="1">
    <dbPr connection="Provider=Microsoft.Mashup.OleDb.1;Data Source=$Workbook$;Location=&quot;4 2-Synthese-Electricite 2026-04&quot;;Extended Properties=&quot;&quot;" command="SELECT * FROM [4 2-Synthese-Electricite 2026-04]"/>
  </connection>
</connections>
</file>

<file path=xl/sharedStrings.xml><?xml version="1.0" encoding="utf-8"?>
<sst xmlns="http://schemas.openxmlformats.org/spreadsheetml/2006/main" count="620" uniqueCount="271">
  <si>
    <t>Période</t>
  </si>
  <si>
    <t>DJU</t>
  </si>
  <si>
    <t>0</t>
  </si>
  <si>
    <t>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</si>
  <si>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</si>
  <si>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</si>
  <si>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</si>
  <si>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</si>
  <si>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</si>
  <si>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</si>
  <si>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</si>
  <si>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</si>
  <si>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</si>
  <si>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121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</si>
  <si>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</si>
  <si>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</si>
  <si>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</si>
  <si>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</si>
  <si>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</si>
  <si>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</si>
  <si>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</si>
  <si>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</si>
  <si>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</si>
  <si>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</si>
  <si>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</si>
  <si>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</si>
  <si>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</si>
  <si>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</si>
  <si>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</si>
  <si>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331</t>
  </si>
  <si>
    <t>2020-12</t>
  </si>
  <si>
    <t>2020-11</t>
  </si>
  <si>
    <t>153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</si>
  <si>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</si>
  <si>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</si>
  <si>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</si>
  <si>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</si>
  <si>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</si>
  <si>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</si>
  <si>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</si>
  <si>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</si>
  <si>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195</t>
  </si>
  <si>
    <t>2020-02</t>
  </si>
  <si>
    <t>2020-01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</si>
  <si>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</si>
  <si>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</si>
  <si>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</si>
  <si>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</si>
  <si>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</si>
  <si>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</si>
  <si>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</si>
  <si>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</si>
  <si>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</si>
  <si>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</si>
  <si>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</si>
  <si>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</si>
  <si>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2018-12</t>
  </si>
  <si>
    <t>2018-11</t>
  </si>
  <si>
    <t>2018-10</t>
  </si>
  <si>
    <t>76</t>
  </si>
  <si>
    <t>2018-09</t>
  </si>
  <si>
    <t>2018-08</t>
  </si>
  <si>
    <t>2018-07</t>
  </si>
  <si>
    <t>2018-06</t>
  </si>
  <si>
    <t>2018-05</t>
  </si>
  <si>
    <t>2018-04</t>
  </si>
  <si>
    <t>2018-03</t>
  </si>
  <si>
    <t>2018-02</t>
  </si>
  <si>
    <t>2018-01</t>
  </si>
  <si>
    <t>2017-12</t>
  </si>
  <si>
    <t>2017-11</t>
  </si>
  <si>
    <t>2017-10</t>
  </si>
  <si>
    <t>53</t>
  </si>
  <si>
    <t>2017-09</t>
  </si>
  <si>
    <t>2017-08</t>
  </si>
  <si>
    <t>2017-07</t>
  </si>
  <si>
    <t>2017-06</t>
  </si>
  <si>
    <t>2017-05</t>
  </si>
  <si>
    <t>2017-04</t>
  </si>
  <si>
    <t>2017-03</t>
  </si>
  <si>
    <t>2017-02</t>
  </si>
  <si>
    <t>2017-01</t>
  </si>
  <si>
    <t>2016-12</t>
  </si>
  <si>
    <t>102086</t>
  </si>
  <si>
    <t>2016-11</t>
  </si>
  <si>
    <t>2016-10</t>
  </si>
  <si>
    <t>2016-09</t>
  </si>
  <si>
    <t>2016-08</t>
  </si>
  <si>
    <t>2016-07</t>
  </si>
  <si>
    <t>2016-06</t>
  </si>
  <si>
    <t>2016-05</t>
  </si>
  <si>
    <t>2016-04</t>
  </si>
  <si>
    <t>2016-03</t>
  </si>
  <si>
    <t>2016-02</t>
  </si>
  <si>
    <t>2016-01</t>
  </si>
  <si>
    <t>2015-12</t>
  </si>
  <si>
    <t>2015-11</t>
  </si>
  <si>
    <t>2015-10</t>
  </si>
  <si>
    <t>105</t>
  </si>
  <si>
    <t>2015-09</t>
  </si>
  <si>
    <t>2015-08</t>
  </si>
  <si>
    <t>2015-07</t>
  </si>
  <si>
    <t>2015-06</t>
  </si>
  <si>
    <t>2015-05</t>
  </si>
  <si>
    <t>2015-04</t>
  </si>
  <si>
    <t>2015-03</t>
  </si>
  <si>
    <t>2015-02</t>
  </si>
  <si>
    <t>2015-01</t>
  </si>
  <si>
    <t>2014-12</t>
  </si>
  <si>
    <t>2014-11</t>
  </si>
  <si>
    <t>2014-10</t>
  </si>
  <si>
    <t>2014-09</t>
  </si>
  <si>
    <t>2014-08</t>
  </si>
  <si>
    <t>2014-07</t>
  </si>
  <si>
    <t>2014-06</t>
  </si>
  <si>
    <t>2014-05</t>
  </si>
  <si>
    <t>2014-04</t>
  </si>
  <si>
    <t>2014-03</t>
  </si>
  <si>
    <t>2014-02</t>
  </si>
  <si>
    <t>2014-01</t>
  </si>
  <si>
    <t>2013-12</t>
  </si>
  <si>
    <t>2013-11</t>
  </si>
  <si>
    <t>2013-10</t>
  </si>
  <si>
    <t>2013-09</t>
  </si>
  <si>
    <t>2013-08</t>
  </si>
  <si>
    <t>2013-07</t>
  </si>
  <si>
    <t>2013-06</t>
  </si>
  <si>
    <t>2013-05</t>
  </si>
  <si>
    <t>2013-04</t>
  </si>
  <si>
    <t>2013-03</t>
  </si>
  <si>
    <t>2013-02</t>
  </si>
  <si>
    <t>2013-01</t>
  </si>
  <si>
    <t>2012-12</t>
  </si>
  <si>
    <t>2012-11</t>
  </si>
  <si>
    <t>2012-10</t>
  </si>
  <si>
    <t>2012-09</t>
  </si>
  <si>
    <t>2012-08</t>
  </si>
  <si>
    <t>2012-07</t>
  </si>
  <si>
    <t>2012-06</t>
  </si>
  <si>
    <t>2012-05</t>
  </si>
  <si>
    <t>2012-04</t>
  </si>
  <si>
    <t>2012-03</t>
  </si>
  <si>
    <t>2012-02</t>
  </si>
  <si>
    <t>2012-01</t>
  </si>
  <si>
    <t>2011-12</t>
  </si>
  <si>
    <t>240</t>
  </si>
  <si>
    <t>2011-11</t>
  </si>
  <si>
    <t>2011-10</t>
  </si>
  <si>
    <t>2011-09</t>
  </si>
  <si>
    <t>2011-08</t>
  </si>
  <si>
    <t>2011-07</t>
  </si>
  <si>
    <t>2011-06</t>
  </si>
  <si>
    <t>2011-05</t>
  </si>
  <si>
    <t>2011-04</t>
  </si>
  <si>
    <t>2011-03</t>
  </si>
  <si>
    <t>2011-02</t>
  </si>
  <si>
    <t>2011-01</t>
  </si>
  <si>
    <t>2010-12</t>
  </si>
  <si>
    <t/>
  </si>
  <si>
    <t>2010-11</t>
  </si>
  <si>
    <t>2010-10</t>
  </si>
  <si>
    <t>2010-09</t>
  </si>
  <si>
    <t>2010-08</t>
  </si>
  <si>
    <t>2010-07</t>
  </si>
  <si>
    <t>2010-06</t>
  </si>
  <si>
    <t>2010-05</t>
  </si>
  <si>
    <t>2010-04</t>
  </si>
  <si>
    <t>2010-03</t>
  </si>
  <si>
    <t>236</t>
  </si>
  <si>
    <t>2010-02</t>
  </si>
  <si>
    <t>2010-01</t>
  </si>
  <si>
    <t>2009-12</t>
  </si>
  <si>
    <t>2009-11</t>
  </si>
  <si>
    <t>2009-10</t>
  </si>
  <si>
    <t>92</t>
  </si>
  <si>
    <t>2009-09</t>
  </si>
  <si>
    <t>2009-08</t>
  </si>
  <si>
    <t>2009-07</t>
  </si>
  <si>
    <t>2009-06</t>
  </si>
  <si>
    <t>2009-05</t>
  </si>
  <si>
    <t>2009-04</t>
  </si>
  <si>
    <t>2009-03</t>
  </si>
  <si>
    <t>2009-02</t>
  </si>
  <si>
    <t>2009-01</t>
  </si>
  <si>
    <t>2008-12</t>
  </si>
  <si>
    <t>2008-11</t>
  </si>
  <si>
    <t>2008-10</t>
  </si>
  <si>
    <t>2008-09</t>
  </si>
  <si>
    <t>2008-08</t>
  </si>
  <si>
    <t>2008-07</t>
  </si>
  <si>
    <t>2008-06</t>
  </si>
  <si>
    <t>2008-05</t>
  </si>
  <si>
    <t>2008-04</t>
  </si>
  <si>
    <t>2008-03</t>
  </si>
  <si>
    <t>232</t>
  </si>
  <si>
    <t>2008-02</t>
  </si>
  <si>
    <t>2008-01</t>
  </si>
  <si>
    <t>2007-12</t>
  </si>
  <si>
    <t>323</t>
  </si>
  <si>
    <t>2007-11</t>
  </si>
  <si>
    <t>2007-10</t>
  </si>
  <si>
    <t>2007-09</t>
  </si>
  <si>
    <t>2007-08</t>
  </si>
  <si>
    <t>2007-07</t>
  </si>
  <si>
    <t>2007-06</t>
  </si>
  <si>
    <t>2007-05</t>
  </si>
  <si>
    <t>2007-04</t>
  </si>
  <si>
    <t>2007-03</t>
  </si>
  <si>
    <t>2007-02</t>
  </si>
  <si>
    <t>2007-01</t>
  </si>
  <si>
    <t>2006-12</t>
  </si>
  <si>
    <t>2006-11</t>
  </si>
  <si>
    <t>2006-10</t>
  </si>
  <si>
    <t>2006-09</t>
  </si>
  <si>
    <t>2006-08</t>
  </si>
  <si>
    <t>2006-07</t>
  </si>
  <si>
    <t>2006-06</t>
  </si>
  <si>
    <t>2006-05</t>
  </si>
  <si>
    <t>2006-04</t>
  </si>
  <si>
    <t>2006-03</t>
  </si>
  <si>
    <t>2006-02</t>
  </si>
  <si>
    <t>2006-01</t>
  </si>
  <si>
    <t>364</t>
  </si>
  <si>
    <t>Solde_Import</t>
  </si>
  <si>
    <t>Imports</t>
  </si>
  <si>
    <t>Exports</t>
  </si>
  <si>
    <t>Conso_Brute</t>
  </si>
  <si>
    <t>Conso_CVC_CJO</t>
  </si>
  <si>
    <t>Conso_CVS</t>
  </si>
  <si>
    <t>Indice_Rigueur</t>
  </si>
  <si>
    <t>Annee</t>
  </si>
  <si>
    <t>Mois</t>
  </si>
  <si>
    <t>Saison</t>
  </si>
  <si>
    <t>Période_chauffe</t>
  </si>
  <si>
    <t>Moyenne</t>
  </si>
  <si>
    <t>Max</t>
  </si>
  <si>
    <t>Indicateur</t>
  </si>
  <si>
    <t>Écart-type</t>
  </si>
  <si>
    <t>Min</t>
  </si>
  <si>
    <t>Coef de variation</t>
  </si>
  <si>
    <t>Automne</t>
  </si>
  <si>
    <t>Été</t>
  </si>
  <si>
    <t>Hiver</t>
  </si>
  <si>
    <t>Printemps</t>
  </si>
  <si>
    <t>Moyenne de Conso_CVC_CJO</t>
  </si>
  <si>
    <t>Moyenne de DJU</t>
  </si>
  <si>
    <t>Saisons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</si>
  <si>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</si>
  <si>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</si>
  <si>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</si>
  <si>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</si>
  <si>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</si>
  <si>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</si>
  <si>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</si>
  <si>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</si>
  <si>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</si>
  <si>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</si>
  <si>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</si>
  <si>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</si>
  <si>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Somme de Conso_CVC_CJO</t>
  </si>
  <si>
    <t>Total</t>
  </si>
  <si>
    <t>STATS A UNE VARIABLE</t>
  </si>
  <si>
    <t>STATS A DEUX VARIABLES</t>
  </si>
  <si>
    <t>Coefficient de corrélation</t>
  </si>
  <si>
    <t>Coefficient de détermination (R²)</t>
  </si>
  <si>
    <t>Pente (a)</t>
  </si>
  <si>
    <t>Ordonnée à l'origine (b)</t>
  </si>
  <si>
    <t>TABLEAU DE CONTINGENCE PAR ANNEE</t>
  </si>
  <si>
    <t xml:space="preserve"> TABLEAU DE CONTINGENCE PAR MOIS</t>
  </si>
  <si>
    <t>TABLEAU DE CONTINGENCE PAR SAISON</t>
  </si>
  <si>
    <t>Années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</si>
</sst>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0"/>
      <color rgb="FF444746"/>
      <name val="Google Sans Text"/>
      <family val="2"/>
    </font>
    <font>
      <b/>
      <sz val="11"/>
      <color theme="1"/>
      <name val="Arial"/>
      <family val="2"/>
    </font>
    <font>
      <sz val="10"/>
      <color rgb="FF444746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 readingOrder="1"/>
    </xf>
    <xf numFmtId="0" fontId="0" fillId="0" borderId="1" xfId="0" pivotButton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Border="1"/>
    <xf numFmtId="0" fontId="4" fillId="0" borderId="1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/>
    </xf>
    <xf numFmtId="9" fontId="2" fillId="0" borderId="1" xfId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 readingOrder="1"/>
    </xf>
    <xf numFmtId="0" fontId="5" fillId="0" borderId="0" xfId="0" applyFont="1" applyBorder="1" applyAlignment="1">
      <alignment horizontal="left" vertical="center" wrapText="1" readingOrder="1"/>
    </xf>
    <xf numFmtId="0" fontId="0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 readingOrder="1"/>
    </xf>
    <xf numFmtId="9" fontId="1" fillId="0" borderId="0" xfId="1" applyFont="1" applyBorder="1" applyAlignment="1">
      <alignment horizontal="left" vertical="center"/>
    </xf>
    <xf numFmtId="0" fontId="0" fillId="2" borderId="0" xfId="0" applyFill="1"/>
    <xf numFmtId="0" fontId="3" fillId="2" borderId="0" xfId="0" applyFont="1" applyFill="1" applyBorder="1"/>
    <xf numFmtId="0" fontId="0" fillId="2" borderId="0" xfId="0" applyNumberFormat="1" applyFill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 readingOrder="1"/>
    </xf>
    <xf numFmtId="0" fontId="9" fillId="0" borderId="1" xfId="0" applyFont="1" applyBorder="1" applyAlignment="1">
      <alignment horizontal="left" vertical="center"/>
    </xf>
  </cellXfs>
  <cellStyles count="2">
    <cellStyle name="Normal" xfId="0" builtinId="0"/>
    <cellStyle name="Pourcentage" xfId="1" builtinId="5"/>
  </cellStyles>
  <dxfs count="74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</a:t>
            </a:r>
            <a:r>
              <a:rPr lang="fr-FR" baseline="0"/>
              <a:t> de la consommation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3.2335271012151529E-2"/>
          <c:y val="0.10359895167606385"/>
          <c:w val="0.85343336879064269"/>
          <c:h val="0.76606757598257769"/>
        </c:manualLayout>
      </c:layout>
      <c:lineChart>
        <c:grouping val="standard"/>
        <c:varyColors val="0"/>
        <c:ser>
          <c:idx val="0"/>
          <c:order val="0"/>
          <c:tx>
            <c:strRef>
              <c:f>'Synthese-Electricite'!$F$1</c:f>
              <c:strCache>
                <c:ptCount val="1"/>
                <c:pt idx="0">
                  <c:v>Conso_CVC_CJO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'Synthese-Electricite'!$A$2:$A$145</c:f>
              <c:strCache>
                <c:ptCount val="144"/>
                <c:pt idx="0">
                  <c:v>2022-12</c:v>
                </c:pt>
                <c:pt idx="1">
                  <c:v>2022-11</c:v>
                </c:pt>
                <c:pt idx="2">
                  <c:v>2022-10</c:v>
                </c:pt>
                <c:pt idx="3">
                  <c:v>2022-09</c:v>
                </c:pt>
                <c:pt idx="4">
                  <c:v>2022-08</c:v>
                </c:pt>
                <c:pt idx="5">
                  <c:v>2022-07</c:v>
                </c:pt>
                <c:pt idx="6">
                  <c:v>2022-06</c:v>
                </c:pt>
                <c:pt idx="7">
                  <c:v>2022-05</c:v>
                </c:pt>
                <c:pt idx="8">
                  <c:v>2022-04</c:v>
                </c:pt>
                <c:pt idx="9">
                  <c:v>2022-03</c:v>
                </c:pt>
                <c:pt idx="10">
                  <c:v>2022-02</c:v>
                </c:pt>
                <c:pt idx="11">
                  <c:v>2022-01</c:v>
                </c:pt>
                <c:pt idx="12">
                  <c:v>2021-12</c:v>
                </c:pt>
                <c:pt idx="13">
                  <c:v>2021-11</c:v>
                </c:pt>
                <c:pt idx="14">
                  <c:v>2021-10</c:v>
                </c:pt>
                <c:pt idx="15">
                  <c:v>2021-09</c:v>
                </c:pt>
                <c:pt idx="16">
                  <c:v>2021-08</c:v>
                </c:pt>
                <c:pt idx="17">
                  <c:v>2021-07</c:v>
                </c:pt>
                <c:pt idx="18">
                  <c:v>2021-06</c:v>
                </c:pt>
                <c:pt idx="19">
                  <c:v>2021-05</c:v>
                </c:pt>
                <c:pt idx="20">
                  <c:v>2021-04</c:v>
                </c:pt>
                <c:pt idx="21">
                  <c:v>2021-03</c:v>
                </c:pt>
                <c:pt idx="22">
                  <c:v>2021-02</c:v>
                </c:pt>
                <c:pt idx="23">
                  <c:v>2021-01</c:v>
                </c:pt>
                <c:pt idx="24">
                  <c:v>2020-12</c:v>
                </c:pt>
                <c:pt idx="25">
                  <c:v>2020-11</c:v>
                </c:pt>
                <c:pt idx="26">
                  <c:v>2020-10</c:v>
                </c:pt>
                <c:pt idx="27">
                  <c:v>2020-09</c:v>
                </c:pt>
                <c:pt idx="28">
                  <c:v>2020-08</c:v>
                </c:pt>
                <c:pt idx="29">
                  <c:v>2020-07</c:v>
                </c:pt>
                <c:pt idx="30">
                  <c:v>2020-06</c:v>
                </c:pt>
                <c:pt idx="31">
                  <c:v>2020-05</c:v>
                </c:pt>
                <c:pt idx="32">
                  <c:v>2020-04</c:v>
                </c:pt>
                <c:pt idx="33">
                  <c:v>2020-03</c:v>
                </c:pt>
                <c:pt idx="34">
                  <c:v>2020-02</c:v>
                </c:pt>
                <c:pt idx="35">
                  <c:v>2020-01</c:v>
                </c:pt>
                <c:pt idx="36">
                  <c:v>2019-12</c:v>
                </c:pt>
                <c:pt idx="37">
                  <c:v>2019-11</c:v>
                </c:pt>
                <c:pt idx="38">
                  <c:v>2019-10</c:v>
                </c:pt>
                <c:pt idx="39">
                  <c:v>2019-09</c:v>
                </c:pt>
                <c:pt idx="40">
                  <c:v>2019-08</c:v>
                </c:pt>
                <c:pt idx="41">
                  <c:v>2019-07</c:v>
                </c:pt>
                <c:pt idx="42">
                  <c:v>2019-06</c:v>
                </c:pt>
                <c:pt idx="43">
                  <c:v>2019-05</c:v>
                </c:pt>
                <c:pt idx="44">
                  <c:v>2019-04</c:v>
                </c:pt>
                <c:pt idx="45">
                  <c:v>2019-03</c:v>
                </c:pt>
                <c:pt idx="46">
                  <c:v>2019-02</c:v>
                </c:pt>
                <c:pt idx="47">
                  <c:v>2019-01</c:v>
                </c:pt>
                <c:pt idx="48">
                  <c:v>2018-12</c:v>
                </c:pt>
                <c:pt idx="49">
                  <c:v>2018-11</c:v>
                </c:pt>
                <c:pt idx="50">
                  <c:v>2018-10</c:v>
                </c:pt>
                <c:pt idx="51">
                  <c:v>2018-09</c:v>
                </c:pt>
                <c:pt idx="52">
                  <c:v>2018-08</c:v>
                </c:pt>
                <c:pt idx="53">
                  <c:v>2018-07</c:v>
                </c:pt>
                <c:pt idx="54">
                  <c:v>2018-06</c:v>
                </c:pt>
                <c:pt idx="55">
                  <c:v>2018-05</c:v>
                </c:pt>
                <c:pt idx="56">
                  <c:v>2018-04</c:v>
                </c:pt>
                <c:pt idx="57">
                  <c:v>2018-03</c:v>
                </c:pt>
                <c:pt idx="58">
                  <c:v>2018-02</c:v>
                </c:pt>
                <c:pt idx="59">
                  <c:v>2018-01</c:v>
                </c:pt>
                <c:pt idx="60">
                  <c:v>2017-12</c:v>
                </c:pt>
                <c:pt idx="61">
                  <c:v>2017-11</c:v>
                </c:pt>
                <c:pt idx="62">
                  <c:v>2017-10</c:v>
                </c:pt>
                <c:pt idx="63">
                  <c:v>2017-09</c:v>
                </c:pt>
                <c:pt idx="64">
                  <c:v>2017-08</c:v>
                </c:pt>
                <c:pt idx="65">
                  <c:v>2017-07</c:v>
                </c:pt>
                <c:pt idx="66">
                  <c:v>2017-06</c:v>
                </c:pt>
                <c:pt idx="67">
                  <c:v>2017-05</c:v>
                </c:pt>
                <c:pt idx="68">
                  <c:v>2017-04</c:v>
                </c:pt>
                <c:pt idx="69">
                  <c:v>2017-03</c:v>
                </c:pt>
                <c:pt idx="70">
                  <c:v>2017-02</c:v>
                </c:pt>
                <c:pt idx="71">
                  <c:v>2017-01</c:v>
                </c:pt>
                <c:pt idx="72">
                  <c:v>2016-12</c:v>
                </c:pt>
                <c:pt idx="73">
                  <c:v>2016-11</c:v>
                </c:pt>
                <c:pt idx="74">
                  <c:v>2016-10</c:v>
                </c:pt>
                <c:pt idx="75">
                  <c:v>2016-09</c:v>
                </c:pt>
                <c:pt idx="76">
                  <c:v>2016-08</c:v>
                </c:pt>
                <c:pt idx="77">
                  <c:v>2016-07</c:v>
                </c:pt>
                <c:pt idx="78">
                  <c:v>2016-06</c:v>
                </c:pt>
                <c:pt idx="79">
                  <c:v>2016-05</c:v>
                </c:pt>
                <c:pt idx="80">
                  <c:v>2016-04</c:v>
                </c:pt>
                <c:pt idx="81">
                  <c:v>2016-03</c:v>
                </c:pt>
                <c:pt idx="82">
                  <c:v>2016-02</c:v>
                </c:pt>
                <c:pt idx="83">
                  <c:v>2016-01</c:v>
                </c:pt>
                <c:pt idx="84">
                  <c:v>2015-12</c:v>
                </c:pt>
                <c:pt idx="85">
                  <c:v>2015-11</c:v>
                </c:pt>
                <c:pt idx="86">
                  <c:v>2015-10</c:v>
                </c:pt>
                <c:pt idx="87">
                  <c:v>2015-09</c:v>
                </c:pt>
                <c:pt idx="88">
                  <c:v>2015-08</c:v>
                </c:pt>
                <c:pt idx="89">
                  <c:v>2015-07</c:v>
                </c:pt>
                <c:pt idx="90">
                  <c:v>2015-06</c:v>
                </c:pt>
                <c:pt idx="91">
                  <c:v>2015-05</c:v>
                </c:pt>
                <c:pt idx="92">
                  <c:v>2015-04</c:v>
                </c:pt>
                <c:pt idx="93">
                  <c:v>2015-03</c:v>
                </c:pt>
                <c:pt idx="94">
                  <c:v>2015-02</c:v>
                </c:pt>
                <c:pt idx="95">
                  <c:v>2015-01</c:v>
                </c:pt>
                <c:pt idx="96">
                  <c:v>2014-12</c:v>
                </c:pt>
                <c:pt idx="97">
                  <c:v>2014-11</c:v>
                </c:pt>
                <c:pt idx="98">
                  <c:v>2014-10</c:v>
                </c:pt>
                <c:pt idx="99">
                  <c:v>2014-09</c:v>
                </c:pt>
                <c:pt idx="100">
                  <c:v>2014-08</c:v>
                </c:pt>
                <c:pt idx="101">
                  <c:v>2014-07</c:v>
                </c:pt>
                <c:pt idx="102">
                  <c:v>2014-06</c:v>
                </c:pt>
                <c:pt idx="103">
                  <c:v>2014-05</c:v>
                </c:pt>
                <c:pt idx="104">
                  <c:v>2014-04</c:v>
                </c:pt>
                <c:pt idx="105">
                  <c:v>2014-03</c:v>
                </c:pt>
                <c:pt idx="106">
                  <c:v>2014-02</c:v>
                </c:pt>
                <c:pt idx="107">
                  <c:v>2014-01</c:v>
                </c:pt>
                <c:pt idx="108">
                  <c:v>2013-12</c:v>
                </c:pt>
                <c:pt idx="109">
                  <c:v>2013-11</c:v>
                </c:pt>
                <c:pt idx="110">
                  <c:v>2013-10</c:v>
                </c:pt>
                <c:pt idx="111">
                  <c:v>2013-09</c:v>
                </c:pt>
                <c:pt idx="112">
                  <c:v>2013-08</c:v>
                </c:pt>
                <c:pt idx="113">
                  <c:v>2013-07</c:v>
                </c:pt>
                <c:pt idx="114">
                  <c:v>2013-06</c:v>
                </c:pt>
                <c:pt idx="115">
                  <c:v>2013-05</c:v>
                </c:pt>
                <c:pt idx="116">
                  <c:v>2013-04</c:v>
                </c:pt>
                <c:pt idx="117">
                  <c:v>2013-03</c:v>
                </c:pt>
                <c:pt idx="118">
                  <c:v>2013-02</c:v>
                </c:pt>
                <c:pt idx="119">
                  <c:v>2013-01</c:v>
                </c:pt>
                <c:pt idx="120">
                  <c:v>2012-12</c:v>
                </c:pt>
                <c:pt idx="121">
                  <c:v>2012-11</c:v>
                </c:pt>
                <c:pt idx="122">
                  <c:v>2012-10</c:v>
                </c:pt>
                <c:pt idx="123">
                  <c:v>2012-09</c:v>
                </c:pt>
                <c:pt idx="124">
                  <c:v>2012-08</c:v>
                </c:pt>
                <c:pt idx="125">
                  <c:v>2012-07</c:v>
                </c:pt>
                <c:pt idx="126">
                  <c:v>2012-06</c:v>
                </c:pt>
                <c:pt idx="127">
                  <c:v>2012-05</c:v>
                </c:pt>
                <c:pt idx="128">
                  <c:v>2012-04</c:v>
                </c:pt>
                <c:pt idx="129">
                  <c:v>2012-03</c:v>
                </c:pt>
                <c:pt idx="130">
                  <c:v>2012-02</c:v>
                </c:pt>
                <c:pt idx="131">
                  <c:v>2012-01</c:v>
                </c:pt>
                <c:pt idx="132">
                  <c:v>2011-12</c:v>
                </c:pt>
                <c:pt idx="133">
                  <c:v>2011-11</c:v>
                </c:pt>
                <c:pt idx="134">
                  <c:v>2011-10</c:v>
                </c:pt>
                <c:pt idx="135">
                  <c:v>2011-09</c:v>
                </c:pt>
                <c:pt idx="136">
                  <c:v>2011-08</c:v>
                </c:pt>
                <c:pt idx="137">
                  <c:v>2011-07</c:v>
                </c:pt>
                <c:pt idx="138">
                  <c:v>2011-06</c:v>
                </c:pt>
                <c:pt idx="139">
                  <c:v>2011-05</c:v>
                </c:pt>
                <c:pt idx="140">
                  <c:v>2011-04</c:v>
                </c:pt>
                <c:pt idx="141">
                  <c:v>2011-03</c:v>
                </c:pt>
                <c:pt idx="142">
                  <c:v>2011-02</c:v>
                </c:pt>
                <c:pt idx="143">
                  <c:v>2011-01</c:v>
                </c:pt>
              </c:strCache>
            </c:strRef>
          </c:cat>
          <c:val>
            <c:numRef>
              <c:f>'Synthese-Electricite'!$F$2:$F$145</c:f>
              <c:numCache>
                <c:formatCode>General</c:formatCode>
                <c:ptCount val="144"/>
                <c:pt idx="0">
                  <c:v>101739.33</c:v>
                </c:pt>
                <c:pt idx="1">
                  <c:v>82618.320999999996</c:v>
                </c:pt>
                <c:pt idx="2">
                  <c:v>77235.451000000001</c:v>
                </c:pt>
                <c:pt idx="3">
                  <c:v>68889.017999999996</c:v>
                </c:pt>
                <c:pt idx="4">
                  <c:v>67857.819000000003</c:v>
                </c:pt>
                <c:pt idx="5">
                  <c:v>71804.539999999994</c:v>
                </c:pt>
                <c:pt idx="6">
                  <c:v>72673.888999999996</c:v>
                </c:pt>
                <c:pt idx="7">
                  <c:v>76347.869000000006</c:v>
                </c:pt>
                <c:pt idx="8">
                  <c:v>81476.797000000006</c:v>
                </c:pt>
                <c:pt idx="9">
                  <c:v>98215.301999999996</c:v>
                </c:pt>
                <c:pt idx="10">
                  <c:v>105420.47100000001</c:v>
                </c:pt>
                <c:pt idx="11">
                  <c:v>122244.81299999999</c:v>
                </c:pt>
                <c:pt idx="12">
                  <c:v>113862.836</c:v>
                </c:pt>
                <c:pt idx="13">
                  <c:v>103338.44899999999</c:v>
                </c:pt>
                <c:pt idx="14">
                  <c:v>100824.03200000001</c:v>
                </c:pt>
                <c:pt idx="15">
                  <c:v>93302.29</c:v>
                </c:pt>
                <c:pt idx="16">
                  <c:v>94077.998999999996</c:v>
                </c:pt>
                <c:pt idx="17">
                  <c:v>93748.603000000003</c:v>
                </c:pt>
                <c:pt idx="18">
                  <c:v>89891.153999999995</c:v>
                </c:pt>
                <c:pt idx="19">
                  <c:v>91972.191999999995</c:v>
                </c:pt>
                <c:pt idx="20">
                  <c:v>92509.194000000003</c:v>
                </c:pt>
                <c:pt idx="21">
                  <c:v>108001.88499999999</c:v>
                </c:pt>
                <c:pt idx="22">
                  <c:v>107337.637</c:v>
                </c:pt>
                <c:pt idx="23">
                  <c:v>126996.304</c:v>
                </c:pt>
                <c:pt idx="24">
                  <c:v>118633.62699999999</c:v>
                </c:pt>
                <c:pt idx="25">
                  <c:v>106034.62699999999</c:v>
                </c:pt>
                <c:pt idx="26">
                  <c:v>97153.659</c:v>
                </c:pt>
                <c:pt idx="27">
                  <c:v>77356.474000000002</c:v>
                </c:pt>
                <c:pt idx="28">
                  <c:v>78900.646999999997</c:v>
                </c:pt>
                <c:pt idx="29">
                  <c:v>79794.891000000003</c:v>
                </c:pt>
                <c:pt idx="30">
                  <c:v>75457.934999999998</c:v>
                </c:pt>
                <c:pt idx="31">
                  <c:v>84761.683000000005</c:v>
                </c:pt>
                <c:pt idx="32">
                  <c:v>91742.873000000007</c:v>
                </c:pt>
                <c:pt idx="33">
                  <c:v>104942.89</c:v>
                </c:pt>
                <c:pt idx="34">
                  <c:v>112056.784</c:v>
                </c:pt>
                <c:pt idx="35">
                  <c:v>127652.379</c:v>
                </c:pt>
                <c:pt idx="36">
                  <c:v>116757.08500000001</c:v>
                </c:pt>
                <c:pt idx="37">
                  <c:v>101727.058</c:v>
                </c:pt>
                <c:pt idx="38">
                  <c:v>98557.437000000005</c:v>
                </c:pt>
                <c:pt idx="39">
                  <c:v>89656.631999999998</c:v>
                </c:pt>
                <c:pt idx="40">
                  <c:v>89475.376999999993</c:v>
                </c:pt>
                <c:pt idx="41">
                  <c:v>95641.773000000001</c:v>
                </c:pt>
                <c:pt idx="42">
                  <c:v>92925.342000000004</c:v>
                </c:pt>
                <c:pt idx="43">
                  <c:v>101378.798</c:v>
                </c:pt>
                <c:pt idx="44">
                  <c:v>104769.129</c:v>
                </c:pt>
                <c:pt idx="45">
                  <c:v>118562.564</c:v>
                </c:pt>
                <c:pt idx="46">
                  <c:v>119624.963</c:v>
                </c:pt>
                <c:pt idx="47">
                  <c:v>133434.58600000001</c:v>
                </c:pt>
                <c:pt idx="48">
                  <c:v>128804.89200000001</c:v>
                </c:pt>
                <c:pt idx="49">
                  <c:v>110141.77800000001</c:v>
                </c:pt>
                <c:pt idx="50">
                  <c:v>103174.075</c:v>
                </c:pt>
                <c:pt idx="51">
                  <c:v>96200.369000000006</c:v>
                </c:pt>
                <c:pt idx="52">
                  <c:v>89685.150999999998</c:v>
                </c:pt>
                <c:pt idx="53">
                  <c:v>97487.360000000001</c:v>
                </c:pt>
                <c:pt idx="54">
                  <c:v>93112.986999999994</c:v>
                </c:pt>
                <c:pt idx="55">
                  <c:v>101143.84699999999</c:v>
                </c:pt>
                <c:pt idx="56">
                  <c:v>104119.656</c:v>
                </c:pt>
                <c:pt idx="57">
                  <c:v>119066.515</c:v>
                </c:pt>
                <c:pt idx="58">
                  <c:v>121378.588</c:v>
                </c:pt>
                <c:pt idx="59">
                  <c:v>137924.897</c:v>
                </c:pt>
                <c:pt idx="60">
                  <c:v>126402.583</c:v>
                </c:pt>
                <c:pt idx="61">
                  <c:v>103027.705</c:v>
                </c:pt>
                <c:pt idx="62">
                  <c:v>94094.212</c:v>
                </c:pt>
                <c:pt idx="63">
                  <c:v>94579.952999999994</c:v>
                </c:pt>
                <c:pt idx="64">
                  <c:v>92577.668999999994</c:v>
                </c:pt>
                <c:pt idx="65">
                  <c:v>91963.101999999999</c:v>
                </c:pt>
                <c:pt idx="66">
                  <c:v>89238.354000000007</c:v>
                </c:pt>
                <c:pt idx="67">
                  <c:v>98583.262000000002</c:v>
                </c:pt>
                <c:pt idx="68">
                  <c:v>101559.806</c:v>
                </c:pt>
                <c:pt idx="69">
                  <c:v>115976.24400000001</c:v>
                </c:pt>
                <c:pt idx="70">
                  <c:v>113502.993</c:v>
                </c:pt>
                <c:pt idx="71">
                  <c:v>132932.36499999999</c:v>
                </c:pt>
                <c:pt idx="72">
                  <c:v>121746.79399999999</c:v>
                </c:pt>
                <c:pt idx="73">
                  <c:v>105120.86900000001</c:v>
                </c:pt>
                <c:pt idx="74">
                  <c:v>94924.881999999998</c:v>
                </c:pt>
                <c:pt idx="75">
                  <c:v>87030.551999999996</c:v>
                </c:pt>
                <c:pt idx="76">
                  <c:v>89063.804999999993</c:v>
                </c:pt>
                <c:pt idx="77">
                  <c:v>93365.251999999993</c:v>
                </c:pt>
                <c:pt idx="78">
                  <c:v>93667.933999999994</c:v>
                </c:pt>
                <c:pt idx="79">
                  <c:v>97483.324999999997</c:v>
                </c:pt>
                <c:pt idx="80">
                  <c:v>102910.13</c:v>
                </c:pt>
                <c:pt idx="81">
                  <c:v>120861.255</c:v>
                </c:pt>
                <c:pt idx="82">
                  <c:v>121057.969</c:v>
                </c:pt>
                <c:pt idx="83">
                  <c:v>137200.48300000001</c:v>
                </c:pt>
                <c:pt idx="84">
                  <c:v>131878.228</c:v>
                </c:pt>
                <c:pt idx="85">
                  <c:v>117025.652</c:v>
                </c:pt>
                <c:pt idx="86">
                  <c:v>108690.212</c:v>
                </c:pt>
                <c:pt idx="87">
                  <c:v>98332.945999999996</c:v>
                </c:pt>
                <c:pt idx="88">
                  <c:v>100290.107</c:v>
                </c:pt>
                <c:pt idx="89">
                  <c:v>106188.031</c:v>
                </c:pt>
                <c:pt idx="90">
                  <c:v>99228.376999999993</c:v>
                </c:pt>
                <c:pt idx="91">
                  <c:v>99710.020999999993</c:v>
                </c:pt>
                <c:pt idx="92">
                  <c:v>104238.194</c:v>
                </c:pt>
                <c:pt idx="93">
                  <c:v>121420.841</c:v>
                </c:pt>
                <c:pt idx="94">
                  <c:v>124040.258</c:v>
                </c:pt>
                <c:pt idx="95">
                  <c:v>142068.386</c:v>
                </c:pt>
                <c:pt idx="96">
                  <c:v>135360.068</c:v>
                </c:pt>
                <c:pt idx="97">
                  <c:v>118985.633</c:v>
                </c:pt>
                <c:pt idx="98">
                  <c:v>108071.08100000001</c:v>
                </c:pt>
                <c:pt idx="99">
                  <c:v>101267.886</c:v>
                </c:pt>
                <c:pt idx="100">
                  <c:v>100251.541</c:v>
                </c:pt>
                <c:pt idx="101">
                  <c:v>106406.202</c:v>
                </c:pt>
                <c:pt idx="102">
                  <c:v>98834.731</c:v>
                </c:pt>
                <c:pt idx="103">
                  <c:v>100689.303</c:v>
                </c:pt>
                <c:pt idx="104">
                  <c:v>104416.71799999999</c:v>
                </c:pt>
                <c:pt idx="105">
                  <c:v>119372.99400000001</c:v>
                </c:pt>
                <c:pt idx="106">
                  <c:v>123315.409</c:v>
                </c:pt>
                <c:pt idx="107">
                  <c:v>141988.77100000001</c:v>
                </c:pt>
                <c:pt idx="108">
                  <c:v>133477.69699999999</c:v>
                </c:pt>
                <c:pt idx="109">
                  <c:v>114378.76700000001</c:v>
                </c:pt>
                <c:pt idx="110">
                  <c:v>103602.09699999999</c:v>
                </c:pt>
                <c:pt idx="111">
                  <c:v>95267.828999999998</c:v>
                </c:pt>
                <c:pt idx="112">
                  <c:v>94410.301000000007</c:v>
                </c:pt>
                <c:pt idx="113">
                  <c:v>100539.86599999999</c:v>
                </c:pt>
                <c:pt idx="114">
                  <c:v>95271.593999999997</c:v>
                </c:pt>
                <c:pt idx="115">
                  <c:v>100798.121</c:v>
                </c:pt>
                <c:pt idx="116">
                  <c:v>105144.986</c:v>
                </c:pt>
                <c:pt idx="117">
                  <c:v>117945.99</c:v>
                </c:pt>
                <c:pt idx="118">
                  <c:v>121653.34600000001</c:v>
                </c:pt>
                <c:pt idx="119">
                  <c:v>137794.986</c:v>
                </c:pt>
                <c:pt idx="120">
                  <c:v>131612.47899999999</c:v>
                </c:pt>
                <c:pt idx="121">
                  <c:v>120039.368</c:v>
                </c:pt>
                <c:pt idx="122">
                  <c:v>107111.125</c:v>
                </c:pt>
                <c:pt idx="123">
                  <c:v>96929.414000000004</c:v>
                </c:pt>
                <c:pt idx="124">
                  <c:v>91486.59</c:v>
                </c:pt>
                <c:pt idx="125">
                  <c:v>95154.142000000007</c:v>
                </c:pt>
                <c:pt idx="126">
                  <c:v>89777.911999999997</c:v>
                </c:pt>
                <c:pt idx="127">
                  <c:v>97823.307000000001</c:v>
                </c:pt>
                <c:pt idx="128">
                  <c:v>107680.724</c:v>
                </c:pt>
                <c:pt idx="129">
                  <c:v>122394.708</c:v>
                </c:pt>
                <c:pt idx="130">
                  <c:v>122863.35400000001</c:v>
                </c:pt>
                <c:pt idx="131">
                  <c:v>140006.758</c:v>
                </c:pt>
                <c:pt idx="132">
                  <c:v>131284.288</c:v>
                </c:pt>
                <c:pt idx="133">
                  <c:v>111091.747</c:v>
                </c:pt>
                <c:pt idx="134">
                  <c:v>105485.333</c:v>
                </c:pt>
                <c:pt idx="135">
                  <c:v>100310.711</c:v>
                </c:pt>
                <c:pt idx="136">
                  <c:v>100757.18</c:v>
                </c:pt>
                <c:pt idx="137">
                  <c:v>105693.101</c:v>
                </c:pt>
                <c:pt idx="138">
                  <c:v>103686.879</c:v>
                </c:pt>
                <c:pt idx="139">
                  <c:v>106048.662</c:v>
                </c:pt>
                <c:pt idx="140">
                  <c:v>107686.867</c:v>
                </c:pt>
                <c:pt idx="141">
                  <c:v>121598.295</c:v>
                </c:pt>
                <c:pt idx="142">
                  <c:v>124086.333</c:v>
                </c:pt>
                <c:pt idx="143">
                  <c:v>141886.171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1C-4714-818E-4B0EA9905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7070047"/>
        <c:axId val="677071711"/>
      </c:lineChart>
      <c:catAx>
        <c:axId val="677070047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Années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7071711"/>
        <c:crosses val="autoZero"/>
        <c:auto val="1"/>
        <c:lblAlgn val="ctr"/>
        <c:lblOffset val="100"/>
        <c:tickLblSkip val="12"/>
        <c:noMultiLvlLbl val="0"/>
      </c:catAx>
      <c:valAx>
        <c:axId val="677071711"/>
        <c:scaling>
          <c:orientation val="minMax"/>
          <c:min val="5000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Consommation</a:t>
                </a:r>
                <a:r>
                  <a:rPr lang="fr-FR" baseline="0"/>
                  <a:t> (GWh)</a:t>
                </a:r>
                <a:endParaRPr lang="fr-FR"/>
              </a:p>
            </c:rich>
          </c:tx>
          <c:layout>
            <c:manualLayout>
              <c:xMode val="edge"/>
              <c:yMode val="edge"/>
              <c:x val="0.96155233587289313"/>
              <c:y val="0.336257700536028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7070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1559319945756294E-2"/>
          <c:y val="0.11242987896340695"/>
          <c:w val="0.81528354004441728"/>
          <c:h val="0.69799305860302252"/>
        </c:manualLayout>
      </c:layout>
      <c:lineChart>
        <c:grouping val="standard"/>
        <c:varyColors val="0"/>
        <c:ser>
          <c:idx val="0"/>
          <c:order val="0"/>
          <c:tx>
            <c:strRef>
              <c:f>'Synthese-Electricite'!$H$1</c:f>
              <c:strCache>
                <c:ptCount val="1"/>
                <c:pt idx="0">
                  <c:v>DJU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'Synthese-Electricite'!$A$2:$A$205</c:f>
              <c:strCache>
                <c:ptCount val="204"/>
                <c:pt idx="0">
                  <c:v>2022-12</c:v>
                </c:pt>
                <c:pt idx="1">
                  <c:v>2022-11</c:v>
                </c:pt>
                <c:pt idx="2">
                  <c:v>2022-10</c:v>
                </c:pt>
                <c:pt idx="3">
                  <c:v>2022-09</c:v>
                </c:pt>
                <c:pt idx="4">
                  <c:v>2022-08</c:v>
                </c:pt>
                <c:pt idx="5">
                  <c:v>2022-07</c:v>
                </c:pt>
                <c:pt idx="6">
                  <c:v>2022-06</c:v>
                </c:pt>
                <c:pt idx="7">
                  <c:v>2022-05</c:v>
                </c:pt>
                <c:pt idx="8">
                  <c:v>2022-04</c:v>
                </c:pt>
                <c:pt idx="9">
                  <c:v>2022-03</c:v>
                </c:pt>
                <c:pt idx="10">
                  <c:v>2022-02</c:v>
                </c:pt>
                <c:pt idx="11">
                  <c:v>2022-01</c:v>
                </c:pt>
                <c:pt idx="12">
                  <c:v>2021-12</c:v>
                </c:pt>
                <c:pt idx="13">
                  <c:v>2021-11</c:v>
                </c:pt>
                <c:pt idx="14">
                  <c:v>2021-10</c:v>
                </c:pt>
                <c:pt idx="15">
                  <c:v>2021-09</c:v>
                </c:pt>
                <c:pt idx="16">
                  <c:v>2021-08</c:v>
                </c:pt>
                <c:pt idx="17">
                  <c:v>2021-07</c:v>
                </c:pt>
                <c:pt idx="18">
                  <c:v>2021-06</c:v>
                </c:pt>
                <c:pt idx="19">
                  <c:v>2021-05</c:v>
                </c:pt>
                <c:pt idx="20">
                  <c:v>2021-04</c:v>
                </c:pt>
                <c:pt idx="21">
                  <c:v>2021-03</c:v>
                </c:pt>
                <c:pt idx="22">
                  <c:v>2021-02</c:v>
                </c:pt>
                <c:pt idx="23">
                  <c:v>2021-01</c:v>
                </c:pt>
                <c:pt idx="24">
                  <c:v>2020-12</c:v>
                </c:pt>
                <c:pt idx="25">
                  <c:v>2020-11</c:v>
                </c:pt>
                <c:pt idx="26">
                  <c:v>2020-10</c:v>
                </c:pt>
                <c:pt idx="27">
                  <c:v>2020-09</c:v>
                </c:pt>
                <c:pt idx="28">
                  <c:v>2020-08</c:v>
                </c:pt>
                <c:pt idx="29">
                  <c:v>2020-07</c:v>
                </c:pt>
                <c:pt idx="30">
                  <c:v>2020-06</c:v>
                </c:pt>
                <c:pt idx="31">
                  <c:v>2020-05</c:v>
                </c:pt>
                <c:pt idx="32">
                  <c:v>2020-04</c:v>
                </c:pt>
                <c:pt idx="33">
                  <c:v>2020-03</c:v>
                </c:pt>
                <c:pt idx="34">
                  <c:v>2020-02</c:v>
                </c:pt>
                <c:pt idx="35">
                  <c:v>2020-01</c:v>
                </c:pt>
                <c:pt idx="36">
                  <c:v>2019-12</c:v>
                </c:pt>
                <c:pt idx="37">
                  <c:v>2019-11</c:v>
                </c:pt>
                <c:pt idx="38">
                  <c:v>2019-10</c:v>
                </c:pt>
                <c:pt idx="39">
                  <c:v>2019-09</c:v>
                </c:pt>
                <c:pt idx="40">
                  <c:v>2019-08</c:v>
                </c:pt>
                <c:pt idx="41">
                  <c:v>2019-07</c:v>
                </c:pt>
                <c:pt idx="42">
                  <c:v>2019-06</c:v>
                </c:pt>
                <c:pt idx="43">
                  <c:v>2019-05</c:v>
                </c:pt>
                <c:pt idx="44">
                  <c:v>2019-04</c:v>
                </c:pt>
                <c:pt idx="45">
                  <c:v>2019-03</c:v>
                </c:pt>
                <c:pt idx="46">
                  <c:v>2019-02</c:v>
                </c:pt>
                <c:pt idx="47">
                  <c:v>2019-01</c:v>
                </c:pt>
                <c:pt idx="48">
                  <c:v>2018-12</c:v>
                </c:pt>
                <c:pt idx="49">
                  <c:v>2018-11</c:v>
                </c:pt>
                <c:pt idx="50">
                  <c:v>2018-10</c:v>
                </c:pt>
                <c:pt idx="51">
                  <c:v>2018-09</c:v>
                </c:pt>
                <c:pt idx="52">
                  <c:v>2018-08</c:v>
                </c:pt>
                <c:pt idx="53">
                  <c:v>2018-07</c:v>
                </c:pt>
                <c:pt idx="54">
                  <c:v>2018-06</c:v>
                </c:pt>
                <c:pt idx="55">
                  <c:v>2018-05</c:v>
                </c:pt>
                <c:pt idx="56">
                  <c:v>2018-04</c:v>
                </c:pt>
                <c:pt idx="57">
                  <c:v>2018-03</c:v>
                </c:pt>
                <c:pt idx="58">
                  <c:v>2018-02</c:v>
                </c:pt>
                <c:pt idx="59">
                  <c:v>2018-01</c:v>
                </c:pt>
                <c:pt idx="60">
                  <c:v>2017-12</c:v>
                </c:pt>
                <c:pt idx="61">
                  <c:v>2017-11</c:v>
                </c:pt>
                <c:pt idx="62">
                  <c:v>2017-10</c:v>
                </c:pt>
                <c:pt idx="63">
                  <c:v>2017-09</c:v>
                </c:pt>
                <c:pt idx="64">
                  <c:v>2017-08</c:v>
                </c:pt>
                <c:pt idx="65">
                  <c:v>2017-07</c:v>
                </c:pt>
                <c:pt idx="66">
                  <c:v>2017-06</c:v>
                </c:pt>
                <c:pt idx="67">
                  <c:v>2017-05</c:v>
                </c:pt>
                <c:pt idx="68">
                  <c:v>2017-04</c:v>
                </c:pt>
                <c:pt idx="69">
                  <c:v>2017-03</c:v>
                </c:pt>
                <c:pt idx="70">
                  <c:v>2017-02</c:v>
                </c:pt>
                <c:pt idx="71">
                  <c:v>2017-01</c:v>
                </c:pt>
                <c:pt idx="72">
                  <c:v>2016-12</c:v>
                </c:pt>
                <c:pt idx="73">
                  <c:v>2016-11</c:v>
                </c:pt>
                <c:pt idx="74">
                  <c:v>2016-10</c:v>
                </c:pt>
                <c:pt idx="75">
                  <c:v>2016-09</c:v>
                </c:pt>
                <c:pt idx="76">
                  <c:v>2016-08</c:v>
                </c:pt>
                <c:pt idx="77">
                  <c:v>2016-07</c:v>
                </c:pt>
                <c:pt idx="78">
                  <c:v>2016-06</c:v>
                </c:pt>
                <c:pt idx="79">
                  <c:v>2016-05</c:v>
                </c:pt>
                <c:pt idx="80">
                  <c:v>2016-04</c:v>
                </c:pt>
                <c:pt idx="81">
                  <c:v>2016-03</c:v>
                </c:pt>
                <c:pt idx="82">
                  <c:v>2016-02</c:v>
                </c:pt>
                <c:pt idx="83">
                  <c:v>2016-01</c:v>
                </c:pt>
                <c:pt idx="84">
                  <c:v>2015-12</c:v>
                </c:pt>
                <c:pt idx="85">
                  <c:v>2015-11</c:v>
                </c:pt>
                <c:pt idx="86">
                  <c:v>2015-10</c:v>
                </c:pt>
                <c:pt idx="87">
                  <c:v>2015-09</c:v>
                </c:pt>
                <c:pt idx="88">
                  <c:v>2015-08</c:v>
                </c:pt>
                <c:pt idx="89">
                  <c:v>2015-07</c:v>
                </c:pt>
                <c:pt idx="90">
                  <c:v>2015-06</c:v>
                </c:pt>
                <c:pt idx="91">
                  <c:v>2015-05</c:v>
                </c:pt>
                <c:pt idx="92">
                  <c:v>2015-04</c:v>
                </c:pt>
                <c:pt idx="93">
                  <c:v>2015-03</c:v>
                </c:pt>
                <c:pt idx="94">
                  <c:v>2015-02</c:v>
                </c:pt>
                <c:pt idx="95">
                  <c:v>2015-01</c:v>
                </c:pt>
                <c:pt idx="96">
                  <c:v>2014-12</c:v>
                </c:pt>
                <c:pt idx="97">
                  <c:v>2014-11</c:v>
                </c:pt>
                <c:pt idx="98">
                  <c:v>2014-10</c:v>
                </c:pt>
                <c:pt idx="99">
                  <c:v>2014-09</c:v>
                </c:pt>
                <c:pt idx="100">
                  <c:v>2014-08</c:v>
                </c:pt>
                <c:pt idx="101">
                  <c:v>2014-07</c:v>
                </c:pt>
                <c:pt idx="102">
                  <c:v>2014-06</c:v>
                </c:pt>
                <c:pt idx="103">
                  <c:v>2014-05</c:v>
                </c:pt>
                <c:pt idx="104">
                  <c:v>2014-04</c:v>
                </c:pt>
                <c:pt idx="105">
                  <c:v>2014-03</c:v>
                </c:pt>
                <c:pt idx="106">
                  <c:v>2014-02</c:v>
                </c:pt>
                <c:pt idx="107">
                  <c:v>2014-01</c:v>
                </c:pt>
                <c:pt idx="108">
                  <c:v>2013-12</c:v>
                </c:pt>
                <c:pt idx="109">
                  <c:v>2013-11</c:v>
                </c:pt>
                <c:pt idx="110">
                  <c:v>2013-10</c:v>
                </c:pt>
                <c:pt idx="111">
                  <c:v>2013-09</c:v>
                </c:pt>
                <c:pt idx="112">
                  <c:v>2013-08</c:v>
                </c:pt>
                <c:pt idx="113">
                  <c:v>2013-07</c:v>
                </c:pt>
                <c:pt idx="114">
                  <c:v>2013-06</c:v>
                </c:pt>
                <c:pt idx="115">
                  <c:v>2013-05</c:v>
                </c:pt>
                <c:pt idx="116">
                  <c:v>2013-04</c:v>
                </c:pt>
                <c:pt idx="117">
                  <c:v>2013-03</c:v>
                </c:pt>
                <c:pt idx="118">
                  <c:v>2013-02</c:v>
                </c:pt>
                <c:pt idx="119">
                  <c:v>2013-01</c:v>
                </c:pt>
                <c:pt idx="120">
                  <c:v>2012-12</c:v>
                </c:pt>
                <c:pt idx="121">
                  <c:v>2012-11</c:v>
                </c:pt>
                <c:pt idx="122">
                  <c:v>2012-10</c:v>
                </c:pt>
                <c:pt idx="123">
                  <c:v>2012-09</c:v>
                </c:pt>
                <c:pt idx="124">
                  <c:v>2012-08</c:v>
                </c:pt>
                <c:pt idx="125">
                  <c:v>2012-07</c:v>
                </c:pt>
                <c:pt idx="126">
                  <c:v>2012-06</c:v>
                </c:pt>
                <c:pt idx="127">
                  <c:v>2012-05</c:v>
                </c:pt>
                <c:pt idx="128">
                  <c:v>2012-04</c:v>
                </c:pt>
                <c:pt idx="129">
                  <c:v>2012-03</c:v>
                </c:pt>
                <c:pt idx="130">
                  <c:v>2012-02</c:v>
                </c:pt>
                <c:pt idx="131">
                  <c:v>2012-01</c:v>
                </c:pt>
                <c:pt idx="132">
                  <c:v>2011-12</c:v>
                </c:pt>
                <c:pt idx="133">
                  <c:v>2011-11</c:v>
                </c:pt>
                <c:pt idx="134">
                  <c:v>2011-10</c:v>
                </c:pt>
                <c:pt idx="135">
                  <c:v>2011-09</c:v>
                </c:pt>
                <c:pt idx="136">
                  <c:v>2011-08</c:v>
                </c:pt>
                <c:pt idx="137">
                  <c:v>2011-07</c:v>
                </c:pt>
                <c:pt idx="138">
                  <c:v>2011-06</c:v>
                </c:pt>
                <c:pt idx="139">
                  <c:v>2011-05</c:v>
                </c:pt>
                <c:pt idx="140">
                  <c:v>2011-04</c:v>
                </c:pt>
                <c:pt idx="141">
                  <c:v>2011-03</c:v>
                </c:pt>
                <c:pt idx="142">
                  <c:v>2011-02</c:v>
                </c:pt>
                <c:pt idx="143">
                  <c:v>2011-01</c:v>
                </c:pt>
                <c:pt idx="144">
                  <c:v>2010-12</c:v>
                </c:pt>
                <c:pt idx="145">
                  <c:v>2010-11</c:v>
                </c:pt>
                <c:pt idx="146">
                  <c:v>2010-10</c:v>
                </c:pt>
                <c:pt idx="147">
                  <c:v>2010-09</c:v>
                </c:pt>
                <c:pt idx="148">
                  <c:v>2010-08</c:v>
                </c:pt>
                <c:pt idx="149">
                  <c:v>2010-07</c:v>
                </c:pt>
                <c:pt idx="150">
                  <c:v>2010-06</c:v>
                </c:pt>
                <c:pt idx="151">
                  <c:v>2010-05</c:v>
                </c:pt>
                <c:pt idx="152">
                  <c:v>2010-04</c:v>
                </c:pt>
                <c:pt idx="153">
                  <c:v>2010-03</c:v>
                </c:pt>
                <c:pt idx="154">
                  <c:v>2010-02</c:v>
                </c:pt>
                <c:pt idx="155">
                  <c:v>2010-01</c:v>
                </c:pt>
                <c:pt idx="156">
                  <c:v>2009-12</c:v>
                </c:pt>
                <c:pt idx="157">
                  <c:v>2009-11</c:v>
                </c:pt>
                <c:pt idx="158">
                  <c:v>2009-10</c:v>
                </c:pt>
                <c:pt idx="159">
                  <c:v>2009-09</c:v>
                </c:pt>
                <c:pt idx="160">
                  <c:v>2009-08</c:v>
                </c:pt>
                <c:pt idx="161">
                  <c:v>2009-07</c:v>
                </c:pt>
                <c:pt idx="162">
                  <c:v>2009-06</c:v>
                </c:pt>
                <c:pt idx="163">
                  <c:v>2009-05</c:v>
                </c:pt>
                <c:pt idx="164">
                  <c:v>2009-04</c:v>
                </c:pt>
                <c:pt idx="165">
                  <c:v>2009-03</c:v>
                </c:pt>
                <c:pt idx="166">
                  <c:v>2009-02</c:v>
                </c:pt>
                <c:pt idx="167">
                  <c:v>2009-01</c:v>
                </c:pt>
                <c:pt idx="168">
                  <c:v>2008-12</c:v>
                </c:pt>
                <c:pt idx="169">
                  <c:v>2008-11</c:v>
                </c:pt>
                <c:pt idx="170">
                  <c:v>2008-10</c:v>
                </c:pt>
                <c:pt idx="171">
                  <c:v>2008-09</c:v>
                </c:pt>
                <c:pt idx="172">
                  <c:v>2008-08</c:v>
                </c:pt>
                <c:pt idx="173">
                  <c:v>2008-07</c:v>
                </c:pt>
                <c:pt idx="174">
                  <c:v>2008-06</c:v>
                </c:pt>
                <c:pt idx="175">
                  <c:v>2008-05</c:v>
                </c:pt>
                <c:pt idx="176">
                  <c:v>2008-04</c:v>
                </c:pt>
                <c:pt idx="177">
                  <c:v>2008-03</c:v>
                </c:pt>
                <c:pt idx="178">
                  <c:v>2008-02</c:v>
                </c:pt>
                <c:pt idx="179">
                  <c:v>2008-01</c:v>
                </c:pt>
                <c:pt idx="180">
                  <c:v>2007-12</c:v>
                </c:pt>
                <c:pt idx="181">
                  <c:v>2007-11</c:v>
                </c:pt>
                <c:pt idx="182">
                  <c:v>2007-10</c:v>
                </c:pt>
                <c:pt idx="183">
                  <c:v>2007-09</c:v>
                </c:pt>
                <c:pt idx="184">
                  <c:v>2007-08</c:v>
                </c:pt>
                <c:pt idx="185">
                  <c:v>2007-07</c:v>
                </c:pt>
                <c:pt idx="186">
                  <c:v>2007-06</c:v>
                </c:pt>
                <c:pt idx="187">
                  <c:v>2007-05</c:v>
                </c:pt>
                <c:pt idx="188">
                  <c:v>2007-04</c:v>
                </c:pt>
                <c:pt idx="189">
                  <c:v>2007-03</c:v>
                </c:pt>
                <c:pt idx="190">
                  <c:v>2007-02</c:v>
                </c:pt>
                <c:pt idx="191">
                  <c:v>2007-01</c:v>
                </c:pt>
                <c:pt idx="192">
                  <c:v>2006-12</c:v>
                </c:pt>
                <c:pt idx="193">
                  <c:v>2006-11</c:v>
                </c:pt>
                <c:pt idx="194">
                  <c:v>2006-10</c:v>
                </c:pt>
                <c:pt idx="195">
                  <c:v>2006-09</c:v>
                </c:pt>
                <c:pt idx="196">
                  <c:v>2006-08</c:v>
                </c:pt>
                <c:pt idx="197">
                  <c:v>2006-07</c:v>
                </c:pt>
                <c:pt idx="198">
                  <c:v>2006-06</c:v>
                </c:pt>
                <c:pt idx="199">
                  <c:v>2006-05</c:v>
                </c:pt>
                <c:pt idx="200">
                  <c:v>2006-04</c:v>
                </c:pt>
                <c:pt idx="201">
                  <c:v>2006-03</c:v>
                </c:pt>
                <c:pt idx="202">
                  <c:v>2006-02</c:v>
                </c:pt>
                <c:pt idx="203">
                  <c:v>2006-01</c:v>
                </c:pt>
              </c:strCache>
            </c:strRef>
          </c:cat>
          <c:val>
            <c:numRef>
              <c:f>'Synthese-Electricite'!$H$2:$H$205</c:f>
              <c:numCache>
                <c:formatCode>General</c:formatCode>
                <c:ptCount val="204"/>
                <c:pt idx="0">
                  <c:v>280.3</c:v>
                </c:pt>
                <c:pt idx="1">
                  <c:v>144.9</c:v>
                </c:pt>
                <c:pt idx="2">
                  <c:v>17.2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20.100000000000001</c:v>
                </c:pt>
                <c:pt idx="8">
                  <c:v>0</c:v>
                </c:pt>
                <c:pt idx="9">
                  <c:v>173.3</c:v>
                </c:pt>
                <c:pt idx="10">
                  <c:v>208.4</c:v>
                </c:pt>
                <c:pt idx="11">
                  <c:v>321.8</c:v>
                </c:pt>
                <c:pt idx="12">
                  <c:v>260.3</c:v>
                </c:pt>
                <c:pt idx="13">
                  <c:v>233.5</c:v>
                </c:pt>
                <c:pt idx="14">
                  <c:v>81.3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79.2</c:v>
                </c:pt>
                <c:pt idx="20">
                  <c:v>167.2</c:v>
                </c:pt>
                <c:pt idx="21">
                  <c:v>209.3</c:v>
                </c:pt>
                <c:pt idx="22">
                  <c:v>210.2</c:v>
                </c:pt>
                <c:pt idx="23">
                  <c:v>0</c:v>
                </c:pt>
                <c:pt idx="24">
                  <c:v>264.2</c:v>
                </c:pt>
                <c:pt idx="25">
                  <c:v>0</c:v>
                </c:pt>
                <c:pt idx="26">
                  <c:v>87.4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36.200000000000003</c:v>
                </c:pt>
                <c:pt idx="32">
                  <c:v>58.6</c:v>
                </c:pt>
                <c:pt idx="33">
                  <c:v>0</c:v>
                </c:pt>
                <c:pt idx="34">
                  <c:v>181.1</c:v>
                </c:pt>
                <c:pt idx="35">
                  <c:v>259.8</c:v>
                </c:pt>
                <c:pt idx="36">
                  <c:v>235.4</c:v>
                </c:pt>
                <c:pt idx="37">
                  <c:v>206.5</c:v>
                </c:pt>
                <c:pt idx="38">
                  <c:v>50.8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71.7</c:v>
                </c:pt>
                <c:pt idx="44">
                  <c:v>124.7</c:v>
                </c:pt>
                <c:pt idx="45">
                  <c:v>171.3</c:v>
                </c:pt>
                <c:pt idx="46">
                  <c:v>209.8</c:v>
                </c:pt>
                <c:pt idx="47">
                  <c:v>338.4</c:v>
                </c:pt>
                <c:pt idx="48">
                  <c:v>242.9</c:v>
                </c:pt>
                <c:pt idx="49">
                  <c:v>187.1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37.799999999999997</c:v>
                </c:pt>
                <c:pt idx="56">
                  <c:v>73.3</c:v>
                </c:pt>
                <c:pt idx="57">
                  <c:v>234.4</c:v>
                </c:pt>
                <c:pt idx="58">
                  <c:v>344.7</c:v>
                </c:pt>
                <c:pt idx="59">
                  <c:v>223.9</c:v>
                </c:pt>
                <c:pt idx="60">
                  <c:v>298.2</c:v>
                </c:pt>
                <c:pt idx="61">
                  <c:v>218.7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42.1</c:v>
                </c:pt>
                <c:pt idx="68">
                  <c:v>134.1</c:v>
                </c:pt>
                <c:pt idx="69">
                  <c:v>142.80000000000001</c:v>
                </c:pt>
                <c:pt idx="70">
                  <c:v>207.1</c:v>
                </c:pt>
                <c:pt idx="71">
                  <c:v>391.3</c:v>
                </c:pt>
                <c:pt idx="72">
                  <c:v>303.2</c:v>
                </c:pt>
                <c:pt idx="73">
                  <c:v>203.5</c:v>
                </c:pt>
                <c:pt idx="74">
                  <c:v>104.8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50.4</c:v>
                </c:pt>
                <c:pt idx="80">
                  <c:v>143.1</c:v>
                </c:pt>
                <c:pt idx="81">
                  <c:v>241.2</c:v>
                </c:pt>
                <c:pt idx="82">
                  <c:v>242.7</c:v>
                </c:pt>
                <c:pt idx="83">
                  <c:v>269.60000000000002</c:v>
                </c:pt>
                <c:pt idx="84">
                  <c:v>176.2</c:v>
                </c:pt>
                <c:pt idx="85">
                  <c:v>135.4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43.6</c:v>
                </c:pt>
                <c:pt idx="92">
                  <c:v>98.8</c:v>
                </c:pt>
                <c:pt idx="93">
                  <c:v>204.8</c:v>
                </c:pt>
                <c:pt idx="94">
                  <c:v>299.60000000000002</c:v>
                </c:pt>
                <c:pt idx="95">
                  <c:v>310.60000000000002</c:v>
                </c:pt>
                <c:pt idx="96">
                  <c:v>287.2</c:v>
                </c:pt>
                <c:pt idx="97">
                  <c:v>136.4</c:v>
                </c:pt>
                <c:pt idx="98">
                  <c:v>37.9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51.6</c:v>
                </c:pt>
                <c:pt idx="104">
                  <c:v>83.8</c:v>
                </c:pt>
                <c:pt idx="105">
                  <c:v>175.4</c:v>
                </c:pt>
                <c:pt idx="106">
                  <c:v>214.4</c:v>
                </c:pt>
                <c:pt idx="107">
                  <c:v>246.8</c:v>
                </c:pt>
                <c:pt idx="108">
                  <c:v>278.3</c:v>
                </c:pt>
                <c:pt idx="109">
                  <c:v>229.4</c:v>
                </c:pt>
                <c:pt idx="110">
                  <c:v>52.9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96.9</c:v>
                </c:pt>
                <c:pt idx="116">
                  <c:v>151.1</c:v>
                </c:pt>
                <c:pt idx="117">
                  <c:v>273.5</c:v>
                </c:pt>
                <c:pt idx="118">
                  <c:v>333.4</c:v>
                </c:pt>
                <c:pt idx="119">
                  <c:v>341.4</c:v>
                </c:pt>
                <c:pt idx="120">
                  <c:v>270.60000000000002</c:v>
                </c:pt>
                <c:pt idx="121">
                  <c:v>197.8</c:v>
                </c:pt>
                <c:pt idx="122">
                  <c:v>87.2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47.9</c:v>
                </c:pt>
                <c:pt idx="128">
                  <c:v>157.4</c:v>
                </c:pt>
                <c:pt idx="129">
                  <c:v>156.4</c:v>
                </c:pt>
                <c:pt idx="130">
                  <c:v>393.3</c:v>
                </c:pt>
                <c:pt idx="131">
                  <c:v>281.8</c:v>
                </c:pt>
                <c:pt idx="132">
                  <c:v>0</c:v>
                </c:pt>
                <c:pt idx="133">
                  <c:v>145.19999999999999</c:v>
                </c:pt>
                <c:pt idx="134">
                  <c:v>71.5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24.3</c:v>
                </c:pt>
                <c:pt idx="140">
                  <c:v>0</c:v>
                </c:pt>
                <c:pt idx="141">
                  <c:v>189.5</c:v>
                </c:pt>
                <c:pt idx="142">
                  <c:v>237.8</c:v>
                </c:pt>
                <c:pt idx="143">
                  <c:v>322.10000000000002</c:v>
                </c:pt>
                <c:pt idx="144">
                  <c:v>408.2</c:v>
                </c:pt>
                <c:pt idx="145">
                  <c:v>224.6</c:v>
                </c:pt>
                <c:pt idx="146">
                  <c:v>114.8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89.9</c:v>
                </c:pt>
                <c:pt idx="152">
                  <c:v>116.6</c:v>
                </c:pt>
                <c:pt idx="153">
                  <c:v>0</c:v>
                </c:pt>
                <c:pt idx="154">
                  <c:v>301.7</c:v>
                </c:pt>
                <c:pt idx="155">
                  <c:v>415.5</c:v>
                </c:pt>
                <c:pt idx="156">
                  <c:v>323.39999999999998</c:v>
                </c:pt>
                <c:pt idx="157">
                  <c:v>142.9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32.4</c:v>
                </c:pt>
                <c:pt idx="164">
                  <c:v>94.5</c:v>
                </c:pt>
                <c:pt idx="165">
                  <c:v>224.9</c:v>
                </c:pt>
                <c:pt idx="166">
                  <c:v>292.60000000000002</c:v>
                </c:pt>
                <c:pt idx="167">
                  <c:v>391.8</c:v>
                </c:pt>
                <c:pt idx="168">
                  <c:v>346.8</c:v>
                </c:pt>
                <c:pt idx="169">
                  <c:v>212.9</c:v>
                </c:pt>
                <c:pt idx="170">
                  <c:v>109.9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19.3</c:v>
                </c:pt>
                <c:pt idx="176">
                  <c:v>148.19999999999999</c:v>
                </c:pt>
                <c:pt idx="177">
                  <c:v>0</c:v>
                </c:pt>
                <c:pt idx="178">
                  <c:v>230.9</c:v>
                </c:pt>
                <c:pt idx="179">
                  <c:v>257.89999999999998</c:v>
                </c:pt>
                <c:pt idx="180">
                  <c:v>0</c:v>
                </c:pt>
                <c:pt idx="181">
                  <c:v>240.3</c:v>
                </c:pt>
                <c:pt idx="182">
                  <c:v>111.7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34.5</c:v>
                </c:pt>
                <c:pt idx="188">
                  <c:v>54.9</c:v>
                </c:pt>
                <c:pt idx="189">
                  <c:v>212.2</c:v>
                </c:pt>
                <c:pt idx="190">
                  <c:v>0</c:v>
                </c:pt>
                <c:pt idx="191">
                  <c:v>244.1</c:v>
                </c:pt>
                <c:pt idx="192">
                  <c:v>287.8</c:v>
                </c:pt>
                <c:pt idx="193">
                  <c:v>152.5</c:v>
                </c:pt>
                <c:pt idx="194">
                  <c:v>23.8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43.1</c:v>
                </c:pt>
                <c:pt idx="200">
                  <c:v>128.4</c:v>
                </c:pt>
                <c:pt idx="201">
                  <c:v>248.4</c:v>
                </c:pt>
                <c:pt idx="202">
                  <c:v>318.39999999999998</c:v>
                </c:pt>
                <c:pt idx="20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18D-4069-8FA6-4A0244541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272528"/>
        <c:axId val="1587275024"/>
      </c:lineChart>
      <c:catAx>
        <c:axId val="1587272528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Années</a:t>
                </a:r>
              </a:p>
            </c:rich>
          </c:tx>
          <c:layout>
            <c:manualLayout>
              <c:xMode val="edge"/>
              <c:yMode val="edge"/>
              <c:x val="0.45212998943023675"/>
              <c:y val="0.932776036309751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7275024"/>
        <c:crosses val="autoZero"/>
        <c:auto val="1"/>
        <c:lblAlgn val="ctr"/>
        <c:lblOffset val="100"/>
        <c:tickLblSkip val="15"/>
        <c:noMultiLvlLbl val="0"/>
      </c:catAx>
      <c:valAx>
        <c:axId val="1587275024"/>
        <c:scaling>
          <c:orientation val="minMax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DJU (Degrés</a:t>
                </a:r>
                <a:r>
                  <a:rPr lang="fr-FR" baseline="0"/>
                  <a:t> Jours Unifiés</a:t>
                </a:r>
                <a:r>
                  <a:rPr lang="fr-FR"/>
                  <a:t>)</a:t>
                </a:r>
              </a:p>
            </c:rich>
          </c:tx>
          <c:layout>
            <c:manualLayout>
              <c:xMode val="edge"/>
              <c:yMode val="edge"/>
              <c:x val="0.95118066535904455"/>
              <c:y val="0.305499716560032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7272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[PersonneB_Consommation(fichier 4.2).xlsx]Synthese-Electricite!Tableau croisé dynamique16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fr-FR"/>
              <a:t>Consommation</a:t>
            </a:r>
            <a:r>
              <a:rPr lang="fr-FR" baseline="0"/>
              <a:t> moyenne par mois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>
            <a:solidFill>
              <a:schemeClr val="accent1"/>
            </a:solidFill>
          </a:ln>
        </c:spPr>
        <c:marker>
          <c:symbol val="circle"/>
          <c:size val="5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361047668791494"/>
          <c:y val="0.23281496245107131"/>
          <c:w val="0.865355564987629"/>
          <c:h val="0.4007109104805302"/>
        </c:manualLayout>
      </c:layout>
      <c:lineChart>
        <c:grouping val="standard"/>
        <c:varyColors val="0"/>
        <c:ser>
          <c:idx val="0"/>
          <c:order val="0"/>
          <c:tx>
            <c:strRef>
              <c:f>'Synthese-Electricite'!$P$29</c:f>
              <c:strCache>
                <c:ptCount val="1"/>
                <c:pt idx="0">
                  <c:v>Total</c:v>
                </c:pt>
              </c:strCache>
            </c:strRef>
          </c:tx>
          <c:spPr>
            <a:ln w="34925">
              <a:solidFill>
                <a:schemeClr val="accent1"/>
              </a:solidFill>
            </a:ln>
          </c:spPr>
          <c:marker>
            <c:symbol val="circle"/>
            <c:size val="5"/>
          </c:marker>
          <c:cat>
            <c:strRef>
              <c:f>'Synthese-Electricite'!$O$30:$O$42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'Synthese-Electricite'!$P$30:$P$42</c:f>
              <c:numCache>
                <c:formatCode>General</c:formatCode>
                <c:ptCount val="12"/>
                <c:pt idx="0">
                  <c:v>135177.57491666666</c:v>
                </c:pt>
                <c:pt idx="1">
                  <c:v>118028.17541666668</c:v>
                </c:pt>
                <c:pt idx="2">
                  <c:v>115696.62358333333</c:v>
                </c:pt>
                <c:pt idx="3">
                  <c:v>100687.92283333336</c:v>
                </c:pt>
                <c:pt idx="4">
                  <c:v>96395.032499999987</c:v>
                </c:pt>
                <c:pt idx="5">
                  <c:v>91147.257333333328</c:v>
                </c:pt>
                <c:pt idx="6">
                  <c:v>94815.571916666653</c:v>
                </c:pt>
                <c:pt idx="7">
                  <c:v>90736.182166666651</c:v>
                </c:pt>
                <c:pt idx="8">
                  <c:v>91593.672833333316</c:v>
                </c:pt>
                <c:pt idx="9">
                  <c:v>99910.299666666659</c:v>
                </c:pt>
                <c:pt idx="10">
                  <c:v>107794.16450000001</c:v>
                </c:pt>
                <c:pt idx="11">
                  <c:v>124296.65891666665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CA-4B5F-A12F-E065A6254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7077920"/>
        <c:axId val="1587070432"/>
      </c:lineChart>
      <c:catAx>
        <c:axId val="1587077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Mois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87070432"/>
        <c:crosses val="autoZero"/>
        <c:auto val="1"/>
        <c:lblAlgn val="ctr"/>
        <c:lblOffset val="100"/>
        <c:noMultiLvlLbl val="0"/>
      </c:catAx>
      <c:valAx>
        <c:axId val="15870704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Consommation (GWh)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87077920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12700"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847780659618433"/>
          <c:y val="0.10961956304794533"/>
          <c:w val="0.84658812035497044"/>
          <c:h val="0.78405371988342354"/>
        </c:manualLayout>
      </c:layout>
      <c:scatterChart>
        <c:scatterStyle val="lineMarker"/>
        <c:varyColors val="0"/>
        <c:ser>
          <c:idx val="0"/>
          <c:order val="0"/>
          <c:tx>
            <c:strRef>
              <c:f>'Synthese-Electricite'!$H$1</c:f>
              <c:strCache>
                <c:ptCount val="1"/>
                <c:pt idx="0">
                  <c:v>DJU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3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D5EE-4D45-A512-2D2DBE2DF8A4}"/>
              </c:ext>
            </c:extLst>
          </c:dPt>
          <c:trendline>
            <c:spPr>
              <a:ln w="5080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6077008416757268"/>
                  <c:y val="-0.310919991951597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'Synthese-Electricite'!$F$2:$F$145</c:f>
              <c:numCache>
                <c:formatCode>General</c:formatCode>
                <c:ptCount val="144"/>
                <c:pt idx="0">
                  <c:v>101739.33</c:v>
                </c:pt>
                <c:pt idx="1">
                  <c:v>82618.320999999996</c:v>
                </c:pt>
                <c:pt idx="2">
                  <c:v>77235.451000000001</c:v>
                </c:pt>
                <c:pt idx="3">
                  <c:v>68889.017999999996</c:v>
                </c:pt>
                <c:pt idx="4">
                  <c:v>67857.819000000003</c:v>
                </c:pt>
                <c:pt idx="5">
                  <c:v>71804.539999999994</c:v>
                </c:pt>
                <c:pt idx="6">
                  <c:v>72673.888999999996</c:v>
                </c:pt>
                <c:pt idx="7">
                  <c:v>76347.869000000006</c:v>
                </c:pt>
                <c:pt idx="8">
                  <c:v>81476.797000000006</c:v>
                </c:pt>
                <c:pt idx="9">
                  <c:v>98215.301999999996</c:v>
                </c:pt>
                <c:pt idx="10">
                  <c:v>105420.47100000001</c:v>
                </c:pt>
                <c:pt idx="11">
                  <c:v>122244.81299999999</c:v>
                </c:pt>
                <c:pt idx="12">
                  <c:v>113862.836</c:v>
                </c:pt>
                <c:pt idx="13">
                  <c:v>103338.44899999999</c:v>
                </c:pt>
                <c:pt idx="14">
                  <c:v>100824.03200000001</c:v>
                </c:pt>
                <c:pt idx="15">
                  <c:v>93302.29</c:v>
                </c:pt>
                <c:pt idx="16">
                  <c:v>94077.998999999996</c:v>
                </c:pt>
                <c:pt idx="17">
                  <c:v>93748.603000000003</c:v>
                </c:pt>
                <c:pt idx="18">
                  <c:v>89891.153999999995</c:v>
                </c:pt>
                <c:pt idx="19">
                  <c:v>91972.191999999995</c:v>
                </c:pt>
                <c:pt idx="20">
                  <c:v>92509.194000000003</c:v>
                </c:pt>
                <c:pt idx="21">
                  <c:v>108001.88499999999</c:v>
                </c:pt>
                <c:pt idx="22">
                  <c:v>107337.637</c:v>
                </c:pt>
                <c:pt idx="23">
                  <c:v>126996.304</c:v>
                </c:pt>
                <c:pt idx="24">
                  <c:v>118633.62699999999</c:v>
                </c:pt>
                <c:pt idx="25">
                  <c:v>106034.62699999999</c:v>
                </c:pt>
                <c:pt idx="26">
                  <c:v>97153.659</c:v>
                </c:pt>
                <c:pt idx="27">
                  <c:v>77356.474000000002</c:v>
                </c:pt>
                <c:pt idx="28">
                  <c:v>78900.646999999997</c:v>
                </c:pt>
                <c:pt idx="29">
                  <c:v>79794.891000000003</c:v>
                </c:pt>
                <c:pt idx="30">
                  <c:v>75457.934999999998</c:v>
                </c:pt>
                <c:pt idx="31">
                  <c:v>84761.683000000005</c:v>
                </c:pt>
                <c:pt idx="32">
                  <c:v>91742.873000000007</c:v>
                </c:pt>
                <c:pt idx="33">
                  <c:v>104942.89</c:v>
                </c:pt>
                <c:pt idx="34">
                  <c:v>112056.784</c:v>
                </c:pt>
                <c:pt idx="35">
                  <c:v>127652.379</c:v>
                </c:pt>
                <c:pt idx="36">
                  <c:v>116757.08500000001</c:v>
                </c:pt>
                <c:pt idx="37">
                  <c:v>101727.058</c:v>
                </c:pt>
                <c:pt idx="38">
                  <c:v>98557.437000000005</c:v>
                </c:pt>
                <c:pt idx="39">
                  <c:v>89656.631999999998</c:v>
                </c:pt>
                <c:pt idx="40">
                  <c:v>89475.376999999993</c:v>
                </c:pt>
                <c:pt idx="41">
                  <c:v>95641.773000000001</c:v>
                </c:pt>
                <c:pt idx="42">
                  <c:v>92925.342000000004</c:v>
                </c:pt>
                <c:pt idx="43">
                  <c:v>101378.798</c:v>
                </c:pt>
                <c:pt idx="44">
                  <c:v>104769.129</c:v>
                </c:pt>
                <c:pt idx="45">
                  <c:v>118562.564</c:v>
                </c:pt>
                <c:pt idx="46">
                  <c:v>119624.963</c:v>
                </c:pt>
                <c:pt idx="47">
                  <c:v>133434.58600000001</c:v>
                </c:pt>
                <c:pt idx="48">
                  <c:v>128804.89200000001</c:v>
                </c:pt>
                <c:pt idx="49">
                  <c:v>110141.77800000001</c:v>
                </c:pt>
                <c:pt idx="50">
                  <c:v>103174.075</c:v>
                </c:pt>
                <c:pt idx="51">
                  <c:v>96200.369000000006</c:v>
                </c:pt>
                <c:pt idx="52">
                  <c:v>89685.150999999998</c:v>
                </c:pt>
                <c:pt idx="53">
                  <c:v>97487.360000000001</c:v>
                </c:pt>
                <c:pt idx="54">
                  <c:v>93112.986999999994</c:v>
                </c:pt>
                <c:pt idx="55">
                  <c:v>101143.84699999999</c:v>
                </c:pt>
                <c:pt idx="56">
                  <c:v>104119.656</c:v>
                </c:pt>
                <c:pt idx="57">
                  <c:v>119066.515</c:v>
                </c:pt>
                <c:pt idx="58">
                  <c:v>121378.588</c:v>
                </c:pt>
                <c:pt idx="59">
                  <c:v>137924.897</c:v>
                </c:pt>
                <c:pt idx="60">
                  <c:v>126402.583</c:v>
                </c:pt>
                <c:pt idx="61">
                  <c:v>103027.705</c:v>
                </c:pt>
                <c:pt idx="62">
                  <c:v>94094.212</c:v>
                </c:pt>
                <c:pt idx="63">
                  <c:v>94579.952999999994</c:v>
                </c:pt>
                <c:pt idx="64">
                  <c:v>92577.668999999994</c:v>
                </c:pt>
                <c:pt idx="65">
                  <c:v>91963.101999999999</c:v>
                </c:pt>
                <c:pt idx="66">
                  <c:v>89238.354000000007</c:v>
                </c:pt>
                <c:pt idx="67">
                  <c:v>98583.262000000002</c:v>
                </c:pt>
                <c:pt idx="68">
                  <c:v>101559.806</c:v>
                </c:pt>
                <c:pt idx="69">
                  <c:v>115976.24400000001</c:v>
                </c:pt>
                <c:pt idx="70">
                  <c:v>113502.993</c:v>
                </c:pt>
                <c:pt idx="71">
                  <c:v>132932.36499999999</c:v>
                </c:pt>
                <c:pt idx="72">
                  <c:v>121746.79399999999</c:v>
                </c:pt>
                <c:pt idx="73">
                  <c:v>105120.86900000001</c:v>
                </c:pt>
                <c:pt idx="74">
                  <c:v>94924.881999999998</c:v>
                </c:pt>
                <c:pt idx="75">
                  <c:v>87030.551999999996</c:v>
                </c:pt>
                <c:pt idx="76">
                  <c:v>89063.804999999993</c:v>
                </c:pt>
                <c:pt idx="77">
                  <c:v>93365.251999999993</c:v>
                </c:pt>
                <c:pt idx="78">
                  <c:v>93667.933999999994</c:v>
                </c:pt>
                <c:pt idx="79">
                  <c:v>97483.324999999997</c:v>
                </c:pt>
                <c:pt idx="80">
                  <c:v>102910.13</c:v>
                </c:pt>
                <c:pt idx="81">
                  <c:v>120861.255</c:v>
                </c:pt>
                <c:pt idx="82">
                  <c:v>121057.969</c:v>
                </c:pt>
                <c:pt idx="83">
                  <c:v>137200.48300000001</c:v>
                </c:pt>
                <c:pt idx="84">
                  <c:v>131878.228</c:v>
                </c:pt>
                <c:pt idx="85">
                  <c:v>117025.652</c:v>
                </c:pt>
                <c:pt idx="86">
                  <c:v>108690.212</c:v>
                </c:pt>
                <c:pt idx="87">
                  <c:v>98332.945999999996</c:v>
                </c:pt>
                <c:pt idx="88">
                  <c:v>100290.107</c:v>
                </c:pt>
                <c:pt idx="89">
                  <c:v>106188.031</c:v>
                </c:pt>
                <c:pt idx="90">
                  <c:v>99228.376999999993</c:v>
                </c:pt>
                <c:pt idx="91">
                  <c:v>99710.020999999993</c:v>
                </c:pt>
                <c:pt idx="92">
                  <c:v>104238.194</c:v>
                </c:pt>
                <c:pt idx="93">
                  <c:v>121420.841</c:v>
                </c:pt>
                <c:pt idx="94">
                  <c:v>124040.258</c:v>
                </c:pt>
                <c:pt idx="95">
                  <c:v>142068.386</c:v>
                </c:pt>
                <c:pt idx="96">
                  <c:v>135360.068</c:v>
                </c:pt>
                <c:pt idx="97">
                  <c:v>118985.633</c:v>
                </c:pt>
                <c:pt idx="98">
                  <c:v>108071.08100000001</c:v>
                </c:pt>
                <c:pt idx="99">
                  <c:v>101267.886</c:v>
                </c:pt>
                <c:pt idx="100">
                  <c:v>100251.541</c:v>
                </c:pt>
                <c:pt idx="101">
                  <c:v>106406.202</c:v>
                </c:pt>
                <c:pt idx="102">
                  <c:v>98834.731</c:v>
                </c:pt>
                <c:pt idx="103">
                  <c:v>100689.303</c:v>
                </c:pt>
                <c:pt idx="104">
                  <c:v>104416.71799999999</c:v>
                </c:pt>
                <c:pt idx="105">
                  <c:v>119372.99400000001</c:v>
                </c:pt>
                <c:pt idx="106">
                  <c:v>123315.409</c:v>
                </c:pt>
                <c:pt idx="107">
                  <c:v>141988.77100000001</c:v>
                </c:pt>
                <c:pt idx="108">
                  <c:v>133477.69699999999</c:v>
                </c:pt>
                <c:pt idx="109">
                  <c:v>114378.76700000001</c:v>
                </c:pt>
                <c:pt idx="110">
                  <c:v>103602.09699999999</c:v>
                </c:pt>
                <c:pt idx="111">
                  <c:v>95267.828999999998</c:v>
                </c:pt>
                <c:pt idx="112">
                  <c:v>94410.301000000007</c:v>
                </c:pt>
                <c:pt idx="113">
                  <c:v>100539.86599999999</c:v>
                </c:pt>
                <c:pt idx="114">
                  <c:v>95271.593999999997</c:v>
                </c:pt>
                <c:pt idx="115">
                  <c:v>100798.121</c:v>
                </c:pt>
                <c:pt idx="116">
                  <c:v>105144.986</c:v>
                </c:pt>
                <c:pt idx="117">
                  <c:v>117945.99</c:v>
                </c:pt>
                <c:pt idx="118">
                  <c:v>121653.34600000001</c:v>
                </c:pt>
                <c:pt idx="119">
                  <c:v>137794.986</c:v>
                </c:pt>
                <c:pt idx="120">
                  <c:v>131612.47899999999</c:v>
                </c:pt>
                <c:pt idx="121">
                  <c:v>120039.368</c:v>
                </c:pt>
                <c:pt idx="122">
                  <c:v>107111.125</c:v>
                </c:pt>
                <c:pt idx="123">
                  <c:v>96929.414000000004</c:v>
                </c:pt>
                <c:pt idx="124">
                  <c:v>91486.59</c:v>
                </c:pt>
                <c:pt idx="125">
                  <c:v>95154.142000000007</c:v>
                </c:pt>
                <c:pt idx="126">
                  <c:v>89777.911999999997</c:v>
                </c:pt>
                <c:pt idx="127">
                  <c:v>97823.307000000001</c:v>
                </c:pt>
                <c:pt idx="128">
                  <c:v>107680.724</c:v>
                </c:pt>
                <c:pt idx="129">
                  <c:v>122394.708</c:v>
                </c:pt>
                <c:pt idx="130">
                  <c:v>122863.35400000001</c:v>
                </c:pt>
                <c:pt idx="131">
                  <c:v>140006.758</c:v>
                </c:pt>
                <c:pt idx="132">
                  <c:v>131284.288</c:v>
                </c:pt>
                <c:pt idx="133">
                  <c:v>111091.747</c:v>
                </c:pt>
                <c:pt idx="134">
                  <c:v>105485.333</c:v>
                </c:pt>
                <c:pt idx="135">
                  <c:v>100310.711</c:v>
                </c:pt>
                <c:pt idx="136">
                  <c:v>100757.18</c:v>
                </c:pt>
                <c:pt idx="137">
                  <c:v>105693.101</c:v>
                </c:pt>
                <c:pt idx="138">
                  <c:v>103686.879</c:v>
                </c:pt>
                <c:pt idx="139">
                  <c:v>106048.662</c:v>
                </c:pt>
                <c:pt idx="140">
                  <c:v>107686.867</c:v>
                </c:pt>
                <c:pt idx="141">
                  <c:v>121598.295</c:v>
                </c:pt>
                <c:pt idx="142">
                  <c:v>124086.333</c:v>
                </c:pt>
                <c:pt idx="143">
                  <c:v>141886.171</c:v>
                </c:pt>
              </c:numCache>
            </c:numRef>
          </c:xVal>
          <c:yVal>
            <c:numRef>
              <c:f>'Synthese-Electricite'!$H$2:$H$145</c:f>
              <c:numCache>
                <c:formatCode>General</c:formatCode>
                <c:ptCount val="144"/>
                <c:pt idx="0">
                  <c:v>280.3</c:v>
                </c:pt>
                <c:pt idx="1">
                  <c:v>144.9</c:v>
                </c:pt>
                <c:pt idx="2">
                  <c:v>17.2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20.100000000000001</c:v>
                </c:pt>
                <c:pt idx="8">
                  <c:v>0</c:v>
                </c:pt>
                <c:pt idx="9">
                  <c:v>173.3</c:v>
                </c:pt>
                <c:pt idx="10">
                  <c:v>208.4</c:v>
                </c:pt>
                <c:pt idx="11">
                  <c:v>321.8</c:v>
                </c:pt>
                <c:pt idx="12">
                  <c:v>260.3</c:v>
                </c:pt>
                <c:pt idx="13">
                  <c:v>233.5</c:v>
                </c:pt>
                <c:pt idx="14">
                  <c:v>81.3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79.2</c:v>
                </c:pt>
                <c:pt idx="20">
                  <c:v>167.2</c:v>
                </c:pt>
                <c:pt idx="21">
                  <c:v>209.3</c:v>
                </c:pt>
                <c:pt idx="22">
                  <c:v>210.2</c:v>
                </c:pt>
                <c:pt idx="23">
                  <c:v>0</c:v>
                </c:pt>
                <c:pt idx="24">
                  <c:v>264.2</c:v>
                </c:pt>
                <c:pt idx="25">
                  <c:v>0</c:v>
                </c:pt>
                <c:pt idx="26">
                  <c:v>87.4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36.200000000000003</c:v>
                </c:pt>
                <c:pt idx="32">
                  <c:v>58.6</c:v>
                </c:pt>
                <c:pt idx="33">
                  <c:v>0</c:v>
                </c:pt>
                <c:pt idx="34">
                  <c:v>181.1</c:v>
                </c:pt>
                <c:pt idx="35">
                  <c:v>259.8</c:v>
                </c:pt>
                <c:pt idx="36">
                  <c:v>235.4</c:v>
                </c:pt>
                <c:pt idx="37">
                  <c:v>206.5</c:v>
                </c:pt>
                <c:pt idx="38">
                  <c:v>50.8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71.7</c:v>
                </c:pt>
                <c:pt idx="44">
                  <c:v>124.7</c:v>
                </c:pt>
                <c:pt idx="45">
                  <c:v>171.3</c:v>
                </c:pt>
                <c:pt idx="46">
                  <c:v>209.8</c:v>
                </c:pt>
                <c:pt idx="47">
                  <c:v>338.4</c:v>
                </c:pt>
                <c:pt idx="48">
                  <c:v>242.9</c:v>
                </c:pt>
                <c:pt idx="49">
                  <c:v>187.1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37.799999999999997</c:v>
                </c:pt>
                <c:pt idx="56">
                  <c:v>73.3</c:v>
                </c:pt>
                <c:pt idx="57">
                  <c:v>234.4</c:v>
                </c:pt>
                <c:pt idx="58">
                  <c:v>344.7</c:v>
                </c:pt>
                <c:pt idx="59">
                  <c:v>223.9</c:v>
                </c:pt>
                <c:pt idx="60">
                  <c:v>298.2</c:v>
                </c:pt>
                <c:pt idx="61">
                  <c:v>218.7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42.1</c:v>
                </c:pt>
                <c:pt idx="68">
                  <c:v>134.1</c:v>
                </c:pt>
                <c:pt idx="69">
                  <c:v>142.80000000000001</c:v>
                </c:pt>
                <c:pt idx="70">
                  <c:v>207.1</c:v>
                </c:pt>
                <c:pt idx="71">
                  <c:v>391.3</c:v>
                </c:pt>
                <c:pt idx="72">
                  <c:v>303.2</c:v>
                </c:pt>
                <c:pt idx="73">
                  <c:v>203.5</c:v>
                </c:pt>
                <c:pt idx="74">
                  <c:v>104.8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50.4</c:v>
                </c:pt>
                <c:pt idx="80">
                  <c:v>143.1</c:v>
                </c:pt>
                <c:pt idx="81">
                  <c:v>241.2</c:v>
                </c:pt>
                <c:pt idx="82">
                  <c:v>242.7</c:v>
                </c:pt>
                <c:pt idx="83">
                  <c:v>269.60000000000002</c:v>
                </c:pt>
                <c:pt idx="84">
                  <c:v>176.2</c:v>
                </c:pt>
                <c:pt idx="85">
                  <c:v>135.4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43.6</c:v>
                </c:pt>
                <c:pt idx="92">
                  <c:v>98.8</c:v>
                </c:pt>
                <c:pt idx="93">
                  <c:v>204.8</c:v>
                </c:pt>
                <c:pt idx="94">
                  <c:v>299.60000000000002</c:v>
                </c:pt>
                <c:pt idx="95">
                  <c:v>310.60000000000002</c:v>
                </c:pt>
                <c:pt idx="96">
                  <c:v>287.2</c:v>
                </c:pt>
                <c:pt idx="97">
                  <c:v>136.4</c:v>
                </c:pt>
                <c:pt idx="98">
                  <c:v>37.9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51.6</c:v>
                </c:pt>
                <c:pt idx="104">
                  <c:v>83.8</c:v>
                </c:pt>
                <c:pt idx="105">
                  <c:v>175.4</c:v>
                </c:pt>
                <c:pt idx="106">
                  <c:v>214.4</c:v>
                </c:pt>
                <c:pt idx="107">
                  <c:v>246.8</c:v>
                </c:pt>
                <c:pt idx="108">
                  <c:v>278.3</c:v>
                </c:pt>
                <c:pt idx="109">
                  <c:v>229.4</c:v>
                </c:pt>
                <c:pt idx="110">
                  <c:v>52.9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96.9</c:v>
                </c:pt>
                <c:pt idx="116">
                  <c:v>151.1</c:v>
                </c:pt>
                <c:pt idx="117">
                  <c:v>273.5</c:v>
                </c:pt>
                <c:pt idx="118">
                  <c:v>333.4</c:v>
                </c:pt>
                <c:pt idx="119">
                  <c:v>341.4</c:v>
                </c:pt>
                <c:pt idx="120">
                  <c:v>270.60000000000002</c:v>
                </c:pt>
                <c:pt idx="121">
                  <c:v>197.8</c:v>
                </c:pt>
                <c:pt idx="122">
                  <c:v>87.2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47.9</c:v>
                </c:pt>
                <c:pt idx="128">
                  <c:v>157.4</c:v>
                </c:pt>
                <c:pt idx="129">
                  <c:v>156.4</c:v>
                </c:pt>
                <c:pt idx="130">
                  <c:v>393.3</c:v>
                </c:pt>
                <c:pt idx="131">
                  <c:v>281.8</c:v>
                </c:pt>
                <c:pt idx="132">
                  <c:v>0</c:v>
                </c:pt>
                <c:pt idx="133">
                  <c:v>145.19999999999999</c:v>
                </c:pt>
                <c:pt idx="134">
                  <c:v>71.5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24.3</c:v>
                </c:pt>
                <c:pt idx="140">
                  <c:v>0</c:v>
                </c:pt>
                <c:pt idx="141">
                  <c:v>189.5</c:v>
                </c:pt>
                <c:pt idx="142">
                  <c:v>237.8</c:v>
                </c:pt>
                <c:pt idx="143">
                  <c:v>322.10000000000002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EE-4D45-A512-2D2DBE2DF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5089456"/>
        <c:axId val="1815094864"/>
      </c:scatterChart>
      <c:valAx>
        <c:axId val="181508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Consommation électrique (GWh)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5094864"/>
        <c:crosses val="autoZero"/>
        <c:crossBetween val="midCat"/>
      </c:valAx>
      <c:valAx>
        <c:axId val="1815094864"/>
        <c:scaling>
          <c:orientation val="minMax"/>
          <c:max val="4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Rigueur climatique (DJU)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5089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val">
        <cx:f>_xlchart.v1.5</cx:f>
      </cx:numDim>
    </cx:data>
  </cx:chartData>
  <cx:chart>
    <cx:title pos="t" align="ctr" overlay="0">
      <cx:tx>
        <cx:txData>
          <cx:v>Dispersion de la conso électrique par saison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Dispersion de la conso électrique par saison</a:t>
          </a:r>
        </a:p>
      </cx:txPr>
    </cx:title>
    <cx:plotArea>
      <cx:plotAreaRegion>
        <cx:series layoutId="boxWhisker" uniqueId="{AE306A30-94B8-4C8A-8F84-4258BB4D0380}">
          <cx:tx>
            <cx:txData>
              <cx:f>_xlchart.v1.4</cx:f>
              <cx:v>Conso_CVC_CJO</cx:v>
            </cx:txData>
          </cx:tx>
          <cx:spPr>
            <a:solidFill>
              <a:schemeClr val="accent5">
                <a:lumMod val="75000"/>
              </a:schemeClr>
            </a:solidFill>
            <a:ln>
              <a:solidFill>
                <a:schemeClr val="tx1">
                  <a:lumMod val="15000"/>
                  <a:lumOff val="85000"/>
                </a:schemeClr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Saisons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fr-FR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Saisons</a:t>
              </a:r>
            </a:p>
          </cx:txPr>
        </cx:title>
        <cx:tickLabels/>
      </cx:axis>
      <cx:axis id="1">
        <cx:valScaling/>
        <cx:title>
          <cx:tx>
            <cx:txData>
              <cx:v>Consommation (GWh)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fr-FR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Consommation (GWh)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758128</xdr:colOff>
      <xdr:row>0</xdr:row>
      <xdr:rowOff>395444</xdr:rowOff>
    </xdr:from>
    <xdr:to>
      <xdr:col>15</xdr:col>
      <xdr:colOff>714375</xdr:colOff>
      <xdr:row>10</xdr:row>
      <xdr:rowOff>28574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6E344FE-D9C8-4BBC-A830-96CE5B9678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133349</xdr:colOff>
      <xdr:row>11</xdr:row>
      <xdr:rowOff>142874</xdr:rowOff>
    </xdr:from>
    <xdr:to>
      <xdr:col>15</xdr:col>
      <xdr:colOff>28575</xdr:colOff>
      <xdr:row>18</xdr:row>
      <xdr:rowOff>171450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5442C0B-90AE-4085-A83F-37A675920C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620503</xdr:colOff>
      <xdr:row>15</xdr:row>
      <xdr:rowOff>39632</xdr:rowOff>
    </xdr:from>
    <xdr:to>
      <xdr:col>26</xdr:col>
      <xdr:colOff>404144</xdr:colOff>
      <xdr:row>22</xdr:row>
      <xdr:rowOff>137146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BE8BD0DE-0833-4CBA-ADFB-4EBB3022C9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255814</xdr:colOff>
      <xdr:row>21</xdr:row>
      <xdr:rowOff>176893</xdr:rowOff>
    </xdr:from>
    <xdr:to>
      <xdr:col>16</xdr:col>
      <xdr:colOff>204107</xdr:colOff>
      <xdr:row>45</xdr:row>
      <xdr:rowOff>48986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aphique 6">
              <a:extLst>
                <a:ext uri="{FF2B5EF4-FFF2-40B4-BE49-F238E27FC236}">
                  <a16:creationId xmlns:a16="http://schemas.microsoft.com/office/drawing/2014/main" id="{CA574B8F-CFF5-40DD-87B3-F544BB0215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89671" y="10028464"/>
              <a:ext cx="7568293" cy="44440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18</xdr:col>
      <xdr:colOff>623454</xdr:colOff>
      <xdr:row>2</xdr:row>
      <xdr:rowOff>242454</xdr:rowOff>
    </xdr:from>
    <xdr:to>
      <xdr:col>25</xdr:col>
      <xdr:colOff>697749</xdr:colOff>
      <xdr:row>12</xdr:row>
      <xdr:rowOff>76200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2A1D4E35-57BA-4858-B382-D7B81DCCD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eur" refreshedDate="46148.711944097224" createdVersion="7" refreshedVersion="7" minRefreshableVersion="3" recordCount="516" xr:uid="{7D788AAD-C211-417A-9EEE-822DD956B38A}">
  <cacheSource type="worksheet">
    <worksheetSource name="_4_2_Synthese_Electricite_2026_04"/>
  </cacheSource>
  <cacheFields count="13">
    <cacheField name="Période" numFmtId="0">
      <sharedItems containsBlank="1"/>
    </cacheField>
    <cacheField name="Solde_Import" numFmtId="0">
      <sharedItems containsString="0" containsBlank="1" containsNumber="1" minValue="-8166.72" maxValue="3318.835"/>
    </cacheField>
    <cacheField name="Imports" numFmtId="0">
      <sharedItems containsString="0" containsBlank="1" containsNumber="1" minValue="71.013000000000005" maxValue="5629.2460000000001"/>
    </cacheField>
    <cacheField name="Exports" numFmtId="0">
      <sharedItems containsString="0" containsBlank="1" containsNumber="1" minValue="1909.3109999999999" maxValue="8473.2240000000002"/>
    </cacheField>
    <cacheField name="Conso_Brute" numFmtId="0">
      <sharedItems containsString="0" containsBlank="1" containsNumber="1" minValue="68592.455000000002" maxValue="142479.69"/>
    </cacheField>
    <cacheField name="Conso_CVC_CJO" numFmtId="0">
      <sharedItems containsBlank="1" containsMixedTypes="1" containsNumber="1" minValue="67857.819000000003" maxValue="142068.386" count="146">
        <n v="101739.33"/>
        <n v="82618.320999999996"/>
        <n v="77235.451000000001"/>
        <n v="68889.017999999996"/>
        <n v="67857.819000000003"/>
        <n v="71804.539999999994"/>
        <n v="72673.888999999996"/>
        <n v="76347.869000000006"/>
        <n v="81476.797000000006"/>
        <n v="98215.301999999996"/>
        <n v="105420.47100000001"/>
        <n v="122244.81299999999"/>
        <n v="113862.836"/>
        <n v="103338.44899999999"/>
        <n v="100824.03200000001"/>
        <n v="93302.29"/>
        <n v="94077.998999999996"/>
        <n v="93748.603000000003"/>
        <n v="89891.153999999995"/>
        <n v="91972.191999999995"/>
        <n v="92509.194000000003"/>
        <n v="108001.88499999999"/>
        <n v="107337.637"/>
        <n v="126996.304"/>
        <n v="118633.62699999999"/>
        <n v="106034.62699999999"/>
        <n v="97153.659"/>
        <n v="77356.474000000002"/>
        <n v="78900.646999999997"/>
        <n v="79794.891000000003"/>
        <n v="75457.934999999998"/>
        <n v="84761.683000000005"/>
        <n v="91742.873000000007"/>
        <n v="104942.89"/>
        <n v="112056.784"/>
        <n v="127652.379"/>
        <n v="116757.08500000001"/>
        <n v="101727.058"/>
        <n v="98557.437000000005"/>
        <n v="89656.631999999998"/>
        <n v="89475.376999999993"/>
        <n v="95641.773000000001"/>
        <n v="92925.342000000004"/>
        <n v="101378.798"/>
        <n v="104769.129"/>
        <n v="118562.564"/>
        <n v="119624.963"/>
        <n v="133434.58600000001"/>
        <n v="128804.89200000001"/>
        <n v="110141.77800000001"/>
        <n v="103174.075"/>
        <n v="96200.369000000006"/>
        <n v="89685.150999999998"/>
        <n v="97487.360000000001"/>
        <n v="93112.986999999994"/>
        <n v="101143.84699999999"/>
        <n v="104119.656"/>
        <n v="119066.515"/>
        <n v="121378.588"/>
        <n v="137924.897"/>
        <n v="126402.583"/>
        <n v="103027.705"/>
        <n v="94094.212"/>
        <n v="94579.952999999994"/>
        <n v="92577.668999999994"/>
        <n v="91963.101999999999"/>
        <n v="89238.354000000007"/>
        <n v="98583.262000000002"/>
        <n v="101559.806"/>
        <n v="115976.24400000001"/>
        <n v="113502.993"/>
        <n v="132932.36499999999"/>
        <n v="121746.79399999999"/>
        <n v="105120.86900000001"/>
        <n v="94924.881999999998"/>
        <n v="87030.551999999996"/>
        <n v="89063.804999999993"/>
        <n v="93365.251999999993"/>
        <n v="93667.933999999994"/>
        <n v="97483.324999999997"/>
        <n v="102910.13"/>
        <n v="120861.255"/>
        <n v="121057.969"/>
        <n v="137200.48300000001"/>
        <n v="131878.228"/>
        <n v="117025.652"/>
        <n v="108690.212"/>
        <n v="98332.945999999996"/>
        <n v="100290.107"/>
        <n v="106188.031"/>
        <n v="99228.376999999993"/>
        <n v="99710.020999999993"/>
        <n v="104238.194"/>
        <n v="121420.841"/>
        <n v="124040.258"/>
        <n v="142068.386"/>
        <n v="135360.068"/>
        <n v="118985.633"/>
        <n v="108071.08100000001"/>
        <n v="101267.886"/>
        <n v="100251.541"/>
        <n v="106406.202"/>
        <n v="98834.731"/>
        <n v="100689.303"/>
        <n v="104416.71799999999"/>
        <n v="119372.99400000001"/>
        <n v="123315.409"/>
        <n v="141988.77100000001"/>
        <n v="133477.69699999999"/>
        <n v="114378.76700000001"/>
        <n v="103602.09699999999"/>
        <n v="95267.828999999998"/>
        <n v="94410.301000000007"/>
        <n v="100539.86599999999"/>
        <n v="95271.593999999997"/>
        <n v="100798.121"/>
        <n v="105144.986"/>
        <n v="117945.99"/>
        <n v="121653.34600000001"/>
        <n v="137794.986"/>
        <n v="131612.47899999999"/>
        <n v="120039.368"/>
        <n v="107111.125"/>
        <n v="96929.414000000004"/>
        <n v="91486.59"/>
        <n v="95154.142000000007"/>
        <n v="89777.911999999997"/>
        <n v="97823.307000000001"/>
        <n v="107680.724"/>
        <n v="122394.708"/>
        <n v="122863.35400000001"/>
        <n v="140006.758"/>
        <n v="131284.288"/>
        <n v="111091.747"/>
        <n v="105485.333"/>
        <n v="100310.711"/>
        <n v="100757.18"/>
        <n v="105693.101"/>
        <n v="103686.879"/>
        <n v="106048.662"/>
        <n v="107686.867"/>
        <n v="121598.295"/>
        <n v="124086.333"/>
        <n v="141886.171"/>
        <s v=""/>
        <m/>
      </sharedItems>
    </cacheField>
    <cacheField name="Conso_CVS" numFmtId="0">
      <sharedItems containsBlank="1" containsMixedTypes="1" containsNumber="1" minValue="78871.995999999999" maxValue="119291.27099999999"/>
    </cacheField>
    <cacheField name="DJU" numFmtId="0">
      <sharedItems containsBlank="1" containsMixedTypes="1" containsNumber="1" minValue="17.2" maxValue="415.5"/>
    </cacheField>
    <cacheField name="Indice_Rigueur" numFmtId="0">
      <sharedItems containsBlank="1" containsMixedTypes="1" containsNumber="1" minValue="0.23200000000000001" maxValue="2.069"/>
    </cacheField>
    <cacheField name="Annee" numFmtId="0">
      <sharedItems containsString="0" containsBlank="1" containsNumber="1" containsInteger="1" minValue="2006" maxValue="2022" count="18">
        <n v="2022"/>
        <n v="2021"/>
        <n v="2020"/>
        <n v="2019"/>
        <n v="2018"/>
        <n v="2017"/>
        <n v="2016"/>
        <n v="2015"/>
        <n v="2014"/>
        <n v="2013"/>
        <n v="2012"/>
        <n v="2011"/>
        <n v="2010"/>
        <n v="2009"/>
        <n v="2008"/>
        <n v="2007"/>
        <n v="2006"/>
        <m/>
      </sharedItems>
    </cacheField>
    <cacheField name="Mois" numFmtId="0">
      <sharedItems containsString="0" containsBlank="1" containsNumber="1" containsInteger="1" minValue="1" maxValue="12" count="13">
        <n v="12"/>
        <n v="11"/>
        <n v="10"/>
        <n v="9"/>
        <n v="8"/>
        <n v="7"/>
        <n v="6"/>
        <n v="5"/>
        <n v="4"/>
        <n v="3"/>
        <n v="2"/>
        <n v="1"/>
        <m/>
      </sharedItems>
    </cacheField>
    <cacheField name="Saison" numFmtId="0">
      <sharedItems containsBlank="1" count="5">
        <s v="Hiver"/>
        <s v="Automne"/>
        <s v="Été"/>
        <s v="Printemps"/>
        <m/>
      </sharedItems>
    </cacheField>
    <cacheField name="Période_chauff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6">
  <r>
    <s v="2022-12"/>
    <n v="1890.73"/>
    <n v="5629.2460000000001"/>
    <n v="3738.5149999999999"/>
    <n v="101402.12699999999"/>
    <x v="0"/>
    <n v="83658.932000000001"/>
    <n v="280.3"/>
    <n v="0.97599999999999998"/>
    <x v="0"/>
    <x v="0"/>
    <x v="0"/>
    <s v="Chauffe"/>
  </r>
  <r>
    <s v="2022-11"/>
    <n v="1077.335"/>
    <n v="4810.4859999999999"/>
    <n v="3733.1509999999998"/>
    <n v="80064.25"/>
    <x v="1"/>
    <n v="79532.858999999997"/>
    <n v="144.9"/>
    <n v="0.74"/>
    <x v="0"/>
    <x v="1"/>
    <x v="1"/>
    <s v="Chauffe"/>
  </r>
  <r>
    <s v="2022-10"/>
    <n v="275.66500000000002"/>
    <n v="4114.7929999999997"/>
    <n v="3839.1280000000002"/>
    <n v="73237.539000000004"/>
    <x v="2"/>
    <n v="78871.995999999999"/>
    <n v="17.2"/>
    <n v="0.23200000000000001"/>
    <x v="0"/>
    <x v="2"/>
    <x v="1"/>
    <s v="Chauffe"/>
  </r>
  <r>
    <s v="2022-09"/>
    <n v="3318.835"/>
    <n v="5469.0730000000003"/>
    <n v="2150.2379999999998"/>
    <n v="68592.455000000002"/>
    <x v="3"/>
    <n v="79681.995999999999"/>
    <s v="0"/>
    <s v="1"/>
    <x v="0"/>
    <x v="3"/>
    <x v="1"/>
    <s v="Hors chauffe"/>
  </r>
  <r>
    <s v="2022-08"/>
    <n v="3214.3069999999998"/>
    <n v="5123.6180000000004"/>
    <n v="1909.3109999999999"/>
    <n v="68927.525999999998"/>
    <x v="4"/>
    <n v="80724.856"/>
    <s v="0"/>
    <s v="1"/>
    <x v="0"/>
    <x v="4"/>
    <x v="2"/>
    <s v="Hors chauffe"/>
  </r>
  <r>
    <s v="2022-07"/>
    <n v="3215.9870000000001"/>
    <n v="5481.076"/>
    <n v="2265.09"/>
    <n v="71668.076000000001"/>
    <x v="5"/>
    <n v="82676.482999999993"/>
    <s v="0"/>
    <s v="1"/>
    <x v="0"/>
    <x v="5"/>
    <x v="2"/>
    <s v="Hors chauffe"/>
  </r>
  <r>
    <s v="2022-06"/>
    <n v="1063.461"/>
    <n v="3813.163"/>
    <n v="2749.701"/>
    <n v="73782.823999999993"/>
    <x v="6"/>
    <n v="88025.517000000007"/>
    <s v="0"/>
    <s v="1"/>
    <x v="0"/>
    <x v="6"/>
    <x v="2"/>
    <s v="Hors chauffe"/>
  </r>
  <r>
    <s v="2022-05"/>
    <n v="-620.846"/>
    <n v="3083.7559999999999"/>
    <n v="3704.6019999999999"/>
    <n v="74686.534"/>
    <x v="7"/>
    <n v="85006.433000000005"/>
    <n v="20.100000000000001"/>
    <n v="0.42899999999999999"/>
    <x v="0"/>
    <x v="7"/>
    <x v="3"/>
    <s v="Chauffe"/>
  </r>
  <r>
    <s v="2022-04"/>
    <n v="1086.9880000000001"/>
    <n v="3789.5070000000001"/>
    <n v="2702.5189999999998"/>
    <n v="81459.790999999997"/>
    <x v="8"/>
    <n v="87440.563999999998"/>
    <s v="121"/>
    <n v="1.0309999999999999"/>
    <x v="0"/>
    <x v="8"/>
    <x v="3"/>
    <s v="Chauffe"/>
  </r>
  <r>
    <s v="2022-03"/>
    <n v="995.08799999999997"/>
    <n v="4030.9879999999998"/>
    <n v="3035.9"/>
    <n v="96310.119000000006"/>
    <x v="9"/>
    <n v="90739.255999999994"/>
    <n v="173.3"/>
    <n v="0.86399999999999999"/>
    <x v="0"/>
    <x v="9"/>
    <x v="3"/>
    <s v="Chauffe"/>
  </r>
  <r>
    <s v="2022-02"/>
    <n v="-1844.4390000000001"/>
    <n v="2325.2849999999999"/>
    <n v="4169.7240000000002"/>
    <n v="103088.948"/>
    <x v="10"/>
    <n v="94179.116999999998"/>
    <n v="208.4"/>
    <n v="0.80800000000000005"/>
    <x v="0"/>
    <x v="10"/>
    <x v="0"/>
    <s v="Chauffe"/>
  </r>
  <r>
    <s v="2022-01"/>
    <n v="995.94"/>
    <n v="4108.2830000000004"/>
    <n v="3112.3429999999998"/>
    <n v="122863.568"/>
    <x v="11"/>
    <n v="94911.888000000006"/>
    <n v="321.8"/>
    <n v="1.032"/>
    <x v="0"/>
    <x v="11"/>
    <x v="0"/>
    <s v="Chauffe"/>
  </r>
  <r>
    <s v="2021-12"/>
    <n v="1937.095"/>
    <n v="4520.4949999999999"/>
    <n v="2583.4"/>
    <n v="112694.577"/>
    <x v="12"/>
    <n v="95553.1"/>
    <n v="260.3"/>
    <n v="0.90600000000000003"/>
    <x v="1"/>
    <x v="0"/>
    <x v="0"/>
    <s v="Chauffe"/>
  </r>
  <r>
    <s v="2021-11"/>
    <n v="799.76800000000003"/>
    <n v="3621.99"/>
    <n v="2822.2220000000002"/>
    <n v="104963.781"/>
    <x v="13"/>
    <n v="100818.7"/>
    <n v="233.5"/>
    <n v="1.1919999999999999"/>
    <x v="1"/>
    <x v="1"/>
    <x v="1"/>
    <s v="Chauffe"/>
  </r>
  <r>
    <s v="2021-10"/>
    <n v="-4305.1880000000001"/>
    <n v="1038.8820000000001"/>
    <n v="5344.07"/>
    <n v="101166.82799999999"/>
    <x v="14"/>
    <n v="102733.465"/>
    <n v="81.3"/>
    <n v="1.0960000000000001"/>
    <x v="1"/>
    <x v="2"/>
    <x v="1"/>
    <s v="Chauffe"/>
  </r>
  <r>
    <s v="2021-09"/>
    <n v="-5788.223"/>
    <n v="641.31100000000004"/>
    <n v="6429.5339999999997"/>
    <n v="93620.233999999997"/>
    <x v="15"/>
    <n v="104701.364"/>
    <s v="0"/>
    <s v="1"/>
    <x v="1"/>
    <x v="3"/>
    <x v="1"/>
    <s v="Hors chauffe"/>
  </r>
  <r>
    <s v="2021-08"/>
    <n v="-7641.9459999999999"/>
    <n v="460.18900000000002"/>
    <n v="8102.1350000000002"/>
    <n v="93963.357000000004"/>
    <x v="16"/>
    <n v="107412.26700000001"/>
    <s v="0"/>
    <s v="1"/>
    <x v="1"/>
    <x v="4"/>
    <x v="2"/>
    <s v="Hors chauffe"/>
  </r>
  <r>
    <s v="2021-07"/>
    <n v="-7321.0690000000004"/>
    <n v="741.90200000000004"/>
    <n v="8062.97"/>
    <n v="93634.792000000001"/>
    <x v="17"/>
    <n v="104938.927"/>
    <s v="0"/>
    <s v="1"/>
    <x v="1"/>
    <x v="5"/>
    <x v="2"/>
    <s v="Hors chauffe"/>
  </r>
  <r>
    <s v="2021-06"/>
    <n v="-6851.46"/>
    <n v="689.69100000000003"/>
    <n v="7541.1509999999998"/>
    <n v="90884.509000000005"/>
    <x v="18"/>
    <n v="105281.076"/>
    <s v="0"/>
    <s v="1"/>
    <x v="1"/>
    <x v="6"/>
    <x v="2"/>
    <s v="Hors chauffe"/>
  </r>
  <r>
    <s v="2021-05"/>
    <n v="-5919.64"/>
    <n v="1213.5820000000001"/>
    <n v="7133.223"/>
    <n v="94056.827000000005"/>
    <x v="19"/>
    <n v="100690.243"/>
    <n v="79.2"/>
    <n v="1.6910000000000001"/>
    <x v="1"/>
    <x v="7"/>
    <x v="3"/>
    <s v="Chauffe"/>
  </r>
  <r>
    <s v="2021-04"/>
    <n v="-1445.471"/>
    <n v="2800.0740000000001"/>
    <n v="4245.5450000000001"/>
    <n v="93954.922000000006"/>
    <x v="20"/>
    <n v="98153.020999999993"/>
    <n v="167.2"/>
    <n v="1.425"/>
    <x v="1"/>
    <x v="8"/>
    <x v="3"/>
    <s v="Chauffe"/>
  </r>
  <r>
    <s v="2021-03"/>
    <n v="-3224.652"/>
    <n v="2339.2820000000002"/>
    <n v="5563.9340000000002"/>
    <n v="108557.91499999999"/>
    <x v="21"/>
    <n v="99875.232999999993"/>
    <n v="209.3"/>
    <n v="1.044"/>
    <x v="1"/>
    <x v="9"/>
    <x v="3"/>
    <s v="Chauffe"/>
  </r>
  <r>
    <s v="2021-02"/>
    <n v="-3409.7260000000001"/>
    <n v="2302.1950000000002"/>
    <n v="5711.9210000000003"/>
    <n v="105063.266"/>
    <x v="22"/>
    <n v="95312.277000000002"/>
    <n v="210.2"/>
    <n v="0.81499999999999995"/>
    <x v="1"/>
    <x v="10"/>
    <x v="0"/>
    <s v="Chauffe"/>
  </r>
  <r>
    <s v="2021-01"/>
    <n v="-1990.0119999999999"/>
    <n v="3290.319"/>
    <n v="5280.3310000000001"/>
    <n v="128030.23299999999"/>
    <x v="23"/>
    <n v="99298.119000000006"/>
    <s v="331"/>
    <n v="1.0609999999999999"/>
    <x v="1"/>
    <x v="11"/>
    <x v="0"/>
    <s v="Chauffe"/>
  </r>
  <r>
    <s v="2020-12"/>
    <n v="-2444.3209999999999"/>
    <n v="2523.3229999999999"/>
    <n v="4967.6440000000002"/>
    <n v="117708.071"/>
    <x v="24"/>
    <n v="100883.40700000001"/>
    <n v="264.2"/>
    <n v="0.92"/>
    <x v="2"/>
    <x v="0"/>
    <x v="0"/>
    <s v="Chauffe"/>
  </r>
  <r>
    <s v="2020-11"/>
    <n v="-4778.82"/>
    <n v="1418.2139999999999"/>
    <n v="6197.0339999999997"/>
    <n v="104124.556"/>
    <x v="25"/>
    <n v="104101.322"/>
    <s v="153"/>
    <n v="0.78100000000000003"/>
    <x v="2"/>
    <x v="1"/>
    <x v="1"/>
    <s v="Chauffe"/>
  </r>
  <r>
    <s v="2020-10"/>
    <n v="-2838.6759999999999"/>
    <n v="1858.2940000000001"/>
    <n v="4696.97"/>
    <n v="97778.277000000002"/>
    <x v="26"/>
    <n v="100752.514"/>
    <n v="87.4"/>
    <n v="1.1779999999999999"/>
    <x v="2"/>
    <x v="2"/>
    <x v="1"/>
    <s v="Chauffe"/>
  </r>
  <r>
    <s v="2020-09"/>
    <n v="552.03899999999999"/>
    <n v="3196.6889999999999"/>
    <n v="2644.65"/>
    <n v="77314.354000000007"/>
    <x v="27"/>
    <n v="89379.034"/>
    <s v="0"/>
    <s v="1"/>
    <x v="2"/>
    <x v="3"/>
    <x v="1"/>
    <s v="Hors chauffe"/>
  </r>
  <r>
    <s v="2020-08"/>
    <n v="-1741.479"/>
    <n v="2072.9720000000002"/>
    <n v="3814.451"/>
    <n v="79373.815000000002"/>
    <x v="28"/>
    <n v="91297.111999999994"/>
    <s v="0"/>
    <s v="1"/>
    <x v="2"/>
    <x v="4"/>
    <x v="2"/>
    <s v="Hors chauffe"/>
  </r>
  <r>
    <s v="2020-07"/>
    <n v="-1300.921"/>
    <n v="2287.0169999999998"/>
    <n v="3587.9380000000001"/>
    <n v="79613.834000000003"/>
    <x v="29"/>
    <n v="90564.532000000007"/>
    <s v="0"/>
    <s v="1"/>
    <x v="2"/>
    <x v="5"/>
    <x v="2"/>
    <s v="Hors chauffe"/>
  </r>
  <r>
    <s v="2020-06"/>
    <n v="-3321.4850000000001"/>
    <n v="1220.7550000000001"/>
    <n v="4542.2389999999996"/>
    <n v="75589.879000000001"/>
    <x v="30"/>
    <n v="90469.766000000003"/>
    <s v="0"/>
    <s v="1"/>
    <x v="2"/>
    <x v="6"/>
    <x v="2"/>
    <s v="Hors chauffe"/>
  </r>
  <r>
    <s v="2020-05"/>
    <n v="-6394.1019999999999"/>
    <n v="555.78099999999995"/>
    <n v="6949.8829999999998"/>
    <n v="84323.429000000004"/>
    <x v="31"/>
    <n v="93020.741999999998"/>
    <n v="36.200000000000003"/>
    <n v="0.77300000000000002"/>
    <x v="2"/>
    <x v="7"/>
    <x v="3"/>
    <s v="Chauffe"/>
  </r>
  <r>
    <s v="2020-04"/>
    <n v="-5693.375"/>
    <n v="738.25699999999995"/>
    <n v="6431.6310000000003"/>
    <n v="89036.046000000002"/>
    <x v="32"/>
    <n v="96816.038"/>
    <n v="58.6"/>
    <n v="0.499"/>
    <x v="2"/>
    <x v="8"/>
    <x v="3"/>
    <s v="Chauffe"/>
  </r>
  <r>
    <s v="2020-03"/>
    <n v="-5993.3980000000001"/>
    <n v="978.97500000000002"/>
    <n v="6972.3729999999996"/>
    <n v="104830.06200000001"/>
    <x v="33"/>
    <n v="96106.156000000003"/>
    <s v="195"/>
    <n v="0.97199999999999998"/>
    <x v="2"/>
    <x v="9"/>
    <x v="3"/>
    <s v="Chauffe"/>
  </r>
  <r>
    <s v="2020-02"/>
    <n v="-6751.1289999999999"/>
    <n v="474.392"/>
    <n v="7225.5209999999997"/>
    <n v="112009.82399999999"/>
    <x v="34"/>
    <n v="100133.07"/>
    <n v="181.1"/>
    <n v="0.70199999999999996"/>
    <x v="2"/>
    <x v="10"/>
    <x v="0"/>
    <s v="Chauffe"/>
  </r>
  <r>
    <s v="2020-01"/>
    <n v="-4517.4279999999999"/>
    <n v="1516.8620000000001"/>
    <n v="6034.29"/>
    <n v="125409.804"/>
    <x v="35"/>
    <n v="100260.78599999999"/>
    <n v="259.8"/>
    <n v="0.83299999999999996"/>
    <x v="2"/>
    <x v="11"/>
    <x v="0"/>
    <s v="Chauffe"/>
  </r>
  <r>
    <s v="2019-12"/>
    <n v="-3569.703"/>
    <n v="2008.625"/>
    <n v="5578.3289999999997"/>
    <n v="115101.421"/>
    <x v="36"/>
    <n v="98567.027000000002"/>
    <n v="235.4"/>
    <n v="0.81899999999999995"/>
    <x v="3"/>
    <x v="0"/>
    <x v="0"/>
    <s v="Chauffe"/>
  </r>
  <r>
    <s v="2019-11"/>
    <n v="-1388.136"/>
    <n v="2814.7689999999998"/>
    <n v="4202.9040000000005"/>
    <n v="102333.251"/>
    <x v="37"/>
    <n v="100062.81299999999"/>
    <n v="206.5"/>
    <n v="1.0549999999999999"/>
    <x v="3"/>
    <x v="1"/>
    <x v="1"/>
    <s v="Chauffe"/>
  </r>
  <r>
    <s v="2019-10"/>
    <n v="-4282.4939999999997"/>
    <n v="1292.912"/>
    <n v="5575.4049999999997"/>
    <n v="96851.236999999994"/>
    <x v="38"/>
    <n v="103108.011"/>
    <n v="50.8"/>
    <n v="0.68500000000000005"/>
    <x v="3"/>
    <x v="2"/>
    <x v="1"/>
    <s v="Chauffe"/>
  </r>
  <r>
    <s v="2019-09"/>
    <n v="-4894.0410000000002"/>
    <n v="1078.3119999999999"/>
    <n v="5972.3530000000001"/>
    <n v="89707.16"/>
    <x v="39"/>
    <n v="102354.88"/>
    <s v="0"/>
    <s v="1"/>
    <x v="3"/>
    <x v="3"/>
    <x v="1"/>
    <s v="Hors chauffe"/>
  </r>
  <r>
    <s v="2019-08"/>
    <n v="-5576.92"/>
    <n v="796.98699999999997"/>
    <n v="6373.9070000000002"/>
    <n v="90168.709000000003"/>
    <x v="40"/>
    <n v="102174.803"/>
    <s v="0"/>
    <s v="1"/>
    <x v="3"/>
    <x v="4"/>
    <x v="2"/>
    <s v="Hors chauffe"/>
  </r>
  <r>
    <s v="2019-07"/>
    <n v="-5623.5460000000003"/>
    <n v="891.54600000000005"/>
    <n v="6515.0929999999998"/>
    <n v="95398.24"/>
    <x v="41"/>
    <n v="106634.53200000001"/>
    <s v="0"/>
    <s v="1"/>
    <x v="3"/>
    <x v="5"/>
    <x v="2"/>
    <s v="Hors chauffe"/>
  </r>
  <r>
    <s v="2019-06"/>
    <n v="-7126.9009999999998"/>
    <n v="325.15499999999997"/>
    <n v="7452.0550000000003"/>
    <n v="93324.092999999993"/>
    <x v="42"/>
    <n v="107874.20299999999"/>
    <s v="0"/>
    <s v="1"/>
    <x v="3"/>
    <x v="6"/>
    <x v="2"/>
    <s v="Hors chauffe"/>
  </r>
  <r>
    <s v="2019-05"/>
    <n v="-7473.1030000000001"/>
    <n v="243.51300000000001"/>
    <n v="7716.616"/>
    <n v="102779.63"/>
    <x v="43"/>
    <n v="109615.925"/>
    <n v="71.7"/>
    <n v="1.5309999999999999"/>
    <x v="3"/>
    <x v="7"/>
    <x v="3"/>
    <s v="Chauffe"/>
  </r>
  <r>
    <s v="2019-04"/>
    <n v="-4459.4430000000002"/>
    <n v="1052.0609999999999"/>
    <n v="5511.5039999999999"/>
    <n v="104711.29300000001"/>
    <x v="44"/>
    <n v="109389.04399999999"/>
    <n v="124.7"/>
    <n v="1.0629999999999999"/>
    <x v="3"/>
    <x v="8"/>
    <x v="3"/>
    <s v="Chauffe"/>
  </r>
  <r>
    <s v="2019-03"/>
    <n v="-6793.1549999999997"/>
    <n v="649.61800000000005"/>
    <n v="7442.7719999999999"/>
    <n v="116993.12300000001"/>
    <x v="45"/>
    <n v="109067.954"/>
    <n v="171.3"/>
    <n v="0.85399999999999998"/>
    <x v="3"/>
    <x v="9"/>
    <x v="3"/>
    <s v="Chauffe"/>
  </r>
  <r>
    <s v="2019-02"/>
    <n v="-5526.15"/>
    <n v="961.48900000000003"/>
    <n v="6487.6390000000001"/>
    <n v="117336.874"/>
    <x v="46"/>
    <n v="107841.466"/>
    <n v="209.8"/>
    <n v="0.81399999999999995"/>
    <x v="3"/>
    <x v="10"/>
    <x v="0"/>
    <s v="Chauffe"/>
  </r>
  <r>
    <s v="2019-01"/>
    <n v="-1334.049"/>
    <n v="2744.5439999999999"/>
    <n v="4078.5929999999998"/>
    <n v="134641.361"/>
    <x v="47"/>
    <n v="105322.81"/>
    <n v="338.4"/>
    <n v="1.085"/>
    <x v="3"/>
    <x v="11"/>
    <x v="0"/>
    <s v="Chauffe"/>
  </r>
  <r>
    <s v="2018-12"/>
    <n v="-5243.6080000000002"/>
    <n v="1232.1859999999999"/>
    <n v="6475.7929999999997"/>
    <n v="127457.557"/>
    <x v="48"/>
    <n v="110278.423"/>
    <n v="242.9"/>
    <n v="0.84499999999999997"/>
    <x v="4"/>
    <x v="0"/>
    <x v="0"/>
    <s v="Chauffe"/>
  </r>
  <r>
    <s v="2018-11"/>
    <n v="-1924.5160000000001"/>
    <n v="2068.6289999999999"/>
    <n v="3993.1460000000002"/>
    <n v="109432.099"/>
    <x v="49"/>
    <n v="108164.95299999999"/>
    <n v="187.1"/>
    <n v="0.95499999999999996"/>
    <x v="4"/>
    <x v="1"/>
    <x v="1"/>
    <s v="Chauffe"/>
  </r>
  <r>
    <s v="2018-10"/>
    <n v="-4581.1540000000005"/>
    <n v="1049.8230000000001"/>
    <n v="5630.9769999999999"/>
    <n v="102525.152"/>
    <x v="50"/>
    <n v="108246.447"/>
    <s v="76"/>
    <n v="1.024"/>
    <x v="4"/>
    <x v="2"/>
    <x v="1"/>
    <s v="Chauffe"/>
  </r>
  <r>
    <s v="2018-09"/>
    <n v="-5605.085"/>
    <n v="704.05499999999995"/>
    <n v="6309.1390000000001"/>
    <n v="96436.834000000003"/>
    <x v="51"/>
    <n v="109831.314"/>
    <s v="0"/>
    <s v="1"/>
    <x v="4"/>
    <x v="3"/>
    <x v="1"/>
    <s v="Hors chauffe"/>
  </r>
  <r>
    <s v="2018-08"/>
    <n v="-4356.2470000000003"/>
    <n v="1174.7539999999999"/>
    <n v="5531.0010000000002"/>
    <n v="89984.106"/>
    <x v="52"/>
    <n v="103045.841"/>
    <s v="0"/>
    <s v="1"/>
    <x v="4"/>
    <x v="4"/>
    <x v="2"/>
    <s v="Hors chauffe"/>
  </r>
  <r>
    <s v="2018-07"/>
    <n v="-6262.9780000000001"/>
    <n v="728.226"/>
    <n v="6991.2039999999997"/>
    <n v="97443.006999999998"/>
    <x v="53"/>
    <n v="108562.613"/>
    <s v="0"/>
    <s v="1"/>
    <x v="4"/>
    <x v="5"/>
    <x v="2"/>
    <s v="Hors chauffe"/>
  </r>
  <r>
    <s v="2018-06"/>
    <n v="-7602.1469999999999"/>
    <n v="208.99199999999999"/>
    <n v="7811.1390000000001"/>
    <n v="94250.131999999998"/>
    <x v="54"/>
    <n v="107898.71400000001"/>
    <s v="0"/>
    <s v="1"/>
    <x v="4"/>
    <x v="6"/>
    <x v="2"/>
    <s v="Hors chauffe"/>
  </r>
  <r>
    <s v="2018-05"/>
    <n v="-8079.7489999999998"/>
    <n v="393.47500000000002"/>
    <n v="8473.2240000000002"/>
    <n v="100104.52800000001"/>
    <x v="55"/>
    <n v="109380.995"/>
    <n v="37.799999999999997"/>
    <n v="0.80700000000000005"/>
    <x v="4"/>
    <x v="7"/>
    <x v="3"/>
    <s v="Chauffe"/>
  </r>
  <r>
    <s v="2018-04"/>
    <n v="-5810.1959999999999"/>
    <n v="647.51300000000003"/>
    <n v="6457.7079999999996"/>
    <n v="101975.44"/>
    <x v="56"/>
    <n v="108635.908"/>
    <n v="73.3"/>
    <n v="0.625"/>
    <x v="4"/>
    <x v="8"/>
    <x v="3"/>
    <s v="Chauffe"/>
  </r>
  <r>
    <s v="2018-03"/>
    <n v="-3394.0329999999999"/>
    <n v="1914.9570000000001"/>
    <n v="5308.9889999999996"/>
    <n v="121088.981"/>
    <x v="57"/>
    <n v="108851.368"/>
    <n v="234.4"/>
    <n v="1.169"/>
    <x v="4"/>
    <x v="9"/>
    <x v="3"/>
    <s v="Chauffe"/>
  </r>
  <r>
    <s v="2018-02"/>
    <n v="-3128.7020000000002"/>
    <n v="2115.6759999999999"/>
    <n v="5244.3779999999997"/>
    <n v="122774.9"/>
    <x v="58"/>
    <n v="109910.861"/>
    <n v="344.7"/>
    <n v="1.337"/>
    <x v="4"/>
    <x v="10"/>
    <x v="0"/>
    <s v="Chauffe"/>
  </r>
  <r>
    <s v="2018-01"/>
    <n v="-7291.8630000000003"/>
    <n v="590.11900000000003"/>
    <n v="7881.9830000000002"/>
    <n v="133777.274"/>
    <x v="59"/>
    <n v="109489.504"/>
    <n v="223.9"/>
    <n v="0.71799999999999997"/>
    <x v="4"/>
    <x v="11"/>
    <x v="0"/>
    <s v="Chauffe"/>
  </r>
  <r>
    <s v="2017-12"/>
    <n v="-939.16800000000001"/>
    <n v="2982.3159999999998"/>
    <n v="3921.4839999999999"/>
    <n v="126655.318"/>
    <x v="60"/>
    <n v="107272.197"/>
    <n v="298.2"/>
    <n v="1.038"/>
    <x v="5"/>
    <x v="0"/>
    <x v="0"/>
    <s v="Chauffe"/>
  </r>
  <r>
    <s v="2017-11"/>
    <n v="548.25099999999998"/>
    <n v="3651.65"/>
    <n v="3103.4"/>
    <n v="103916.826"/>
    <x v="61"/>
    <n v="100665.726"/>
    <n v="218.7"/>
    <n v="1.117"/>
    <x v="5"/>
    <x v="1"/>
    <x v="1"/>
    <s v="Chauffe"/>
  </r>
  <r>
    <s v="2017-10"/>
    <n v="-2422.4949999999999"/>
    <n v="1979.086"/>
    <n v="4401.5810000000001"/>
    <n v="92615.293999999994"/>
    <x v="62"/>
    <n v="99732.566000000006"/>
    <s v="53"/>
    <n v="0.71399999999999997"/>
    <x v="5"/>
    <x v="2"/>
    <x v="1"/>
    <s v="Chauffe"/>
  </r>
  <r>
    <s v="2017-09"/>
    <n v="-4559.3969999999999"/>
    <n v="826.80399999999997"/>
    <n v="5386.2"/>
    <n v="94590.9"/>
    <x v="63"/>
    <n v="108698.621"/>
    <s v="0"/>
    <s v="1"/>
    <x v="5"/>
    <x v="3"/>
    <x v="1"/>
    <s v="Hors chauffe"/>
  </r>
  <r>
    <s v="2017-08"/>
    <n v="-4583.0259999999998"/>
    <n v="1005.355"/>
    <n v="5588.3810000000003"/>
    <n v="92456.588000000003"/>
    <x v="64"/>
    <n v="106148.606"/>
    <s v="0"/>
    <s v="1"/>
    <x v="5"/>
    <x v="4"/>
    <x v="2"/>
    <s v="Hors chauffe"/>
  </r>
  <r>
    <s v="2017-07"/>
    <n v="-4580.8950000000004"/>
    <n v="1365.9069999999999"/>
    <n v="5946.8019999999997"/>
    <n v="92076.452000000005"/>
    <x v="65"/>
    <n v="102618.921"/>
    <s v="0"/>
    <s v="1"/>
    <x v="5"/>
    <x v="5"/>
    <x v="2"/>
    <s v="Hors chauffe"/>
  </r>
  <r>
    <s v="2017-06"/>
    <n v="-3455.0390000000002"/>
    <n v="1244.385"/>
    <n v="4699.424"/>
    <n v="90192.15"/>
    <x v="66"/>
    <n v="103719.936"/>
    <s v="0"/>
    <s v="1"/>
    <x v="5"/>
    <x v="6"/>
    <x v="2"/>
    <s v="Hors chauffe"/>
  </r>
  <r>
    <s v="2017-05"/>
    <n v="-5872.107"/>
    <n v="668.33399999999995"/>
    <n v="6540.4409999999998"/>
    <n v="97969.165999999997"/>
    <x v="67"/>
    <n v="107321.586"/>
    <n v="42.1"/>
    <n v="0.89900000000000002"/>
    <x v="5"/>
    <x v="7"/>
    <x v="3"/>
    <s v="Chauffe"/>
  </r>
  <r>
    <s v="2017-04"/>
    <n v="-5389.9279999999999"/>
    <n v="699.46299999999997"/>
    <n v="6089.3909999999996"/>
    <n v="102203.06600000001"/>
    <x v="68"/>
    <n v="106525.92200000001"/>
    <n v="134.1"/>
    <n v="1.143"/>
    <x v="5"/>
    <x v="8"/>
    <x v="3"/>
    <s v="Chauffe"/>
  </r>
  <r>
    <s v="2017-03"/>
    <n v="-6375.7809999999999"/>
    <n v="837.279"/>
    <n v="7213.06"/>
    <n v="111924.393"/>
    <x v="69"/>
    <n v="105666.548"/>
    <n v="142.80000000000001"/>
    <n v="0.71199999999999997"/>
    <x v="5"/>
    <x v="9"/>
    <x v="3"/>
    <s v="Chauffe"/>
  </r>
  <r>
    <s v="2017-02"/>
    <n v="-3541.9259999999999"/>
    <n v="1475.366"/>
    <n v="5017.2920000000004"/>
    <n v="110917.041"/>
    <x v="70"/>
    <n v="102220.00900000001"/>
    <n v="207.1"/>
    <n v="0.80300000000000005"/>
    <x v="5"/>
    <x v="10"/>
    <x v="0"/>
    <s v="Chauffe"/>
  </r>
  <r>
    <s v="2017-01"/>
    <n v="693.50199999999995"/>
    <n v="3651.1750000000002"/>
    <n v="2957.6729999999998"/>
    <n v="136479.58600000001"/>
    <x v="71"/>
    <n v="104258.58500000001"/>
    <n v="391.3"/>
    <n v="1.254"/>
    <x v="5"/>
    <x v="11"/>
    <x v="0"/>
    <s v="Chauffe"/>
  </r>
  <r>
    <s v="2016-12"/>
    <n v="-84.533000000000001"/>
    <n v="3099.0259999999998"/>
    <n v="3183.5590000000002"/>
    <n v="122436.844"/>
    <x v="72"/>
    <s v="102086"/>
    <n v="303.2"/>
    <n v="1.0549999999999999"/>
    <x v="6"/>
    <x v="0"/>
    <x v="0"/>
    <s v="Chauffe"/>
  </r>
  <r>
    <s v="2016-11"/>
    <n v="-644.34799999999996"/>
    <n v="2665.6489999999999"/>
    <n v="3309.9969999999998"/>
    <n v="105213.95600000001"/>
    <x v="73"/>
    <n v="102207.58100000001"/>
    <n v="203.5"/>
    <n v="1.0389999999999999"/>
    <x v="6"/>
    <x v="1"/>
    <x v="1"/>
    <s v="Chauffe"/>
  </r>
  <r>
    <s v="2016-10"/>
    <n v="-769.87900000000002"/>
    <n v="2446.8589999999999"/>
    <n v="3216.7379999999998"/>
    <n v="96813.808000000005"/>
    <x v="74"/>
    <n v="100824.476"/>
    <n v="104.8"/>
    <n v="1.413"/>
    <x v="6"/>
    <x v="2"/>
    <x v="1"/>
    <s v="Chauffe"/>
  </r>
  <r>
    <s v="2016-09"/>
    <n v="-2734.9270000000001"/>
    <n v="1594.5550000000001"/>
    <n v="4329.482"/>
    <n v="87054.266000000003"/>
    <x v="75"/>
    <n v="101422.32399999999"/>
    <s v="0"/>
    <s v="1"/>
    <x v="6"/>
    <x v="3"/>
    <x v="1"/>
    <s v="Hors chauffe"/>
  </r>
  <r>
    <s v="2016-08"/>
    <n v="-3405.203"/>
    <n v="1483.288"/>
    <n v="4888.491"/>
    <n v="89413.653999999995"/>
    <x v="76"/>
    <n v="102761.00599999999"/>
    <s v="0"/>
    <s v="1"/>
    <x v="6"/>
    <x v="4"/>
    <x v="2"/>
    <s v="Hors chauffe"/>
  </r>
  <r>
    <s v="2016-07"/>
    <n v="-4291.3119999999999"/>
    <n v="1041.2139999999999"/>
    <n v="5332.527"/>
    <n v="93515.959000000003"/>
    <x v="77"/>
    <n v="103445.01"/>
    <s v="0"/>
    <s v="1"/>
    <x v="6"/>
    <x v="5"/>
    <x v="2"/>
    <s v="Hors chauffe"/>
  </r>
  <r>
    <s v="2016-06"/>
    <n v="-6646.8710000000001"/>
    <n v="369.81799999999998"/>
    <n v="7016.6890000000003"/>
    <n v="93933.271999999997"/>
    <x v="78"/>
    <n v="107893.428"/>
    <s v="0"/>
    <s v="1"/>
    <x v="6"/>
    <x v="6"/>
    <x v="2"/>
    <s v="Hors chauffe"/>
  </r>
  <r>
    <s v="2016-05"/>
    <n v="-5265.884"/>
    <n v="815.10599999999999"/>
    <n v="6080.9889999999996"/>
    <n v="97698.001000000004"/>
    <x v="79"/>
    <n v="106904.762"/>
    <n v="50.4"/>
    <n v="1.0760000000000001"/>
    <x v="6"/>
    <x v="7"/>
    <x v="3"/>
    <s v="Chauffe"/>
  </r>
  <r>
    <s v="2016-04"/>
    <n v="-3721.056"/>
    <n v="1576.5830000000001"/>
    <n v="5297.6379999999999"/>
    <n v="103800.23"/>
    <x v="80"/>
    <n v="108494.361"/>
    <n v="143.1"/>
    <n v="1.2190000000000001"/>
    <x v="6"/>
    <x v="8"/>
    <x v="3"/>
    <s v="Chauffe"/>
  </r>
  <r>
    <s v="2016-03"/>
    <n v="-4245.5749999999998"/>
    <n v="1423.5419999999999"/>
    <n v="5669.1170000000002"/>
    <n v="123271.711"/>
    <x v="81"/>
    <n v="110882.891"/>
    <n v="241.2"/>
    <n v="1.2030000000000001"/>
    <x v="6"/>
    <x v="9"/>
    <x v="3"/>
    <s v="Chauffe"/>
  </r>
  <r>
    <s v="2016-02"/>
    <n v="-4951.8760000000002"/>
    <n v="1171.5630000000001"/>
    <n v="6123.4390000000003"/>
    <n v="123506.2"/>
    <x v="82"/>
    <n v="109965.639"/>
    <n v="242.7"/>
    <n v="0.94099999999999995"/>
    <x v="6"/>
    <x v="10"/>
    <x v="0"/>
    <s v="Chauffe"/>
  </r>
  <r>
    <s v="2016-01"/>
    <n v="-5105.2759999999998"/>
    <n v="1483.518"/>
    <n v="6588.7939999999999"/>
    <n v="135454.74100000001"/>
    <x v="83"/>
    <n v="108402.44500000001"/>
    <n v="269.60000000000002"/>
    <n v="0.86399999999999999"/>
    <x v="6"/>
    <x v="11"/>
    <x v="0"/>
    <s v="Chauffe"/>
  </r>
  <r>
    <s v="2015-12"/>
    <n v="-6359.0739999999996"/>
    <n v="704.26700000000005"/>
    <n v="7063.3410000000003"/>
    <n v="128042.166"/>
    <x v="84"/>
    <n v="111549.23299999999"/>
    <n v="176.2"/>
    <n v="0.61299999999999999"/>
    <x v="7"/>
    <x v="0"/>
    <x v="0"/>
    <s v="Chauffe"/>
  </r>
  <r>
    <s v="2015-11"/>
    <n v="-5960.7330000000002"/>
    <n v="838.00099999999998"/>
    <n v="6798.7340000000004"/>
    <n v="113844.57"/>
    <x v="85"/>
    <n v="113464.683"/>
    <n v="135.4"/>
    <n v="0.69099999999999995"/>
    <x v="7"/>
    <x v="1"/>
    <x v="1"/>
    <s v="Chauffe"/>
  </r>
  <r>
    <s v="2015-10"/>
    <n v="-4904.5029999999997"/>
    <n v="972.39499999999998"/>
    <n v="5876.8980000000001"/>
    <n v="110327.49800000001"/>
    <x v="86"/>
    <n v="114590.811"/>
    <s v="105"/>
    <n v="1.415"/>
    <x v="7"/>
    <x v="2"/>
    <x v="1"/>
    <s v="Chauffe"/>
  </r>
  <r>
    <s v="2015-09"/>
    <n v="-5172.0209999999997"/>
    <n v="617.50099999999998"/>
    <n v="5789.5219999999999"/>
    <n v="98184.475999999995"/>
    <x v="87"/>
    <n v="112609.50900000001"/>
    <s v="0"/>
    <s v="1"/>
    <x v="7"/>
    <x v="3"/>
    <x v="1"/>
    <s v="Hors chauffe"/>
  </r>
  <r>
    <s v="2015-08"/>
    <n v="-6873.1270000000004"/>
    <n v="319.678"/>
    <n v="7192.8040000000001"/>
    <n v="100736.81200000001"/>
    <x v="88"/>
    <n v="114292.88"/>
    <s v="0"/>
    <s v="1"/>
    <x v="7"/>
    <x v="4"/>
    <x v="2"/>
    <s v="Hors chauffe"/>
  </r>
  <r>
    <s v="2015-07"/>
    <n v="-6310.9759999999997"/>
    <n v="710.32799999999997"/>
    <n v="7021.3040000000001"/>
    <n v="106068.93399999999"/>
    <x v="89"/>
    <n v="115813.732"/>
    <s v="0"/>
    <s v="1"/>
    <x v="7"/>
    <x v="5"/>
    <x v="2"/>
    <s v="Hors chauffe"/>
  </r>
  <r>
    <s v="2015-06"/>
    <n v="-6062.1009999999997"/>
    <n v="485.447"/>
    <n v="6547.5479999999998"/>
    <n v="99620.634999999995"/>
    <x v="90"/>
    <n v="113327.18"/>
    <s v="0"/>
    <s v="1"/>
    <x v="7"/>
    <x v="6"/>
    <x v="2"/>
    <s v="Hors chauffe"/>
  </r>
  <r>
    <s v="2015-05"/>
    <n v="-5976.2460000000001"/>
    <n v="572.46299999999997"/>
    <n v="6548.7089999999998"/>
    <n v="99778.245999999999"/>
    <x v="91"/>
    <n v="109877.06299999999"/>
    <n v="43.6"/>
    <n v="0.93100000000000005"/>
    <x v="7"/>
    <x v="7"/>
    <x v="3"/>
    <s v="Chauffe"/>
  </r>
  <r>
    <s v="2015-04"/>
    <n v="-4119.9610000000002"/>
    <n v="1018.973"/>
    <n v="5138.9350000000004"/>
    <n v="103159.41899999999"/>
    <x v="92"/>
    <n v="110352.86500000001"/>
    <n v="98.8"/>
    <n v="0.84199999999999997"/>
    <x v="7"/>
    <x v="8"/>
    <x v="3"/>
    <s v="Chauffe"/>
  </r>
  <r>
    <s v="2015-03"/>
    <n v="-4351.973"/>
    <n v="803.375"/>
    <n v="5155.348"/>
    <n v="121706.867"/>
    <x v="93"/>
    <n v="112017.75"/>
    <n v="204.8"/>
    <n v="1.0209999999999999"/>
    <x v="7"/>
    <x v="9"/>
    <x v="3"/>
    <s v="Chauffe"/>
  </r>
  <r>
    <s v="2015-02"/>
    <n v="-3061.4609999999998"/>
    <n v="1446.87"/>
    <n v="4508.3310000000001"/>
    <n v="124148.576"/>
    <x v="94"/>
    <n v="112803.235"/>
    <n v="299.60000000000002"/>
    <n v="1.1619999999999999"/>
    <x v="7"/>
    <x v="10"/>
    <x v="0"/>
    <s v="Chauffe"/>
  </r>
  <r>
    <s v="2015-01"/>
    <n v="-5183.9030000000002"/>
    <n v="720.48"/>
    <n v="5904.3829999999998"/>
    <n v="142071.63500000001"/>
    <x v="95"/>
    <n v="113146.59699999999"/>
    <n v="310.60000000000002"/>
    <n v="0.996"/>
    <x v="7"/>
    <x v="11"/>
    <x v="0"/>
    <s v="Chauffe"/>
  </r>
  <r>
    <s v="2014-12"/>
    <n v="-4772.4290000000001"/>
    <n v="848.553"/>
    <n v="5620.982"/>
    <n v="135081.851"/>
    <x v="96"/>
    <n v="114561.08500000001"/>
    <n v="287.2"/>
    <s v="1"/>
    <x v="8"/>
    <x v="0"/>
    <x v="0"/>
    <s v="Chauffe"/>
  </r>
  <r>
    <s v="2014-11"/>
    <n v="-5811.5159999999996"/>
    <n v="539.66700000000003"/>
    <n v="6351.183"/>
    <n v="116115.417"/>
    <x v="97"/>
    <n v="114935.54700000001"/>
    <n v="136.4"/>
    <n v="0.69699999999999995"/>
    <x v="8"/>
    <x v="1"/>
    <x v="1"/>
    <s v="Chauffe"/>
  </r>
  <r>
    <s v="2014-10"/>
    <n v="-4307.7250000000004"/>
    <n v="664.57"/>
    <n v="4972.2950000000001"/>
    <n v="105578.557"/>
    <x v="98"/>
    <n v="113759.5"/>
    <n v="37.9"/>
    <n v="0.51100000000000001"/>
    <x v="8"/>
    <x v="2"/>
    <x v="1"/>
    <s v="Chauffe"/>
  </r>
  <r>
    <s v="2014-09"/>
    <n v="-5338.1809999999996"/>
    <n v="590.88599999999997"/>
    <n v="5929.067"/>
    <n v="101261.679"/>
    <x v="99"/>
    <n v="115333.395"/>
    <s v="0"/>
    <s v="1"/>
    <x v="8"/>
    <x v="3"/>
    <x v="1"/>
    <s v="Hors chauffe"/>
  </r>
  <r>
    <s v="2014-08"/>
    <n v="-7797.7529999999997"/>
    <n v="181.583"/>
    <n v="7979.3360000000002"/>
    <n v="98187.126999999993"/>
    <x v="100"/>
    <n v="114665.238"/>
    <s v="0"/>
    <s v="1"/>
    <x v="8"/>
    <x v="4"/>
    <x v="2"/>
    <s v="Hors chauffe"/>
  </r>
  <r>
    <s v="2014-07"/>
    <n v="-8166.72"/>
    <n v="174.601"/>
    <n v="8341.3209999999999"/>
    <n v="106277.65300000001"/>
    <x v="101"/>
    <n v="115743.245"/>
    <s v="0"/>
    <s v="1"/>
    <x v="8"/>
    <x v="5"/>
    <x v="2"/>
    <s v="Hors chauffe"/>
  </r>
  <r>
    <s v="2014-06"/>
    <n v="-6152.4769999999999"/>
    <n v="285.11099999999999"/>
    <n v="6437.5889999999999"/>
    <n v="99437.354999999996"/>
    <x v="102"/>
    <n v="112839.094"/>
    <s v="0"/>
    <s v="1"/>
    <x v="8"/>
    <x v="6"/>
    <x v="2"/>
    <s v="Hors chauffe"/>
  </r>
  <r>
    <s v="2014-05"/>
    <n v="-6442.7389999999996"/>
    <n v="268.97800000000001"/>
    <n v="6711.7179999999998"/>
    <n v="101145.20299999999"/>
    <x v="103"/>
    <n v="111272.238"/>
    <n v="51.6"/>
    <n v="1.1020000000000001"/>
    <x v="8"/>
    <x v="7"/>
    <x v="3"/>
    <s v="Chauffe"/>
  </r>
  <r>
    <s v="2014-04"/>
    <n v="-4020.7539999999999"/>
    <n v="655.82799999999997"/>
    <n v="4676.5820000000003"/>
    <n v="102758.47900000001"/>
    <x v="104"/>
    <n v="110908.254"/>
    <n v="83.8"/>
    <n v="0.71399999999999997"/>
    <x v="8"/>
    <x v="8"/>
    <x v="3"/>
    <s v="Chauffe"/>
  </r>
  <r>
    <s v="2014-03"/>
    <n v="-4565.7920000000004"/>
    <n v="994.58900000000006"/>
    <n v="5560.3810000000003"/>
    <n v="117906.035"/>
    <x v="105"/>
    <n v="110605.872"/>
    <n v="175.4"/>
    <n v="0.875"/>
    <x v="8"/>
    <x v="9"/>
    <x v="3"/>
    <s v="Chauffe"/>
  </r>
  <r>
    <s v="2014-02"/>
    <n v="-4319.8370000000004"/>
    <n v="1172.431"/>
    <n v="5492.268"/>
    <n v="120855.06600000001"/>
    <x v="106"/>
    <n v="111938.00199999999"/>
    <n v="214.4"/>
    <n v="0.83199999999999996"/>
    <x v="8"/>
    <x v="10"/>
    <x v="0"/>
    <s v="Chauffe"/>
  </r>
  <r>
    <s v="2014-01"/>
    <n v="-5882.9790000000003"/>
    <n v="788.11199999999997"/>
    <n v="6671.0910000000003"/>
    <n v="138820.359"/>
    <x v="107"/>
    <n v="113035.133"/>
    <n v="246.8"/>
    <n v="0.79100000000000004"/>
    <x v="8"/>
    <x v="11"/>
    <x v="0"/>
    <s v="Chauffe"/>
  </r>
  <r>
    <s v="2013-12"/>
    <n v="-2795.2730000000001"/>
    <n v="1723.08"/>
    <n v="4518.3530000000001"/>
    <n v="133197.56099999999"/>
    <x v="108"/>
    <n v="112254.537"/>
    <n v="278.3"/>
    <n v="0.96899999999999997"/>
    <x v="9"/>
    <x v="0"/>
    <x v="0"/>
    <s v="Chauffe"/>
  </r>
  <r>
    <s v="2013-11"/>
    <n v="-2591.2660000000001"/>
    <n v="1514.2429999999999"/>
    <n v="4105.509"/>
    <n v="115749.923"/>
    <x v="109"/>
    <n v="110009.727"/>
    <n v="229.4"/>
    <n v="1.171"/>
    <x v="9"/>
    <x v="1"/>
    <x v="1"/>
    <s v="Chauffe"/>
  </r>
  <r>
    <s v="2013-10"/>
    <n v="-4103.1080000000002"/>
    <n v="734.09199999999998"/>
    <n v="4837.201"/>
    <n v="101735.049"/>
    <x v="110"/>
    <n v="109130.04399999999"/>
    <n v="52.9"/>
    <n v="0.71299999999999997"/>
    <x v="9"/>
    <x v="2"/>
    <x v="1"/>
    <s v="Chauffe"/>
  </r>
  <r>
    <s v="2013-09"/>
    <n v="-4904.9030000000002"/>
    <n v="400.54199999999997"/>
    <n v="5305.4449999999997"/>
    <n v="95346.861000000004"/>
    <x v="111"/>
    <n v="108917.935"/>
    <s v="0"/>
    <s v="1"/>
    <x v="9"/>
    <x v="3"/>
    <x v="1"/>
    <s v="Hors chauffe"/>
  </r>
  <r>
    <s v="2013-08"/>
    <n v="-6256.6859999999997"/>
    <n v="375.25799999999998"/>
    <n v="6631.9440000000004"/>
    <n v="94914.841"/>
    <x v="112"/>
    <n v="109274.00199999999"/>
    <s v="0"/>
    <s v="1"/>
    <x v="9"/>
    <x v="4"/>
    <x v="2"/>
    <s v="Hors chauffe"/>
  </r>
  <r>
    <s v="2013-07"/>
    <n v="-5588.9960000000001"/>
    <n v="303.29500000000002"/>
    <n v="5892.29"/>
    <n v="100371.902"/>
    <x v="113"/>
    <n v="109830.613"/>
    <s v="0"/>
    <s v="1"/>
    <x v="9"/>
    <x v="5"/>
    <x v="2"/>
    <s v="Hors chauffe"/>
  </r>
  <r>
    <s v="2013-06"/>
    <n v="-5750.5749999999998"/>
    <n v="284.64100000000002"/>
    <n v="6035.2160000000003"/>
    <n v="94692.266000000003"/>
    <x v="114"/>
    <n v="109284.378"/>
    <s v="0"/>
    <s v="1"/>
    <x v="9"/>
    <x v="6"/>
    <x v="2"/>
    <s v="Hors chauffe"/>
  </r>
  <r>
    <s v="2013-05"/>
    <n v="-5848.0720000000001"/>
    <n v="474.47500000000002"/>
    <n v="6322.5479999999998"/>
    <n v="103602.30499999999"/>
    <x v="115"/>
    <n v="111552.56299999999"/>
    <n v="96.9"/>
    <n v="2.069"/>
    <x v="9"/>
    <x v="7"/>
    <x v="3"/>
    <s v="Chauffe"/>
  </r>
  <r>
    <s v="2013-04"/>
    <n v="-3292.172"/>
    <n v="1061.481"/>
    <n v="4353.6540000000005"/>
    <n v="105991.14"/>
    <x v="116"/>
    <n v="111869.943"/>
    <n v="151.1"/>
    <n v="1.288"/>
    <x v="9"/>
    <x v="8"/>
    <x v="3"/>
    <s v="Chauffe"/>
  </r>
  <r>
    <s v="2013-03"/>
    <n v="-1804.865"/>
    <n v="1572.8030000000001"/>
    <n v="3377.6680000000001"/>
    <n v="123007.485"/>
    <x v="117"/>
    <n v="109698.455"/>
    <n v="273.5"/>
    <n v="1.3640000000000001"/>
    <x v="9"/>
    <x v="9"/>
    <x v="3"/>
    <s v="Chauffe"/>
  </r>
  <r>
    <s v="2013-02"/>
    <n v="-2193.0949999999998"/>
    <n v="1546.008"/>
    <n v="3739.1030000000001"/>
    <n v="122679.52"/>
    <x v="118"/>
    <n v="110008.943"/>
    <n v="333.4"/>
    <n v="1.2929999999999999"/>
    <x v="9"/>
    <x v="10"/>
    <x v="0"/>
    <s v="Chauffe"/>
  </r>
  <r>
    <s v="2013-01"/>
    <n v="-3566.5219999999999"/>
    <n v="961.91300000000001"/>
    <n v="4528.4350000000004"/>
    <n v="139045.80900000001"/>
    <x v="119"/>
    <n v="108644.607"/>
    <n v="341.4"/>
    <n v="1.0940000000000001"/>
    <x v="9"/>
    <x v="11"/>
    <x v="0"/>
    <s v="Chauffe"/>
  </r>
  <r>
    <s v="2012-12"/>
    <n v="-4467.7539999999999"/>
    <n v="711.00800000000004"/>
    <n v="5178.7619999999997"/>
    <n v="130964.61500000001"/>
    <x v="120"/>
    <n v="110166.101"/>
    <n v="270.60000000000002"/>
    <n v="0.94199999999999995"/>
    <x v="10"/>
    <x v="0"/>
    <x v="0"/>
    <s v="Chauffe"/>
  </r>
  <r>
    <s v="2012-11"/>
    <n v="-4413.0339999999997"/>
    <n v="663.79899999999998"/>
    <n v="5076.8339999999998"/>
    <n v="119918.499"/>
    <x v="121"/>
    <n v="115585.952"/>
    <n v="197.8"/>
    <n v="1.01"/>
    <x v="10"/>
    <x v="1"/>
    <x v="1"/>
    <s v="Chauffe"/>
  </r>
  <r>
    <s v="2012-10"/>
    <n v="-3671.5709999999999"/>
    <n v="796.44299999999998"/>
    <n v="4468.0140000000001"/>
    <n v="107188.084"/>
    <x v="122"/>
    <n v="112637.58500000001"/>
    <n v="87.2"/>
    <n v="1.175"/>
    <x v="10"/>
    <x v="2"/>
    <x v="1"/>
    <s v="Chauffe"/>
  </r>
  <r>
    <s v="2012-09"/>
    <n v="-4102.6080000000002"/>
    <n v="610.74"/>
    <n v="4713.348"/>
    <n v="97092.682000000001"/>
    <x v="123"/>
    <n v="110330.715"/>
    <s v="0"/>
    <s v="1"/>
    <x v="10"/>
    <x v="3"/>
    <x v="1"/>
    <s v="Hors chauffe"/>
  </r>
  <r>
    <s v="2012-08"/>
    <n v="-3622.9720000000002"/>
    <n v="956.66200000000003"/>
    <n v="4579.634"/>
    <n v="92151.305999999997"/>
    <x v="124"/>
    <n v="106583.83"/>
    <s v="0"/>
    <s v="1"/>
    <x v="10"/>
    <x v="4"/>
    <x v="2"/>
    <s v="Hors chauffe"/>
  </r>
  <r>
    <s v="2012-07"/>
    <n v="-3270.4090000000001"/>
    <n v="947.62099999999998"/>
    <n v="4218.0290000000005"/>
    <n v="95221.635999999999"/>
    <x v="125"/>
    <n v="104628.481"/>
    <s v="0"/>
    <s v="1"/>
    <x v="10"/>
    <x v="5"/>
    <x v="2"/>
    <s v="Hors chauffe"/>
  </r>
  <r>
    <s v="2012-06"/>
    <n v="-3699.306"/>
    <n v="633.05399999999997"/>
    <n v="4332.3599999999997"/>
    <n v="89666.561000000002"/>
    <x v="126"/>
    <n v="103860.166"/>
    <s v="0"/>
    <s v="1"/>
    <x v="10"/>
    <x v="6"/>
    <x v="2"/>
    <s v="Hors chauffe"/>
  </r>
  <r>
    <s v="2012-05"/>
    <n v="-4488.6379999999999"/>
    <n v="613.01"/>
    <n v="5101.6480000000001"/>
    <n v="97552.729000000007"/>
    <x v="127"/>
    <n v="108402.27099999999"/>
    <n v="47.9"/>
    <n v="1.0229999999999999"/>
    <x v="10"/>
    <x v="7"/>
    <x v="3"/>
    <s v="Chauffe"/>
  </r>
  <r>
    <s v="2012-04"/>
    <n v="-3548.319"/>
    <n v="939.54899999999998"/>
    <n v="4487.8680000000004"/>
    <n v="109014.78599999999"/>
    <x v="128"/>
    <n v="114372.81600000001"/>
    <n v="157.4"/>
    <n v="1.341"/>
    <x v="10"/>
    <x v="8"/>
    <x v="3"/>
    <s v="Chauffe"/>
  </r>
  <r>
    <s v="2012-03"/>
    <n v="-5021.0839999999998"/>
    <n v="436.22899999999998"/>
    <n v="5457.3119999999999"/>
    <n v="119464.56299999999"/>
    <x v="129"/>
    <n v="114459.876"/>
    <n v="156.4"/>
    <n v="0.78"/>
    <x v="10"/>
    <x v="9"/>
    <x v="3"/>
    <s v="Chauffe"/>
  </r>
  <r>
    <s v="2012-02"/>
    <n v="548.03899999999999"/>
    <n v="3166.98"/>
    <n v="2618.9409999999998"/>
    <n v="129628.78"/>
    <x v="130"/>
    <n v="111156.644"/>
    <n v="393.3"/>
    <n v="1.526"/>
    <x v="10"/>
    <x v="10"/>
    <x v="0"/>
    <s v="Chauffe"/>
  </r>
  <r>
    <s v="2012-01"/>
    <n v="-5498.52"/>
    <n v="721.02"/>
    <n v="6219.5389999999998"/>
    <n v="138652.03200000001"/>
    <x v="131"/>
    <n v="110736.409"/>
    <n v="281.8"/>
    <n v="0.90300000000000002"/>
    <x v="10"/>
    <x v="11"/>
    <x v="0"/>
    <s v="Chauffe"/>
  </r>
  <r>
    <s v="2011-12"/>
    <n v="-4827.8689999999997"/>
    <n v="943.17"/>
    <n v="5771.0389999999998"/>
    <n v="129610.974"/>
    <x v="132"/>
    <n v="109721.958"/>
    <s v="240"/>
    <n v="0.83499999999999996"/>
    <x v="11"/>
    <x v="0"/>
    <x v="0"/>
    <s v="Chauffe"/>
  </r>
  <r>
    <s v="2011-11"/>
    <n v="-3859.6950000000002"/>
    <n v="1262.2270000000001"/>
    <n v="5121.9219999999996"/>
    <n v="108452.734"/>
    <x v="133"/>
    <n v="106630.005"/>
    <n v="145.19999999999999"/>
    <n v="0.74099999999999999"/>
    <x v="11"/>
    <x v="1"/>
    <x v="1"/>
    <s v="Chauffe"/>
  </r>
  <r>
    <s v="2011-10"/>
    <n v="-3823.6880000000001"/>
    <n v="841.15099999999995"/>
    <n v="4664.84"/>
    <n v="105122.81"/>
    <x v="134"/>
    <n v="111009.583"/>
    <n v="71.5"/>
    <n v="0.96399999999999997"/>
    <x v="11"/>
    <x v="2"/>
    <x v="1"/>
    <s v="Chauffe"/>
  </r>
  <r>
    <s v="2011-09"/>
    <n v="-4265.768"/>
    <n v="487.08800000000002"/>
    <n v="4752.8549999999996"/>
    <n v="100301.16899999999"/>
    <x v="135"/>
    <n v="113569.539"/>
    <s v="0"/>
    <s v="1"/>
    <x v="11"/>
    <x v="3"/>
    <x v="1"/>
    <s v="Hors chauffe"/>
  </r>
  <r>
    <s v="2011-08"/>
    <n v="-5346.9620000000004"/>
    <n v="334.06"/>
    <n v="5681.0219999999999"/>
    <n v="99778.232000000004"/>
    <x v="136"/>
    <n v="116057.216"/>
    <s v="0"/>
    <s v="1"/>
    <x v="11"/>
    <x v="4"/>
    <x v="2"/>
    <s v="Hors chauffe"/>
  </r>
  <r>
    <s v="2011-07"/>
    <n v="-6173.1109999999999"/>
    <n v="289.05200000000002"/>
    <n v="6462.1629999999996"/>
    <n v="105938.20600000001"/>
    <x v="137"/>
    <n v="115385.05"/>
    <s v="0"/>
    <s v="1"/>
    <x v="11"/>
    <x v="5"/>
    <x v="2"/>
    <s v="Hors chauffe"/>
  </r>
  <r>
    <s v="2011-06"/>
    <n v="-6055.09"/>
    <n v="302.05399999999997"/>
    <n v="6357.1440000000002"/>
    <n v="103318.173"/>
    <x v="138"/>
    <n v="117808.077"/>
    <s v="0"/>
    <s v="1"/>
    <x v="11"/>
    <x v="6"/>
    <x v="2"/>
    <s v="Hors chauffe"/>
  </r>
  <r>
    <s v="2011-05"/>
    <n v="-5340.9610000000002"/>
    <n v="499.09"/>
    <n v="5840.0510000000004"/>
    <n v="104639.65399999999"/>
    <x v="139"/>
    <n v="116451.77099999999"/>
    <n v="24.3"/>
    <n v="0.51900000000000002"/>
    <x v="11"/>
    <x v="7"/>
    <x v="3"/>
    <s v="Chauffe"/>
  </r>
  <r>
    <s v="2011-04"/>
    <n v="-5115.9210000000003"/>
    <n v="548.09900000000005"/>
    <n v="5664.0190000000002"/>
    <n v="104586.60400000001"/>
    <x v="140"/>
    <n v="114237.213"/>
    <s v="53"/>
    <n v="0.45200000000000001"/>
    <x v="11"/>
    <x v="8"/>
    <x v="3"/>
    <s v="Chauffe"/>
  </r>
  <r>
    <s v="2011-03"/>
    <n v="-4655.8379999999997"/>
    <n v="871.15700000000004"/>
    <n v="5526.9949999999999"/>
    <n v="120675.71400000001"/>
    <x v="141"/>
    <n v="113726.164"/>
    <n v="189.5"/>
    <n v="0.94499999999999995"/>
    <x v="11"/>
    <x v="9"/>
    <x v="3"/>
    <s v="Chauffe"/>
  </r>
  <r>
    <s v="2011-02"/>
    <n v="-3921.7060000000001"/>
    <n v="854.154"/>
    <n v="4775.8599999999997"/>
    <n v="122489.611"/>
    <x v="142"/>
    <n v="112340.732"/>
    <n v="237.8"/>
    <n v="0.92200000000000004"/>
    <x v="11"/>
    <x v="10"/>
    <x v="0"/>
    <s v="Chauffe"/>
  </r>
  <r>
    <s v="2011-01"/>
    <n v="-3750.6750000000002"/>
    <n v="1266.2280000000001"/>
    <n v="5016.9030000000002"/>
    <n v="142479.69"/>
    <x v="143"/>
    <n v="112664.923"/>
    <n v="322.10000000000002"/>
    <n v="1.0329999999999999"/>
    <x v="11"/>
    <x v="11"/>
    <x v="0"/>
    <s v="Chauffe"/>
  </r>
  <r>
    <s v="2010-12"/>
    <n v="-830.149"/>
    <n v="2184.393"/>
    <n v="3014.5430000000001"/>
    <n v="140026.03400000001"/>
    <x v="144"/>
    <n v="114433.78200000001"/>
    <n v="408.2"/>
    <n v="1.421"/>
    <x v="12"/>
    <x v="0"/>
    <x v="0"/>
    <s v="Chauffe"/>
  </r>
  <r>
    <s v="2010-11"/>
    <n v="-2321.4180000000001"/>
    <n v="1726.3109999999999"/>
    <n v="4047.7280000000001"/>
    <n v="116927.996"/>
    <x v="144"/>
    <n v="113184.067"/>
    <n v="224.6"/>
    <n v="1.147"/>
    <x v="12"/>
    <x v="1"/>
    <x v="1"/>
    <s v="Chauffe"/>
  </r>
  <r>
    <s v="2010-10"/>
    <n v="-569.10199999999998"/>
    <n v="2680.482"/>
    <n v="3249.585"/>
    <n v="106222.33500000001"/>
    <x v="144"/>
    <n v="108614.22199999999"/>
    <n v="114.8"/>
    <n v="1.5469999999999999"/>
    <x v="12"/>
    <x v="2"/>
    <x v="1"/>
    <s v="Chauffe"/>
  </r>
  <r>
    <s v="2010-09"/>
    <n v="-3610.65"/>
    <n v="982.17700000000002"/>
    <n v="4592.8270000000002"/>
    <n v="101417.75900000001"/>
    <x v="144"/>
    <n v="112298.626"/>
    <s v="0"/>
    <s v="1"/>
    <x v="12"/>
    <x v="3"/>
    <x v="1"/>
    <s v="Hors chauffe"/>
  </r>
  <r>
    <s v="2010-08"/>
    <n v="-5908.0630000000001"/>
    <n v="481.08699999999999"/>
    <n v="6389.15"/>
    <n v="102614.679"/>
    <x v="144"/>
    <n v="113600.542"/>
    <s v="0"/>
    <s v="1"/>
    <x v="12"/>
    <x v="4"/>
    <x v="2"/>
    <s v="Hors chauffe"/>
  </r>
  <r>
    <s v="2010-07"/>
    <n v="-4632.8339999999998"/>
    <n v="781.14099999999996"/>
    <n v="5413.9740000000002"/>
    <n v="102654.05100000001"/>
    <x v="144"/>
    <n v="112363.76700000001"/>
    <s v="0"/>
    <s v="1"/>
    <x v="12"/>
    <x v="5"/>
    <x v="2"/>
    <s v="Hors chauffe"/>
  </r>
  <r>
    <s v="2010-06"/>
    <n v="-5287.9520000000002"/>
    <n v="544.09799999999996"/>
    <n v="5832.05"/>
    <n v="97021.294999999998"/>
    <x v="144"/>
    <n v="110718.364"/>
    <s v="0"/>
    <s v="1"/>
    <x v="12"/>
    <x v="6"/>
    <x v="2"/>
    <s v="Hors chauffe"/>
  </r>
  <r>
    <s v="2010-05"/>
    <n v="-2139.3850000000002"/>
    <n v="1377.248"/>
    <n v="3516.6329999999998"/>
    <n v="98522.841"/>
    <x v="144"/>
    <n v="108020.322"/>
    <n v="89.9"/>
    <n v="1.92"/>
    <x v="12"/>
    <x v="7"/>
    <x v="3"/>
    <s v="Chauffe"/>
  </r>
  <r>
    <s v="2010-04"/>
    <n v="-2590.4659999999999"/>
    <n v="1312.2360000000001"/>
    <n v="3902.7020000000002"/>
    <n v="103619.27800000001"/>
    <x v="144"/>
    <n v="108251.023"/>
    <n v="116.6"/>
    <n v="0.99399999999999999"/>
    <x v="12"/>
    <x v="8"/>
    <x v="3"/>
    <s v="Chauffe"/>
  </r>
  <r>
    <s v="2010-03"/>
    <n v="-2146.386"/>
    <n v="2129.3829999999998"/>
    <n v="4275.7700000000004"/>
    <n v="119696.141"/>
    <x v="144"/>
    <n v="110449.04"/>
    <s v="236"/>
    <n v="1.177"/>
    <x v="12"/>
    <x v="9"/>
    <x v="3"/>
    <s v="Chauffe"/>
  </r>
  <r>
    <s v="2010-02"/>
    <n v="-1095.1969999999999"/>
    <n v="2199.3960000000002"/>
    <n v="3294.5929999999998"/>
    <n v="120954.003"/>
    <x v="144"/>
    <n v="111949.064"/>
    <n v="301.7"/>
    <n v="1.17"/>
    <x v="12"/>
    <x v="10"/>
    <x v="0"/>
    <s v="Chauffe"/>
  </r>
  <r>
    <s v="2010-01"/>
    <n v="378.06799999999998"/>
    <n v="3042.5479999999998"/>
    <n v="2664.48"/>
    <n v="135710.65100000001"/>
    <x v="144"/>
    <n v="108893.223"/>
    <n v="415.5"/>
    <n v="1.3320000000000001"/>
    <x v="12"/>
    <x v="11"/>
    <x v="0"/>
    <s v="Chauffe"/>
  </r>
  <r>
    <s v="2009-12"/>
    <n v="-797.14300000000003"/>
    <n v="2376.4279999999999"/>
    <n v="3173.5709999999999"/>
    <n v="125659.731"/>
    <x v="144"/>
    <n v="105981.88499999999"/>
    <n v="323.39999999999998"/>
    <n v="1.1259999999999999"/>
    <x v="13"/>
    <x v="0"/>
    <x v="0"/>
    <s v="Chauffe"/>
  </r>
  <r>
    <s v="2009-11"/>
    <n v="-1108.1990000000001"/>
    <n v="1918.345"/>
    <n v="3026.5450000000001"/>
    <n v="104229.405"/>
    <x v="144"/>
    <n v="103533.11900000001"/>
    <n v="142.9"/>
    <n v="0.73"/>
    <x v="13"/>
    <x v="1"/>
    <x v="1"/>
    <s v="Chauffe"/>
  </r>
  <r>
    <s v="2009-10"/>
    <n v="428.077"/>
    <n v="2606.4690000000001"/>
    <n v="2178.3919999999998"/>
    <n v="102928.094"/>
    <x v="144"/>
    <n v="105076.21"/>
    <s v="92"/>
    <n v="1.24"/>
    <x v="13"/>
    <x v="2"/>
    <x v="1"/>
    <s v="Chauffe"/>
  </r>
  <r>
    <s v="2009-09"/>
    <n v="-1262.2270000000001"/>
    <n v="1603.289"/>
    <n v="2865.5160000000001"/>
    <n v="94077.994999999995"/>
    <x v="144"/>
    <n v="104596.814"/>
    <s v="0"/>
    <s v="1"/>
    <x v="13"/>
    <x v="3"/>
    <x v="1"/>
    <s v="Hors chauffe"/>
  </r>
  <r>
    <s v="2009-08"/>
    <n v="-2074.373"/>
    <n v="1372.2470000000001"/>
    <n v="3446.62"/>
    <n v="92509.186000000002"/>
    <x v="144"/>
    <n v="103976.855"/>
    <s v="0"/>
    <s v="1"/>
    <x v="13"/>
    <x v="4"/>
    <x v="2"/>
    <s v="Hors chauffe"/>
  </r>
  <r>
    <s v="2009-07"/>
    <n v="-1358.2439999999999"/>
    <n v="2025.365"/>
    <n v="3383.6089999999999"/>
    <n v="96602.067999999999"/>
    <x v="144"/>
    <n v="105899.999"/>
    <s v="0"/>
    <s v="1"/>
    <x v="13"/>
    <x v="5"/>
    <x v="2"/>
    <s v="Hors chauffe"/>
  </r>
  <r>
    <s v="2009-06"/>
    <n v="-1950.3510000000001"/>
    <n v="1510.2719999999999"/>
    <n v="3460.623"/>
    <n v="91702.365999999995"/>
    <x v="144"/>
    <n v="105465.19899999999"/>
    <s v="0"/>
    <s v="1"/>
    <x v="13"/>
    <x v="6"/>
    <x v="2"/>
    <s v="Hors chauffe"/>
  </r>
  <r>
    <s v="2009-05"/>
    <n v="-4540.817"/>
    <n v="693.125"/>
    <n v="5233.942"/>
    <n v="98846.35"/>
    <x v="144"/>
    <n v="108683.44100000001"/>
    <n v="32.4"/>
    <n v="0.69199999999999995"/>
    <x v="13"/>
    <x v="7"/>
    <x v="3"/>
    <s v="Chauffe"/>
  </r>
  <r>
    <s v="2009-04"/>
    <n v="-2783.5010000000002"/>
    <n v="1033.1859999999999"/>
    <n v="3816.6869999999999"/>
    <n v="102968.626"/>
    <x v="144"/>
    <n v="108421.89"/>
    <n v="94.5"/>
    <n v="0.80500000000000005"/>
    <x v="13"/>
    <x v="8"/>
    <x v="3"/>
    <s v="Chauffe"/>
  </r>
  <r>
    <s v="2009-03"/>
    <n v="-4449.8010000000004"/>
    <n v="827.149"/>
    <n v="5276.95"/>
    <n v="116954.23"/>
    <x v="144"/>
    <n v="108972.999"/>
    <n v="224.9"/>
    <n v="1.121"/>
    <x v="13"/>
    <x v="9"/>
    <x v="3"/>
    <s v="Chauffe"/>
  </r>
  <r>
    <s v="2009-02"/>
    <n v="-3328.5990000000002"/>
    <n v="982.17700000000002"/>
    <n v="4310.7759999999998"/>
    <n v="120325.284"/>
    <x v="144"/>
    <n v="111904.909"/>
    <n v="292.60000000000002"/>
    <n v="1.135"/>
    <x v="13"/>
    <x v="10"/>
    <x v="0"/>
    <s v="Chauffe"/>
  </r>
  <r>
    <s v="2009-01"/>
    <n v="-2718.489"/>
    <n v="1569.2819999999999"/>
    <n v="4287.7719999999999"/>
    <n v="140637.698"/>
    <x v="144"/>
    <n v="114694.136"/>
    <n v="391.8"/>
    <n v="1.256"/>
    <x v="13"/>
    <x v="11"/>
    <x v="0"/>
    <s v="Chauffe"/>
  </r>
  <r>
    <s v="2008-12"/>
    <n v="-2868.5160000000001"/>
    <n v="1395.251"/>
    <n v="4263.7669999999998"/>
    <n v="134600.02499999999"/>
    <x v="144"/>
    <n v="114380.36599999999"/>
    <n v="346.8"/>
    <n v="1.2070000000000001"/>
    <x v="14"/>
    <x v="0"/>
    <x v="0"/>
    <s v="Chauffe"/>
  </r>
  <r>
    <s v="2008-11"/>
    <n v="-3428.6170000000002"/>
    <n v="940.16899999999998"/>
    <n v="4368.7860000000001"/>
    <n v="117118.58500000001"/>
    <x v="144"/>
    <n v="114202.05499999999"/>
    <n v="212.9"/>
    <n v="1.087"/>
    <x v="14"/>
    <x v="1"/>
    <x v="1"/>
    <s v="Chauffe"/>
  </r>
  <r>
    <s v="2008-10"/>
    <n v="-1480.2660000000001"/>
    <n v="1577.2840000000001"/>
    <n v="3057.55"/>
    <n v="110863.045"/>
    <x v="144"/>
    <n v="111674.61500000001"/>
    <n v="109.9"/>
    <n v="1.4810000000000001"/>
    <x v="14"/>
    <x v="2"/>
    <x v="1"/>
    <s v="Chauffe"/>
  </r>
  <r>
    <s v="2008-09"/>
    <n v="-3689.6640000000002"/>
    <n v="878.15800000000002"/>
    <n v="4567.8220000000001"/>
    <n v="101280.71"/>
    <x v="144"/>
    <n v="111196.348"/>
    <s v="0"/>
    <s v="1"/>
    <x v="14"/>
    <x v="3"/>
    <x v="1"/>
    <s v="Hors chauffe"/>
  </r>
  <r>
    <s v="2008-08"/>
    <n v="-5184.933"/>
    <n v="876.15800000000002"/>
    <n v="6061.0910000000003"/>
    <n v="102012.065"/>
    <x v="144"/>
    <n v="114047.44100000001"/>
    <s v="0"/>
    <s v="1"/>
    <x v="14"/>
    <x v="4"/>
    <x v="2"/>
    <s v="Hors chauffe"/>
  </r>
  <r>
    <s v="2008-07"/>
    <n v="-4782.8609999999999"/>
    <n v="642.11599999999999"/>
    <n v="5424.9759999999997"/>
    <n v="103509.322"/>
    <x v="144"/>
    <n v="112917.77800000001"/>
    <s v="0"/>
    <s v="1"/>
    <x v="14"/>
    <x v="5"/>
    <x v="2"/>
    <s v="Hors chauffe"/>
  </r>
  <r>
    <s v="2008-06"/>
    <n v="-5179.9319999999998"/>
    <n v="446.08"/>
    <n v="5626.0129999999999"/>
    <n v="95006.520999999993"/>
    <x v="144"/>
    <n v="108109.689"/>
    <s v="0"/>
    <s v="1"/>
    <x v="14"/>
    <x v="6"/>
    <x v="2"/>
    <s v="Hors chauffe"/>
  </r>
  <r>
    <s v="2008-05"/>
    <n v="-5818.0469999999996"/>
    <n v="314.05700000000002"/>
    <n v="6132.1040000000003"/>
    <n v="103824.772"/>
    <x v="144"/>
    <n v="112831.254"/>
    <n v="19.3"/>
    <n v="0.41199999999999998"/>
    <x v="14"/>
    <x v="7"/>
    <x v="3"/>
    <s v="Chauffe"/>
  </r>
  <r>
    <s v="2008-04"/>
    <n v="-3797.683"/>
    <n v="594.10699999999997"/>
    <n v="4391.79"/>
    <n v="112862.913"/>
    <x v="144"/>
    <n v="115986.848"/>
    <n v="148.19999999999999"/>
    <n v="1.2629999999999999"/>
    <x v="14"/>
    <x v="8"/>
    <x v="3"/>
    <s v="Chauffe"/>
  </r>
  <r>
    <s v="2008-03"/>
    <n v="-3074.5529999999999"/>
    <n v="915.16499999999996"/>
    <n v="3989.7179999999998"/>
    <n v="121577.323"/>
    <x v="144"/>
    <n v="114711.617"/>
    <s v="232"/>
    <n v="1.157"/>
    <x v="14"/>
    <x v="9"/>
    <x v="3"/>
    <s v="Chauffe"/>
  </r>
  <r>
    <s v="2008-02"/>
    <n v="-4344.7820000000002"/>
    <n v="520.09400000000005"/>
    <n v="4864.8760000000002"/>
    <n v="123957.776"/>
    <x v="144"/>
    <n v="115156.59299999999"/>
    <n v="230.9"/>
    <n v="0.89600000000000002"/>
    <x v="14"/>
    <x v="10"/>
    <x v="0"/>
    <s v="Chauffe"/>
  </r>
  <r>
    <s v="2008-01"/>
    <n v="-4339.7809999999999"/>
    <n v="798.14400000000001"/>
    <n v="5137.9250000000002"/>
    <n v="132330.242"/>
    <x v="144"/>
    <n v="110801.045"/>
    <n v="257.89999999999998"/>
    <n v="0.82699999999999996"/>
    <x v="14"/>
    <x v="11"/>
    <x v="0"/>
    <s v="Chauffe"/>
  </r>
  <r>
    <s v="2007-12"/>
    <n v="-1708.307"/>
    <n v="1809.326"/>
    <n v="3517.6329999999998"/>
    <n v="130480.927"/>
    <x v="144"/>
    <n v="111663.666"/>
    <s v="323"/>
    <n v="1.1240000000000001"/>
    <x v="15"/>
    <x v="0"/>
    <x v="0"/>
    <s v="Chauffe"/>
  </r>
  <r>
    <s v="2007-11"/>
    <n v="-637.11500000000001"/>
    <n v="2173.3910000000001"/>
    <n v="2810.5059999999999"/>
    <n v="117273.587"/>
    <x v="144"/>
    <n v="111688.958"/>
    <n v="240.3"/>
    <n v="1.2270000000000001"/>
    <x v="15"/>
    <x v="1"/>
    <x v="1"/>
    <s v="Chauffe"/>
  </r>
  <r>
    <s v="2007-10"/>
    <n v="-3947.71"/>
    <n v="929.16700000000003"/>
    <n v="4876.8779999999997"/>
    <n v="117575.014"/>
    <x v="144"/>
    <n v="117735.175"/>
    <n v="111.7"/>
    <n v="1.506"/>
    <x v="15"/>
    <x v="2"/>
    <x v="1"/>
    <s v="Chauffe"/>
  </r>
  <r>
    <s v="2007-09"/>
    <n v="-5305.9549999999999"/>
    <n v="541.09699999999998"/>
    <n v="5847.0519999999997"/>
    <n v="105211.071"/>
    <x v="144"/>
    <n v="115720.22900000001"/>
    <s v="0"/>
    <s v="1"/>
    <x v="15"/>
    <x v="3"/>
    <x v="1"/>
    <s v="Hors chauffe"/>
  </r>
  <r>
    <s v="2007-08"/>
    <n v="-7068.2719999999999"/>
    <n v="422.07600000000002"/>
    <n v="7490.348"/>
    <n v="102538.84299999999"/>
    <x v="144"/>
    <n v="113818.15"/>
    <s v="0"/>
    <s v="1"/>
    <x v="15"/>
    <x v="4"/>
    <x v="2"/>
    <s v="Hors chauffe"/>
  </r>
  <r>
    <s v="2007-07"/>
    <n v="-5740.0330000000004"/>
    <n v="621.11199999999997"/>
    <n v="6361.1450000000004"/>
    <n v="102486.791"/>
    <x v="144"/>
    <n v="111908.00900000001"/>
    <s v="0"/>
    <s v="1"/>
    <x v="15"/>
    <x v="5"/>
    <x v="2"/>
    <s v="Hors chauffe"/>
  </r>
  <r>
    <s v="2007-06"/>
    <n v="-6753.2150000000001"/>
    <n v="227.041"/>
    <n v="6980.2560000000003"/>
    <n v="99372.398000000001"/>
    <x v="144"/>
    <n v="111868.215"/>
    <s v="0"/>
    <s v="1"/>
    <x v="15"/>
    <x v="6"/>
    <x v="2"/>
    <s v="Hors chauffe"/>
  </r>
  <r>
    <s v="2007-05"/>
    <n v="-5659.018"/>
    <n v="393.07100000000003"/>
    <n v="6052.0889999999999"/>
    <n v="102468.624"/>
    <x v="144"/>
    <n v="111137.204"/>
    <n v="34.5"/>
    <n v="0.73699999999999999"/>
    <x v="15"/>
    <x v="7"/>
    <x v="3"/>
    <s v="Chauffe"/>
  </r>
  <r>
    <s v="2007-04"/>
    <n v="-4643.8360000000002"/>
    <n v="675.12199999999996"/>
    <n v="5318.9570000000003"/>
    <n v="102336.572"/>
    <x v="144"/>
    <n v="110151.442"/>
    <n v="54.9"/>
    <n v="0.46800000000000003"/>
    <x v="15"/>
    <x v="8"/>
    <x v="3"/>
    <s v="Chauffe"/>
  </r>
  <r>
    <s v="2007-03"/>
    <n v="-5606.009"/>
    <n v="552.09900000000005"/>
    <n v="6158.1080000000002"/>
    <n v="118477.405"/>
    <x v="144"/>
    <n v="112407.77800000001"/>
    <n v="212.2"/>
    <n v="1.0580000000000001"/>
    <x v="15"/>
    <x v="9"/>
    <x v="3"/>
    <s v="Chauffe"/>
  </r>
  <r>
    <s v="2007-02"/>
    <n v="-5138.9250000000002"/>
    <n v="534.096"/>
    <n v="5673.0209999999997"/>
    <n v="115578.93700000001"/>
    <x v="144"/>
    <n v="112386.17600000001"/>
    <s v="195"/>
    <n v="0.75600000000000001"/>
    <x v="15"/>
    <x v="10"/>
    <x v="0"/>
    <s v="Chauffe"/>
  </r>
  <r>
    <s v="2007-01"/>
    <n v="-4837.8710000000001"/>
    <n v="841.15099999999995"/>
    <n v="5679.0219999999999"/>
    <n v="130794.83100000001"/>
    <x v="144"/>
    <n v="110731.955"/>
    <n v="244.1"/>
    <n v="0.78300000000000003"/>
    <x v="15"/>
    <x v="11"/>
    <x v="0"/>
    <s v="Chauffe"/>
  </r>
  <r>
    <s v="2006-12"/>
    <n v="-3941.7089999999998"/>
    <n v="1126.203"/>
    <n v="5067.9120000000003"/>
    <n v="129857.194"/>
    <x v="144"/>
    <n v="112100.511"/>
    <n v="287.8"/>
    <n v="1.002"/>
    <x v="16"/>
    <x v="0"/>
    <x v="0"/>
    <s v="Chauffe"/>
  </r>
  <r>
    <s v="2006-11"/>
    <n v="-6501.17"/>
    <n v="414.07499999999999"/>
    <n v="6915.2449999999999"/>
    <n v="116419.791"/>
    <x v="144"/>
    <n v="113128.495"/>
    <n v="152.5"/>
    <n v="0.77900000000000003"/>
    <x v="16"/>
    <x v="1"/>
    <x v="1"/>
    <s v="Chauffe"/>
  </r>
  <r>
    <s v="2006-10"/>
    <n v="-7320.317"/>
    <n v="227.041"/>
    <n v="7547.3580000000002"/>
    <n v="111694.87300000001"/>
    <x v="144"/>
    <n v="113564.95600000001"/>
    <n v="23.8"/>
    <n v="0.32100000000000001"/>
    <x v="16"/>
    <x v="2"/>
    <x v="1"/>
    <s v="Chauffe"/>
  </r>
  <r>
    <s v="2006-09"/>
    <n v="-6982.2569999999996"/>
    <n v="229.041"/>
    <n v="7211.2979999999998"/>
    <n v="105368.041"/>
    <x v="144"/>
    <n v="115139.49099999999"/>
    <s v="0"/>
    <s v="1"/>
    <x v="16"/>
    <x v="3"/>
    <x v="1"/>
    <s v="Hors chauffe"/>
  </r>
  <r>
    <s v="2006-08"/>
    <n v="-7112.28"/>
    <n v="122.02200000000001"/>
    <n v="7234.3019999999997"/>
    <n v="101691.63499999999"/>
    <x v="144"/>
    <n v="113398.849"/>
    <s v="0"/>
    <s v="1"/>
    <x v="16"/>
    <x v="4"/>
    <x v="2"/>
    <s v="Hors chauffe"/>
  </r>
  <r>
    <s v="2006-07"/>
    <n v="-4966.8940000000002"/>
    <n v="623.11199999999997"/>
    <n v="5590.0060000000003"/>
    <n v="104753.466"/>
    <x v="144"/>
    <n v="114948.46"/>
    <s v="0"/>
    <s v="1"/>
    <x v="16"/>
    <x v="5"/>
    <x v="2"/>
    <s v="Hors chauffe"/>
  </r>
  <r>
    <s v="2006-06"/>
    <n v="-5946.07"/>
    <n v="233.042"/>
    <n v="6179.1120000000001"/>
    <n v="104111.992"/>
    <x v="144"/>
    <n v="116101.98"/>
    <s v="0"/>
    <s v="1"/>
    <x v="16"/>
    <x v="6"/>
    <x v="2"/>
    <s v="Hors chauffe"/>
  </r>
  <r>
    <s v="2006-05"/>
    <n v="-7239.3029999999999"/>
    <n v="71.013000000000005"/>
    <n v="7310.3159999999998"/>
    <n v="108053.89200000001"/>
    <x v="144"/>
    <n v="115919.25900000001"/>
    <n v="43.1"/>
    <n v="0.92"/>
    <x v="16"/>
    <x v="7"/>
    <x v="3"/>
    <s v="Chauffe"/>
  </r>
  <r>
    <s v="2006-04"/>
    <n v="-7249.3050000000003"/>
    <n v="110.02"/>
    <n v="7359.3239999999996"/>
    <n v="114247.929"/>
    <x v="144"/>
    <n v="119291.27099999999"/>
    <n v="128.4"/>
    <n v="1.0940000000000001"/>
    <x v="16"/>
    <x v="8"/>
    <x v="3"/>
    <s v="Chauffe"/>
  </r>
  <r>
    <s v="2006-03"/>
    <n v="-2590.4659999999999"/>
    <n v="1427.2570000000001"/>
    <n v="4017.723"/>
    <n v="116731.564"/>
    <x v="144"/>
    <n v="108640.348"/>
    <n v="248.4"/>
    <n v="1.2390000000000001"/>
    <x v="16"/>
    <x v="9"/>
    <x v="3"/>
    <s v="Chauffe"/>
  </r>
  <r>
    <s v="2006-02"/>
    <n v="-955.17200000000003"/>
    <n v="1824.328"/>
    <n v="2779.5"/>
    <n v="115265.792"/>
    <x v="144"/>
    <n v="108790.164"/>
    <n v="318.39999999999998"/>
    <n v="1.2350000000000001"/>
    <x v="16"/>
    <x v="10"/>
    <x v="0"/>
    <s v="Chauffe"/>
  </r>
  <r>
    <s v="2006-01"/>
    <n v="-2807.5050000000001"/>
    <n v="1167.21"/>
    <n v="3974.7150000000001"/>
    <n v="137207.19099999999"/>
    <x v="144"/>
    <n v="114376.22100000001"/>
    <s v="364"/>
    <n v="1.167"/>
    <x v="16"/>
    <x v="11"/>
    <x v="0"/>
    <s v="Chauffe"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  <r>
    <m/>
    <m/>
    <m/>
    <m/>
    <m/>
    <x v="145"/>
    <m/>
    <m/>
    <m/>
    <x v="17"/>
    <x v="12"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8F9893-88EA-42E3-9829-4413FD26A314}" name="Tableau croisé dynamique16" cacheId="10" applyNumberFormats="0" applyBorderFormats="0" applyFontFormats="0" applyPatternFormats="0" applyAlignmentFormats="0" applyWidthHeightFormats="1" dataCaption="Valeurs" grandTotalCaption="Total" updatedVersion="7" minRefreshableVersion="3" useAutoFormatting="1" itemPrintTitles="1" createdVersion="7" indent="0" outline="1" outlineData="1" multipleFieldFilters="0" chartFormat="7" rowHeaderCaption="Mois">
  <location ref="O29:P42" firstHeaderRow="1" firstDataRow="1" firstDataCol="1"/>
  <pivotFields count="13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4">
        <item n="Janvier" x="11"/>
        <item n="Février" x="10"/>
        <item n="Mars" x="9"/>
        <item n="Avril" x="8"/>
        <item n="Mai" x="7"/>
        <item n="Juin" x="6"/>
        <item n="Juillet" x="5"/>
        <item n="Août" x="4"/>
        <item n="Septembre" x="3"/>
        <item n="Octobre" x="2"/>
        <item n="Novembre" x="1"/>
        <item n="Décembre" x="0"/>
        <item h="1" x="12"/>
        <item t="default"/>
      </items>
    </pivotField>
    <pivotField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Moyenne de Conso_CVC_CJO" fld="5" subtotal="average" baseField="10" baseItem="3"/>
  </dataFields>
  <formats count="18">
    <format dxfId="0">
      <pivotArea type="all" dataOnly="0" outline="0" fieldPosition="0"/>
    </format>
    <format dxfId="1">
      <pivotArea outline="0" collapsedLevelsAreSubtotals="1" fieldPosition="0"/>
    </format>
    <format dxfId="2">
      <pivotArea field="10" type="button" dataOnly="0" labelOnly="1" outline="0" axis="axisRow" fieldPosition="0"/>
    </format>
    <format dxfId="3">
      <pivotArea dataOnly="0" labelOnly="1" fieldPosition="0">
        <references count="1">
          <reference field="10" count="0"/>
        </references>
      </pivotArea>
    </format>
    <format dxfId="4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10" type="button" dataOnly="0" labelOnly="1" outline="0" axis="axisRow" fieldPosition="0"/>
    </format>
    <format dxfId="9">
      <pivotArea dataOnly="0" labelOnly="1" fieldPosition="0">
        <references count="1">
          <reference field="10" count="0"/>
        </references>
      </pivotArea>
    </format>
    <format dxfId="10">
      <pivotArea dataOnly="0" labelOnly="1" grandRow="1" outline="0" fieldPosition="0"/>
    </format>
    <format dxfId="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10" type="button" dataOnly="0" labelOnly="1" outline="0" axis="axisRow" fieldPosition="0"/>
    </format>
    <format dxfId="15">
      <pivotArea dataOnly="0" labelOnly="1" fieldPosition="0">
        <references count="1">
          <reference field="10" count="0"/>
        </references>
      </pivotArea>
    </format>
    <format dxfId="16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3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70AAC-8460-453F-8B79-E1E4B40875F2}" name="Tableau croisé dynamique15" cacheId="10" applyNumberFormats="0" applyBorderFormats="0" applyFontFormats="0" applyPatternFormats="0" applyAlignmentFormats="0" applyWidthHeightFormats="1" dataCaption="Valeurs" grandTotalCaption="Total" updatedVersion="7" minRefreshableVersion="3" useAutoFormatting="1" itemPrintTitles="1" createdVersion="7" indent="0" outline="1" outlineData="1" multipleFieldFilters="0" rowHeaderCaption="Années">
  <location ref="O6:P24" firstHeaderRow="1" firstDataRow="1" firstDataCol="1"/>
  <pivotFields count="13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9"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h="1" x="17"/>
        <item t="default"/>
      </items>
    </pivotField>
    <pivotField showAll="0"/>
    <pivotField showAll="0"/>
    <pivotField showAll="0"/>
  </pivotFields>
  <rowFields count="1">
    <field x="9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omme de Conso_CVC_CJO" fld="5" baseField="9" baseItem="0"/>
  </dataFields>
  <formats count="18"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9" type="button" dataOnly="0" labelOnly="1" outline="0" axis="axisRow" fieldPosition="0"/>
    </format>
    <format dxfId="46">
      <pivotArea dataOnly="0" labelOnly="1" fieldPosition="0">
        <references count="1">
          <reference field="9" count="0"/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9" type="button" dataOnly="0" labelOnly="1" outline="0" axis="axisRow" fieldPosition="0"/>
    </format>
    <format dxfId="40">
      <pivotArea dataOnly="0" labelOnly="1" fieldPosition="0">
        <references count="1">
          <reference field="9" count="0"/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9" type="button" dataOnly="0" labelOnly="1" outline="0" axis="axisRow" fieldPosition="0"/>
    </format>
    <format dxfId="34">
      <pivotArea dataOnly="0" labelOnly="1" fieldPosition="0">
        <references count="1">
          <reference field="9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6EFF6A-AA81-45C8-8EBA-03BABBEC34C9}" name="Tableau croisé dynamique19" cacheId="10" applyNumberFormats="0" applyBorderFormats="0" applyFontFormats="0" applyPatternFormats="0" applyAlignmentFormats="0" applyWidthHeightFormats="1" dataCaption="Valeurs" grandTotalCaption="Total" updatedVersion="7" minRefreshableVersion="3" useAutoFormatting="1" itemPrintTitles="1" createdVersion="7" indent="0" outline="1" outlineData="1" multipleFieldFilters="0" rowHeaderCaption="Saisons">
  <location ref="R6:T11" firstHeaderRow="0" firstDataRow="1" firstDataCol="1"/>
  <pivotFields count="13"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axis="axisRow" showAll="0">
      <items count="6">
        <item x="1"/>
        <item x="2"/>
        <item x="0"/>
        <item x="3"/>
        <item h="1" x="4"/>
        <item t="default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oyenne de Conso_CVC_CJO" fld="5" subtotal="average" baseField="11" baseItem="0"/>
    <dataField name="Moyenne de DJU" fld="7" subtotal="average" baseField="11" baseItem="0"/>
  </dataFields>
  <formats count="24"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11" type="button" dataOnly="0" labelOnly="1" outline="0" axis="axisRow" fieldPosition="0"/>
    </format>
    <format dxfId="70">
      <pivotArea dataOnly="0" labelOnly="1" fieldPosition="0">
        <references count="1">
          <reference field="11" count="0"/>
        </references>
      </pivotArea>
    </format>
    <format dxfId="69">
      <pivotArea dataOnly="0" labelOnly="1" grandRow="1" outline="0" fieldPosition="0"/>
    </format>
    <format dxfId="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11" type="button" dataOnly="0" labelOnly="1" outline="0" axis="axisRow" fieldPosition="0"/>
    </format>
    <format dxfId="64">
      <pivotArea dataOnly="0" labelOnly="1" fieldPosition="0">
        <references count="1">
          <reference field="11" count="0"/>
        </references>
      </pivotArea>
    </format>
    <format dxfId="63">
      <pivotArea dataOnly="0" labelOnly="1" grandRow="1" outline="0" fieldPosition="0"/>
    </format>
    <format dxfId="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11" type="button" dataOnly="0" labelOnly="1" outline="0" axis="axisRow" fieldPosition="0"/>
    </format>
    <format dxfId="58">
      <pivotArea dataOnly="0" labelOnly="1" fieldPosition="0">
        <references count="1">
          <reference field="11" count="0"/>
        </references>
      </pivotArea>
    </format>
    <format dxfId="57">
      <pivotArea dataOnly="0" labelOnly="1" grandRow="1" outline="0" fieldPosition="0"/>
    </format>
    <format dxfId="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11" type="button" dataOnly="0" labelOnly="1" outline="0" axis="axisRow" fieldPosition="0"/>
    </format>
    <format dxfId="52">
      <pivotArea dataOnly="0" labelOnly="1" fieldPosition="0">
        <references count="1">
          <reference field="11" count="0"/>
        </references>
      </pivotArea>
    </format>
    <format dxfId="51">
      <pivotArea dataOnly="0" labelOnly="1" grandRow="1" outline="0" fieldPosition="0"/>
    </format>
    <format dxfId="5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A3077D6D-563A-418A-B2C5-28D4FB6AEE6F}" autoFormatId="16" applyNumberFormats="0" applyBorderFormats="0" applyFontFormats="0" applyPatternFormats="0" applyAlignmentFormats="0" applyWidthHeightFormats="0">
  <queryTableRefresh nextId="19" unboundColumnsRight="4">
    <queryTableFields count="13">
      <queryTableField id="1" name="Column1" tableColumnId="1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dataBound="0" tableColumnId="2"/>
      <queryTableField id="16" dataBound="0" tableColumnId="3"/>
      <queryTableField id="17" dataBound="0" tableColumnId="4"/>
      <queryTableField id="18" dataBound="0" tableColumnId="5"/>
    </queryTableFields>
    <queryTableDeletedFields count="5">
      <deletedField name="Column2"/>
      <deletedField name="Column3"/>
      <deletedField name="Column4"/>
      <deletedField name="Column5"/>
      <deletedField name="Column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BB1E6D-6CFA-421E-AF9A-4E74EB59A734}" name="_4_2_Synthese_Electricite_2026_04" displayName="_4_2_Synthese_Electricite_2026_04" ref="A1:M517" tableType="queryTable" totalsRowShown="0" dataDxfId="31">
  <autoFilter ref="A1:M517" xr:uid="{70BB1E6D-6CFA-421E-AF9A-4E74EB59A734}"/>
  <tableColumns count="13">
    <tableColumn id="1" xr3:uid="{ACBA35C1-7788-4099-A7C6-3515D626EEF1}" uniqueName="1" name="Période" queryTableFieldId="1" dataDxfId="30"/>
    <tableColumn id="7" xr3:uid="{27EA2351-2A21-4B29-9D18-3B9DA50872C2}" uniqueName="7" name="Solde_Import" queryTableFieldId="7" dataDxfId="29"/>
    <tableColumn id="8" xr3:uid="{A23A96C9-08B2-492A-84B6-42DD1D497059}" uniqueName="8" name="Imports" queryTableFieldId="8" dataDxfId="28"/>
    <tableColumn id="9" xr3:uid="{A50CF6E8-9B64-4810-B7B8-04D2EF681469}" uniqueName="9" name="Exports" queryTableFieldId="9" dataDxfId="27"/>
    <tableColumn id="10" xr3:uid="{30DB1185-29CF-4891-99BC-5FE23FAFBBAE}" uniqueName="10" name="Conso_Brute" queryTableFieldId="10" dataDxfId="26"/>
    <tableColumn id="11" xr3:uid="{E05612D6-5A1D-412D-BCFC-F2BB12A74C2B}" uniqueName="11" name="Conso_CVC_CJO" queryTableFieldId="11" dataDxfId="25"/>
    <tableColumn id="12" xr3:uid="{A4AFED50-7BDB-4681-B1AD-C31B5A2E3A19}" uniqueName="12" name="Conso_CVS" queryTableFieldId="12" dataDxfId="24"/>
    <tableColumn id="13" xr3:uid="{6AE45DFE-E929-4DD2-8F43-C1625FAB8615}" uniqueName="13" name="DJU" queryTableFieldId="13" dataDxfId="23"/>
    <tableColumn id="14" xr3:uid="{705855AC-5D58-4178-A76F-60DB1D941CA2}" uniqueName="14" name="Indice_Rigueur" queryTableFieldId="14" dataDxfId="22"/>
    <tableColumn id="2" xr3:uid="{EF26D7A7-75A5-415E-A43D-A3A1CC6490AB}" uniqueName="2" name="Annee" queryTableFieldId="15" dataDxfId="21">
      <calculatedColumnFormula>LEFT(A2,4)*1</calculatedColumnFormula>
    </tableColumn>
    <tableColumn id="3" xr3:uid="{B700DA11-99DD-46CB-BAF8-7DFFA6014637}" uniqueName="3" name="Mois" queryTableFieldId="16" dataDxfId="20">
      <calculatedColumnFormula>RIGHT(A2,2)*1</calculatedColumnFormula>
    </tableColumn>
    <tableColumn id="4" xr3:uid="{AF87EFE0-1484-4CA6-85D1-B63EDBCE722E}" uniqueName="4" name="Saison" queryTableFieldId="17" dataDxfId="19">
      <calculatedColumnFormula>IF(OR(K2=12,K2&lt;=2),"Hiver",IF(K2&lt;=5,"Printemps",IF(K2&lt;=8,"Été","Automne")))</calculatedColumnFormula>
    </tableColumn>
    <tableColumn id="5" xr3:uid="{E5DBEB5E-72C0-427E-926B-1D2534D74DF5}" uniqueName="5" name="Période_chauffe" queryTableFieldId="18" dataDxfId="18">
      <calculatedColumnFormula>IF(AND(K2&gt;=6,K2&lt;=9),"Hors chauffe","Chauffe")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CE838-21C0-449B-BDDA-311E061A0197}">
  <dimension ref="A1:W564"/>
  <sheetViews>
    <sheetView topLeftCell="N149" zoomScaleNormal="100" workbookViewId="0">
      <selection activeCell="BF179" sqref="BF179"/>
    </sheetView>
  </sheetViews>
  <sheetFormatPr baseColWidth="10" defaultRowHeight="15"/>
  <cols>
    <col min="1" max="1" width="24.42578125" customWidth="1"/>
    <col min="2" max="2" width="25.28515625" customWidth="1"/>
    <col min="3" max="3" width="28.28515625" customWidth="1"/>
    <col min="4" max="4" width="36.5703125" customWidth="1"/>
    <col min="5" max="5" width="34.28515625" customWidth="1"/>
    <col min="6" max="6" width="35" customWidth="1"/>
    <col min="7" max="7" width="28.42578125" customWidth="1"/>
    <col min="8" max="8" width="25.140625" customWidth="1"/>
    <col min="9" max="9" width="27.140625" customWidth="1"/>
    <col min="10" max="10" width="33.7109375" customWidth="1"/>
    <col min="11" max="11" width="36.28515625" customWidth="1"/>
    <col min="12" max="12" width="41.85546875" customWidth="1"/>
    <col min="13" max="13" width="46.42578125" customWidth="1"/>
    <col min="14" max="14" width="25.5703125" customWidth="1"/>
    <col min="15" max="15" width="42" customWidth="1"/>
    <col min="16" max="16" width="34.7109375" customWidth="1"/>
    <col min="17" max="17" width="16.28515625" bestFit="1" customWidth="1"/>
    <col min="18" max="18" width="40.42578125" customWidth="1"/>
    <col min="19" max="19" width="38.28515625" customWidth="1"/>
    <col min="20" max="20" width="34.85546875" customWidth="1"/>
    <col min="21" max="21" width="39.42578125" customWidth="1"/>
    <col min="22" max="22" width="25.140625" customWidth="1"/>
    <col min="23" max="23" width="35" customWidth="1"/>
  </cols>
  <sheetData>
    <row r="1" spans="1:23" ht="42" customHeight="1">
      <c r="A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1</v>
      </c>
      <c r="I1" s="1" t="s">
        <v>229</v>
      </c>
      <c r="J1" t="s">
        <v>230</v>
      </c>
      <c r="K1" t="s">
        <v>231</v>
      </c>
      <c r="L1" t="s">
        <v>232</v>
      </c>
      <c r="M1" t="s">
        <v>233</v>
      </c>
      <c r="V1" s="1" t="s">
        <v>1</v>
      </c>
      <c r="W1" s="1" t="s">
        <v>227</v>
      </c>
    </row>
    <row r="2" spans="1:23">
      <c r="A2" s="2" t="s">
        <v>4</v>
      </c>
      <c r="B2" s="2">
        <v>1890.73</v>
      </c>
      <c r="C2" s="2">
        <v>5629.2460000000001</v>
      </c>
      <c r="D2" s="2">
        <v>3738.5149999999999</v>
      </c>
      <c r="E2" s="2">
        <v>101402.12699999999</v>
      </c>
      <c r="F2" s="2">
        <v>101739.33</v>
      </c>
      <c r="G2" s="2">
        <v>83658.932000000001</v>
      </c>
      <c r="H2" s="2">
        <v>280.3</v>
      </c>
      <c r="I2" s="2">
        <v>0.97599999999999998</v>
      </c>
      <c r="J2" s="2">
        <f>LEFT(A2,4)*1</f>
        <v>2022</v>
      </c>
      <c r="K2" s="2">
        <f>RIGHT(A2,2)*1</f>
        <v>12</v>
      </c>
      <c r="L2" s="2" t="str">
        <f t="shared" ref="L2:L27" si="0">IF(OR(K2=12,K2&lt;=2),"Hiver",IF(K2&lt;=5,"Printemps",IF(K2&lt;=8,"Été","Automne")))</f>
        <v>Hiver</v>
      </c>
      <c r="M2" s="2" t="str">
        <f t="shared" ref="M2:M27" si="1">IF(AND(K2&gt;=6,K2&lt;=9),"Hors chauffe","Chauffe")</f>
        <v>Chauffe</v>
      </c>
      <c r="V2" s="2">
        <v>280.3</v>
      </c>
      <c r="W2" s="2">
        <v>101739.33</v>
      </c>
    </row>
    <row r="3" spans="1:23">
      <c r="A3" s="2" t="s">
        <v>5</v>
      </c>
      <c r="B3" s="2">
        <v>1077.335</v>
      </c>
      <c r="C3" s="2">
        <v>4810.4859999999999</v>
      </c>
      <c r="D3" s="2">
        <v>3733.1509999999998</v>
      </c>
      <c r="E3" s="2">
        <v>80064.25</v>
      </c>
      <c r="F3" s="2">
        <v>82618.320999999996</v>
      </c>
      <c r="G3" s="2">
        <v>79532.858999999997</v>
      </c>
      <c r="H3" s="2">
        <v>144.9</v>
      </c>
      <c r="I3" s="2">
        <v>0.74</v>
      </c>
      <c r="J3" s="2">
        <f>LEFT(A3,4)*1</f>
        <v>2022</v>
      </c>
      <c r="K3" s="2">
        <f>RIGHT(A3,2)*1</f>
        <v>11</v>
      </c>
      <c r="L3" s="2" t="str">
        <f t="shared" si="0"/>
        <v>Automne</v>
      </c>
      <c r="M3" s="2" t="str">
        <f t="shared" si="1"/>
        <v>Chauffe</v>
      </c>
      <c r="V3" s="2">
        <v>144.9</v>
      </c>
      <c r="W3" s="2">
        <v>82618.320999999996</v>
      </c>
    </row>
    <row r="4" spans="1:23">
      <c r="A4" s="2" t="s">
        <v>6</v>
      </c>
      <c r="B4" s="2">
        <v>275.66500000000002</v>
      </c>
      <c r="C4" s="2">
        <v>4114.7929999999997</v>
      </c>
      <c r="D4" s="2">
        <v>3839.1280000000002</v>
      </c>
      <c r="E4" s="2">
        <v>73237.539000000004</v>
      </c>
      <c r="F4" s="2">
        <v>77235.451000000001</v>
      </c>
      <c r="G4" s="2">
        <v>78871.995999999999</v>
      </c>
      <c r="H4" s="2">
        <v>17.2</v>
      </c>
      <c r="I4" s="2">
        <v>0.23200000000000001</v>
      </c>
      <c r="J4" s="2">
        <f>LEFT(A4,4)*1</f>
        <v>2022</v>
      </c>
      <c r="K4" s="2">
        <f>RIGHT(A4,2)*1</f>
        <v>10</v>
      </c>
      <c r="L4" s="2" t="str">
        <f t="shared" si="0"/>
        <v>Automne</v>
      </c>
      <c r="M4" s="2" t="str">
        <f t="shared" si="1"/>
        <v>Chauffe</v>
      </c>
      <c r="O4" s="11" t="s">
        <v>267</v>
      </c>
      <c r="P4" s="3"/>
      <c r="R4" s="11" t="s">
        <v>269</v>
      </c>
      <c r="S4" s="3"/>
      <c r="T4" s="3"/>
      <c r="U4" s="3"/>
      <c r="V4" s="2">
        <v>17.2</v>
      </c>
      <c r="W4" s="2">
        <v>77235.451000000001</v>
      </c>
    </row>
    <row r="5" spans="1:23">
      <c r="A5" s="2" t="s">
        <v>7</v>
      </c>
      <c r="B5" s="2">
        <v>3318.835</v>
      </c>
      <c r="C5" s="2">
        <v>5469.0730000000003</v>
      </c>
      <c r="D5" s="2">
        <v>2150.2379999999998</v>
      </c>
      <c r="E5" s="2">
        <v>68592.455000000002</v>
      </c>
      <c r="F5" s="2">
        <v>68889.017999999996</v>
      </c>
      <c r="G5" s="2">
        <v>79681.995999999999</v>
      </c>
      <c r="H5" s="2" t="s">
        <v>2</v>
      </c>
      <c r="I5" s="2" t="s">
        <v>3</v>
      </c>
      <c r="J5" s="2">
        <f>LEFT(A5,4)*1</f>
        <v>2022</v>
      </c>
      <c r="K5" s="2">
        <f>RIGHT(A5,2)*1</f>
        <v>9</v>
      </c>
      <c r="L5" s="2" t="str">
        <f t="shared" si="0"/>
        <v>Automne</v>
      </c>
      <c r="M5" s="2" t="str">
        <f t="shared" si="1"/>
        <v>Hors chauffe</v>
      </c>
      <c r="O5" s="3"/>
      <c r="P5" s="3"/>
      <c r="R5" s="3"/>
      <c r="S5" s="3"/>
      <c r="T5" s="3"/>
      <c r="U5" s="3"/>
      <c r="V5" s="2" t="s">
        <v>2</v>
      </c>
      <c r="W5" s="2">
        <v>68889.017999999996</v>
      </c>
    </row>
    <row r="6" spans="1:23">
      <c r="A6" s="2" t="s">
        <v>8</v>
      </c>
      <c r="B6" s="2">
        <v>3214.3069999999998</v>
      </c>
      <c r="C6" s="2">
        <v>5123.6180000000004</v>
      </c>
      <c r="D6" s="2">
        <v>1909.3109999999999</v>
      </c>
      <c r="E6" s="2">
        <v>68927.525999999998</v>
      </c>
      <c r="F6" s="2">
        <v>67857.819000000003</v>
      </c>
      <c r="G6" s="2">
        <v>80724.856</v>
      </c>
      <c r="H6" s="2" t="s">
        <v>2</v>
      </c>
      <c r="I6" s="2" t="s">
        <v>3</v>
      </c>
      <c r="J6" s="2">
        <f>LEFT(A6,4)*1</f>
        <v>2022</v>
      </c>
      <c r="K6" s="2">
        <f>RIGHT(A6,2)*1</f>
        <v>8</v>
      </c>
      <c r="L6" s="2" t="str">
        <f t="shared" si="0"/>
        <v>Été</v>
      </c>
      <c r="M6" s="2" t="str">
        <f t="shared" si="1"/>
        <v>Hors chauffe</v>
      </c>
      <c r="O6" s="5" t="s">
        <v>270</v>
      </c>
      <c r="P6" s="6" t="s">
        <v>259</v>
      </c>
      <c r="R6" s="5" t="s">
        <v>246</v>
      </c>
      <c r="S6" s="5" t="s">
        <v>244</v>
      </c>
      <c r="T6" s="6" t="s">
        <v>245</v>
      </c>
      <c r="V6" s="2" t="s">
        <v>2</v>
      </c>
      <c r="W6" s="2">
        <v>67857.819000000003</v>
      </c>
    </row>
    <row r="7" spans="1:23">
      <c r="A7" s="2" t="s">
        <v>9</v>
      </c>
      <c r="B7" s="2">
        <v>3215.9870000000001</v>
      </c>
      <c r="C7" s="2">
        <v>5481.076</v>
      </c>
      <c r="D7" s="2">
        <v>2265.09</v>
      </c>
      <c r="E7" s="2">
        <v>71668.076000000001</v>
      </c>
      <c r="F7" s="2">
        <v>71804.539999999994</v>
      </c>
      <c r="G7" s="2">
        <v>82676.482999999993</v>
      </c>
      <c r="H7" s="2" t="s">
        <v>2</v>
      </c>
      <c r="I7" s="2" t="s">
        <v>3</v>
      </c>
      <c r="J7" s="2">
        <f>LEFT(A7,4)*1</f>
        <v>2022</v>
      </c>
      <c r="K7" s="2">
        <f>RIGHT(A7,2)*1</f>
        <v>7</v>
      </c>
      <c r="L7" s="2" t="str">
        <f t="shared" si="0"/>
        <v>Été</v>
      </c>
      <c r="M7" s="2" t="str">
        <f t="shared" si="1"/>
        <v>Hors chauffe</v>
      </c>
      <c r="O7" s="6">
        <v>2006</v>
      </c>
      <c r="P7" s="7">
        <v>0</v>
      </c>
      <c r="R7" s="6" t="s">
        <v>240</v>
      </c>
      <c r="S7" s="7">
        <v>99766.045666666643</v>
      </c>
      <c r="T7" s="7">
        <v>136.648275862069</v>
      </c>
      <c r="V7" s="2" t="s">
        <v>2</v>
      </c>
      <c r="W7" s="2">
        <v>71804.539999999994</v>
      </c>
    </row>
    <row r="8" spans="1:23">
      <c r="A8" s="2" t="s">
        <v>10</v>
      </c>
      <c r="B8" s="2">
        <v>1063.461</v>
      </c>
      <c r="C8" s="2">
        <v>3813.163</v>
      </c>
      <c r="D8" s="2">
        <v>2749.701</v>
      </c>
      <c r="E8" s="2">
        <v>73782.823999999993</v>
      </c>
      <c r="F8" s="2">
        <v>72673.888999999996</v>
      </c>
      <c r="G8" s="2">
        <v>88025.517000000007</v>
      </c>
      <c r="H8" s="2" t="s">
        <v>2</v>
      </c>
      <c r="I8" s="2" t="s">
        <v>3</v>
      </c>
      <c r="J8" s="2">
        <f>LEFT(A8,4)*1</f>
        <v>2022</v>
      </c>
      <c r="K8" s="2">
        <f>RIGHT(A8,2)*1</f>
        <v>6</v>
      </c>
      <c r="L8" s="2" t="str">
        <f t="shared" si="0"/>
        <v>Été</v>
      </c>
      <c r="M8" s="2" t="str">
        <f t="shared" si="1"/>
        <v>Hors chauffe</v>
      </c>
      <c r="O8" s="6">
        <v>2007</v>
      </c>
      <c r="P8" s="7">
        <v>0</v>
      </c>
      <c r="R8" s="6" t="s">
        <v>241</v>
      </c>
      <c r="S8" s="7">
        <v>92233.003805555578</v>
      </c>
      <c r="T8" s="7" t="e">
        <v>#DIV/0!</v>
      </c>
      <c r="V8" s="2" t="s">
        <v>2</v>
      </c>
      <c r="W8" s="2">
        <v>72673.888999999996</v>
      </c>
    </row>
    <row r="9" spans="1:23">
      <c r="A9" s="2" t="s">
        <v>11</v>
      </c>
      <c r="B9" s="2">
        <v>-620.846</v>
      </c>
      <c r="C9" s="2">
        <v>3083.7559999999999</v>
      </c>
      <c r="D9" s="2">
        <v>3704.6019999999999</v>
      </c>
      <c r="E9" s="2">
        <v>74686.534</v>
      </c>
      <c r="F9" s="2">
        <v>76347.869000000006</v>
      </c>
      <c r="G9" s="2">
        <v>85006.433000000005</v>
      </c>
      <c r="H9" s="2">
        <v>20.100000000000001</v>
      </c>
      <c r="I9" s="2">
        <v>0.42899999999999999</v>
      </c>
      <c r="J9" s="2">
        <f>LEFT(A9,4)*1</f>
        <v>2022</v>
      </c>
      <c r="K9" s="2">
        <f>RIGHT(A9,2)*1</f>
        <v>5</v>
      </c>
      <c r="L9" s="2" t="str">
        <f t="shared" si="0"/>
        <v>Printemps</v>
      </c>
      <c r="M9" s="2" t="str">
        <f t="shared" si="1"/>
        <v>Chauffe</v>
      </c>
      <c r="O9" s="6">
        <v>2008</v>
      </c>
      <c r="P9" s="7">
        <v>0</v>
      </c>
      <c r="R9" s="6" t="s">
        <v>242</v>
      </c>
      <c r="S9" s="7">
        <v>125834.13641666665</v>
      </c>
      <c r="T9" s="7">
        <v>284.91086956521735</v>
      </c>
      <c r="V9" s="2">
        <v>20.100000000000001</v>
      </c>
      <c r="W9" s="2">
        <v>76347.869000000006</v>
      </c>
    </row>
    <row r="10" spans="1:23">
      <c r="A10" s="2" t="s">
        <v>12</v>
      </c>
      <c r="B10" s="2">
        <v>1086.9880000000001</v>
      </c>
      <c r="C10" s="2">
        <v>3789.5070000000001</v>
      </c>
      <c r="D10" s="2">
        <v>2702.5189999999998</v>
      </c>
      <c r="E10" s="2">
        <v>81459.790999999997</v>
      </c>
      <c r="F10" s="2">
        <v>81476.797000000006</v>
      </c>
      <c r="G10" s="2">
        <v>87440.563999999998</v>
      </c>
      <c r="H10" s="2" t="s">
        <v>13</v>
      </c>
      <c r="I10" s="2">
        <v>1.0309999999999999</v>
      </c>
      <c r="J10" s="2">
        <f>LEFT(A10,4)*1</f>
        <v>2022</v>
      </c>
      <c r="K10" s="2">
        <f>RIGHT(A10,2)*1</f>
        <v>4</v>
      </c>
      <c r="L10" s="2" t="str">
        <f t="shared" si="0"/>
        <v>Printemps</v>
      </c>
      <c r="M10" s="2" t="str">
        <f t="shared" si="1"/>
        <v>Chauffe</v>
      </c>
      <c r="O10" s="6">
        <v>2009</v>
      </c>
      <c r="P10" s="7">
        <v>0</v>
      </c>
      <c r="R10" s="6" t="s">
        <v>243</v>
      </c>
      <c r="S10" s="7">
        <v>104259.8596388889</v>
      </c>
      <c r="T10" s="7">
        <v>117.67608695652173</v>
      </c>
      <c r="V10" s="2" t="s">
        <v>13</v>
      </c>
      <c r="W10" s="2">
        <v>81476.797000000006</v>
      </c>
    </row>
    <row r="11" spans="1:23">
      <c r="A11" s="2" t="s">
        <v>14</v>
      </c>
      <c r="B11" s="2">
        <v>995.08799999999997</v>
      </c>
      <c r="C11" s="2">
        <v>4030.9879999999998</v>
      </c>
      <c r="D11" s="2">
        <v>3035.9</v>
      </c>
      <c r="E11" s="2">
        <v>96310.119000000006</v>
      </c>
      <c r="F11" s="2">
        <v>98215.301999999996</v>
      </c>
      <c r="G11" s="2">
        <v>90739.255999999994</v>
      </c>
      <c r="H11" s="2">
        <v>173.3</v>
      </c>
      <c r="I11" s="2">
        <v>0.86399999999999999</v>
      </c>
      <c r="J11" s="2">
        <f>LEFT(A11,4)*1</f>
        <v>2022</v>
      </c>
      <c r="K11" s="2">
        <f>RIGHT(A11,2)*1</f>
        <v>3</v>
      </c>
      <c r="L11" s="2" t="str">
        <f t="shared" si="0"/>
        <v>Printemps</v>
      </c>
      <c r="M11" s="2" t="str">
        <f t="shared" si="1"/>
        <v>Chauffe</v>
      </c>
      <c r="O11" s="6">
        <v>2010</v>
      </c>
      <c r="P11" s="7">
        <v>0</v>
      </c>
      <c r="R11" s="6" t="s">
        <v>260</v>
      </c>
      <c r="S11" s="7">
        <v>105523.26138194447</v>
      </c>
      <c r="T11" s="7">
        <v>185.79999999999998</v>
      </c>
      <c r="V11" s="2">
        <v>173.3</v>
      </c>
      <c r="W11" s="2">
        <v>98215.301999999996</v>
      </c>
    </row>
    <row r="12" spans="1:23">
      <c r="A12" s="2" t="s">
        <v>15</v>
      </c>
      <c r="B12" s="2">
        <v>-1844.4390000000001</v>
      </c>
      <c r="C12" s="2">
        <v>2325.2849999999999</v>
      </c>
      <c r="D12" s="2">
        <v>4169.7240000000002</v>
      </c>
      <c r="E12" s="2">
        <v>103088.948</v>
      </c>
      <c r="F12" s="2">
        <v>105420.47100000001</v>
      </c>
      <c r="G12" s="2">
        <v>94179.116999999998</v>
      </c>
      <c r="H12" s="2">
        <v>208.4</v>
      </c>
      <c r="I12" s="2">
        <v>0.80800000000000005</v>
      </c>
      <c r="J12" s="2">
        <f>LEFT(A12,4)*1</f>
        <v>2022</v>
      </c>
      <c r="K12" s="2">
        <f>RIGHT(A12,2)*1</f>
        <v>2</v>
      </c>
      <c r="L12" s="2" t="str">
        <f t="shared" si="0"/>
        <v>Hiver</v>
      </c>
      <c r="M12" s="2" t="str">
        <f t="shared" si="1"/>
        <v>Chauffe</v>
      </c>
      <c r="O12" s="6">
        <v>2011</v>
      </c>
      <c r="P12" s="7">
        <v>1359615.5670000003</v>
      </c>
      <c r="V12" s="2">
        <v>208.4</v>
      </c>
      <c r="W12" s="2">
        <v>105420.47100000001</v>
      </c>
    </row>
    <row r="13" spans="1:23">
      <c r="A13" s="2" t="s">
        <v>16</v>
      </c>
      <c r="B13" s="2">
        <v>995.94</v>
      </c>
      <c r="C13" s="2">
        <v>4108.2830000000004</v>
      </c>
      <c r="D13" s="2">
        <v>3112.3429999999998</v>
      </c>
      <c r="E13" s="2">
        <v>122863.568</v>
      </c>
      <c r="F13" s="2">
        <v>122244.81299999999</v>
      </c>
      <c r="G13" s="2">
        <v>94911.888000000006</v>
      </c>
      <c r="H13" s="2">
        <v>321.8</v>
      </c>
      <c r="I13" s="2">
        <v>1.032</v>
      </c>
      <c r="J13" s="2">
        <f>LEFT(A13,4)*1</f>
        <v>2022</v>
      </c>
      <c r="K13" s="2">
        <f>RIGHT(A13,2)*1</f>
        <v>1</v>
      </c>
      <c r="L13" s="2" t="str">
        <f t="shared" si="0"/>
        <v>Hiver</v>
      </c>
      <c r="M13" s="2" t="str">
        <f t="shared" si="1"/>
        <v>Chauffe</v>
      </c>
      <c r="O13" s="6">
        <v>2012</v>
      </c>
      <c r="P13" s="7">
        <v>1322879.8810000001</v>
      </c>
      <c r="V13" s="2">
        <v>321.8</v>
      </c>
      <c r="W13" s="2">
        <v>122244.81299999999</v>
      </c>
    </row>
    <row r="14" spans="1:23">
      <c r="A14" s="2" t="s">
        <v>17</v>
      </c>
      <c r="B14" s="2">
        <v>1937.095</v>
      </c>
      <c r="C14" s="2">
        <v>4520.4949999999999</v>
      </c>
      <c r="D14" s="2">
        <v>2583.4</v>
      </c>
      <c r="E14" s="2">
        <v>112694.577</v>
      </c>
      <c r="F14" s="2">
        <v>113862.836</v>
      </c>
      <c r="G14" s="2">
        <v>95553.1</v>
      </c>
      <c r="H14" s="2">
        <v>260.3</v>
      </c>
      <c r="I14" s="2">
        <v>0.90600000000000003</v>
      </c>
      <c r="J14" s="2">
        <f>LEFT(A14,4)*1</f>
        <v>2021</v>
      </c>
      <c r="K14" s="2">
        <f>RIGHT(A14,2)*1</f>
        <v>12</v>
      </c>
      <c r="L14" s="2" t="str">
        <f t="shared" si="0"/>
        <v>Hiver</v>
      </c>
      <c r="M14" s="2" t="str">
        <f t="shared" si="1"/>
        <v>Chauffe</v>
      </c>
      <c r="O14" s="6">
        <v>2013</v>
      </c>
      <c r="P14" s="7">
        <v>1320285.58</v>
      </c>
      <c r="V14" s="2">
        <v>260.3</v>
      </c>
      <c r="W14" s="2">
        <v>113862.836</v>
      </c>
    </row>
    <row r="15" spans="1:23">
      <c r="A15" s="2" t="s">
        <v>18</v>
      </c>
      <c r="B15" s="2">
        <v>799.76800000000003</v>
      </c>
      <c r="C15" s="2">
        <v>3621.99</v>
      </c>
      <c r="D15" s="2">
        <v>2822.2220000000002</v>
      </c>
      <c r="E15" s="2">
        <v>104963.781</v>
      </c>
      <c r="F15" s="2">
        <v>103338.44899999999</v>
      </c>
      <c r="G15" s="2">
        <v>100818.7</v>
      </c>
      <c r="H15" s="2">
        <v>233.5</v>
      </c>
      <c r="I15" s="2">
        <v>1.1919999999999999</v>
      </c>
      <c r="J15" s="2">
        <f>LEFT(A15,4)*1</f>
        <v>2021</v>
      </c>
      <c r="K15" s="2">
        <f>RIGHT(A15,2)*1</f>
        <v>11</v>
      </c>
      <c r="L15" s="2" t="str">
        <f t="shared" si="0"/>
        <v>Automne</v>
      </c>
      <c r="M15" s="2" t="str">
        <f t="shared" si="1"/>
        <v>Chauffe</v>
      </c>
      <c r="O15" s="6">
        <v>2014</v>
      </c>
      <c r="P15" s="7">
        <v>1358960.3370000001</v>
      </c>
      <c r="V15" s="2">
        <v>233.5</v>
      </c>
      <c r="W15" s="2">
        <v>103338.44899999999</v>
      </c>
    </row>
    <row r="16" spans="1:23">
      <c r="A16" s="2" t="s">
        <v>19</v>
      </c>
      <c r="B16" s="2">
        <v>-4305.1880000000001</v>
      </c>
      <c r="C16" s="2">
        <v>1038.8820000000001</v>
      </c>
      <c r="D16" s="2">
        <v>5344.07</v>
      </c>
      <c r="E16" s="2">
        <v>101166.82799999999</v>
      </c>
      <c r="F16" s="2">
        <v>100824.03200000001</v>
      </c>
      <c r="G16" s="2">
        <v>102733.465</v>
      </c>
      <c r="H16" s="2">
        <v>81.3</v>
      </c>
      <c r="I16" s="2">
        <v>1.0960000000000001</v>
      </c>
      <c r="J16" s="2">
        <f>LEFT(A16,4)*1</f>
        <v>2021</v>
      </c>
      <c r="K16" s="2">
        <f>RIGHT(A16,2)*1</f>
        <v>10</v>
      </c>
      <c r="L16" s="2" t="str">
        <f t="shared" si="0"/>
        <v>Automne</v>
      </c>
      <c r="M16" s="2" t="str">
        <f t="shared" si="1"/>
        <v>Chauffe</v>
      </c>
      <c r="O16" s="6">
        <v>2015</v>
      </c>
      <c r="P16" s="7">
        <v>1353111.2529999998</v>
      </c>
      <c r="V16" s="2">
        <v>81.3</v>
      </c>
      <c r="W16" s="2">
        <v>100824.03200000001</v>
      </c>
    </row>
    <row r="17" spans="1:23">
      <c r="A17" s="2" t="s">
        <v>20</v>
      </c>
      <c r="B17" s="2">
        <v>-5788.223</v>
      </c>
      <c r="C17" s="2">
        <v>641.31100000000004</v>
      </c>
      <c r="D17" s="2">
        <v>6429.5339999999997</v>
      </c>
      <c r="E17" s="2">
        <v>93620.233999999997</v>
      </c>
      <c r="F17" s="2">
        <v>93302.29</v>
      </c>
      <c r="G17" s="2">
        <v>104701.364</v>
      </c>
      <c r="H17" s="2" t="s">
        <v>2</v>
      </c>
      <c r="I17" s="2" t="s">
        <v>3</v>
      </c>
      <c r="J17" s="2">
        <f>LEFT(A17,4)*1</f>
        <v>2021</v>
      </c>
      <c r="K17" s="2">
        <f>RIGHT(A17,2)*1</f>
        <v>9</v>
      </c>
      <c r="L17" s="2" t="str">
        <f t="shared" si="0"/>
        <v>Automne</v>
      </c>
      <c r="M17" s="2" t="str">
        <f t="shared" si="1"/>
        <v>Hors chauffe</v>
      </c>
      <c r="O17" s="6">
        <v>2016</v>
      </c>
      <c r="P17" s="7">
        <v>1264433.25</v>
      </c>
      <c r="V17" s="2" t="s">
        <v>2</v>
      </c>
      <c r="W17" s="2">
        <v>93302.29</v>
      </c>
    </row>
    <row r="18" spans="1:23">
      <c r="A18" s="2" t="s">
        <v>21</v>
      </c>
      <c r="B18" s="2">
        <v>-7641.9459999999999</v>
      </c>
      <c r="C18" s="2">
        <v>460.18900000000002</v>
      </c>
      <c r="D18" s="2">
        <v>8102.1350000000002</v>
      </c>
      <c r="E18" s="2">
        <v>93963.357000000004</v>
      </c>
      <c r="F18" s="2">
        <v>94077.998999999996</v>
      </c>
      <c r="G18" s="2">
        <v>107412.26700000001</v>
      </c>
      <c r="H18" s="2" t="s">
        <v>2</v>
      </c>
      <c r="I18" s="2" t="s">
        <v>3</v>
      </c>
      <c r="J18" s="2">
        <f>LEFT(A18,4)*1</f>
        <v>2021</v>
      </c>
      <c r="K18" s="2">
        <f>RIGHT(A18,2)*1</f>
        <v>8</v>
      </c>
      <c r="L18" s="2" t="str">
        <f t="shared" si="0"/>
        <v>Été</v>
      </c>
      <c r="M18" s="2" t="str">
        <f t="shared" si="1"/>
        <v>Hors chauffe</v>
      </c>
      <c r="O18" s="6">
        <v>2017</v>
      </c>
      <c r="P18" s="7">
        <v>1254438.2479999999</v>
      </c>
      <c r="V18" s="2" t="s">
        <v>2</v>
      </c>
      <c r="W18" s="2">
        <v>94077.998999999996</v>
      </c>
    </row>
    <row r="19" spans="1:23">
      <c r="A19" s="2" t="s">
        <v>22</v>
      </c>
      <c r="B19" s="2">
        <v>-7321.0690000000004</v>
      </c>
      <c r="C19" s="2">
        <v>741.90200000000004</v>
      </c>
      <c r="D19" s="2">
        <v>8062.97</v>
      </c>
      <c r="E19" s="2">
        <v>93634.792000000001</v>
      </c>
      <c r="F19" s="2">
        <v>93748.603000000003</v>
      </c>
      <c r="G19" s="2">
        <v>104938.927</v>
      </c>
      <c r="H19" s="2" t="s">
        <v>2</v>
      </c>
      <c r="I19" s="2" t="s">
        <v>3</v>
      </c>
      <c r="J19" s="2">
        <f>LEFT(A19,4)*1</f>
        <v>2021</v>
      </c>
      <c r="K19" s="2">
        <f>RIGHT(A19,2)*1</f>
        <v>7</v>
      </c>
      <c r="L19" s="2" t="str">
        <f t="shared" si="0"/>
        <v>Été</v>
      </c>
      <c r="M19" s="2" t="str">
        <f t="shared" si="1"/>
        <v>Hors chauffe</v>
      </c>
      <c r="O19" s="6">
        <v>2018</v>
      </c>
      <c r="P19" s="7">
        <v>1302240.1149999998</v>
      </c>
      <c r="V19" s="2" t="s">
        <v>2</v>
      </c>
      <c r="W19" s="2">
        <v>93748.603000000003</v>
      </c>
    </row>
    <row r="20" spans="1:23">
      <c r="A20" s="2" t="s">
        <v>23</v>
      </c>
      <c r="B20" s="2">
        <v>-6851.46</v>
      </c>
      <c r="C20" s="2">
        <v>689.69100000000003</v>
      </c>
      <c r="D20" s="2">
        <v>7541.1509999999998</v>
      </c>
      <c r="E20" s="2">
        <v>90884.509000000005</v>
      </c>
      <c r="F20" s="2">
        <v>89891.153999999995</v>
      </c>
      <c r="G20" s="2">
        <v>105281.076</v>
      </c>
      <c r="H20" s="2" t="s">
        <v>2</v>
      </c>
      <c r="I20" s="2" t="s">
        <v>3</v>
      </c>
      <c r="J20" s="2">
        <f>LEFT(A20,4)*1</f>
        <v>2021</v>
      </c>
      <c r="K20" s="2">
        <f>RIGHT(A20,2)*1</f>
        <v>6</v>
      </c>
      <c r="L20" s="2" t="str">
        <f t="shared" si="0"/>
        <v>Été</v>
      </c>
      <c r="M20" s="2" t="str">
        <f t="shared" si="1"/>
        <v>Hors chauffe</v>
      </c>
      <c r="O20" s="6">
        <v>2019</v>
      </c>
      <c r="P20" s="7">
        <v>1262510.7439999999</v>
      </c>
      <c r="V20" s="2" t="s">
        <v>2</v>
      </c>
      <c r="W20" s="2">
        <v>89891.153999999995</v>
      </c>
    </row>
    <row r="21" spans="1:23">
      <c r="A21" s="2" t="s">
        <v>24</v>
      </c>
      <c r="B21" s="2">
        <v>-5919.64</v>
      </c>
      <c r="C21" s="2">
        <v>1213.5820000000001</v>
      </c>
      <c r="D21" s="2">
        <v>7133.223</v>
      </c>
      <c r="E21" s="2">
        <v>94056.827000000005</v>
      </c>
      <c r="F21" s="2">
        <v>91972.191999999995</v>
      </c>
      <c r="G21" s="2">
        <v>100690.243</v>
      </c>
      <c r="H21" s="2">
        <v>79.2</v>
      </c>
      <c r="I21" s="2">
        <v>1.6910000000000001</v>
      </c>
      <c r="J21" s="2">
        <f>LEFT(A21,4)*1</f>
        <v>2021</v>
      </c>
      <c r="K21" s="2">
        <f>RIGHT(A21,2)*1</f>
        <v>5</v>
      </c>
      <c r="L21" s="2" t="str">
        <f t="shared" si="0"/>
        <v>Printemps</v>
      </c>
      <c r="M21" s="2" t="str">
        <f t="shared" si="1"/>
        <v>Chauffe</v>
      </c>
      <c r="O21" s="6">
        <v>2020</v>
      </c>
      <c r="P21" s="7">
        <v>1154488.469</v>
      </c>
      <c r="V21" s="2">
        <v>79.2</v>
      </c>
      <c r="W21" s="2">
        <v>91972.191999999995</v>
      </c>
    </row>
    <row r="22" spans="1:23">
      <c r="A22" s="2" t="s">
        <v>25</v>
      </c>
      <c r="B22" s="2">
        <v>-1445.471</v>
      </c>
      <c r="C22" s="2">
        <v>2800.0740000000001</v>
      </c>
      <c r="D22" s="2">
        <v>4245.5450000000001</v>
      </c>
      <c r="E22" s="2">
        <v>93954.922000000006</v>
      </c>
      <c r="F22" s="2">
        <v>92509.194000000003</v>
      </c>
      <c r="G22" s="2">
        <v>98153.020999999993</v>
      </c>
      <c r="H22" s="2">
        <v>167.2</v>
      </c>
      <c r="I22" s="2">
        <v>1.425</v>
      </c>
      <c r="J22" s="2">
        <f>LEFT(A22,4)*1</f>
        <v>2021</v>
      </c>
      <c r="K22" s="2">
        <f>RIGHT(A22,2)*1</f>
        <v>4</v>
      </c>
      <c r="L22" s="2" t="str">
        <f t="shared" si="0"/>
        <v>Printemps</v>
      </c>
      <c r="M22" s="2" t="str">
        <f t="shared" si="1"/>
        <v>Chauffe</v>
      </c>
      <c r="O22" s="6">
        <v>2021</v>
      </c>
      <c r="P22" s="7">
        <v>1215862.5750000002</v>
      </c>
      <c r="V22" s="2">
        <v>167.2</v>
      </c>
      <c r="W22" s="2">
        <v>92509.194000000003</v>
      </c>
    </row>
    <row r="23" spans="1:23">
      <c r="A23" s="2" t="s">
        <v>26</v>
      </c>
      <c r="B23" s="2">
        <v>-3224.652</v>
      </c>
      <c r="C23" s="2">
        <v>2339.2820000000002</v>
      </c>
      <c r="D23" s="2">
        <v>5563.9340000000002</v>
      </c>
      <c r="E23" s="2">
        <v>108557.91499999999</v>
      </c>
      <c r="F23" s="2">
        <v>108001.88499999999</v>
      </c>
      <c r="G23" s="2">
        <v>99875.232999999993</v>
      </c>
      <c r="H23" s="2">
        <v>209.3</v>
      </c>
      <c r="I23" s="2">
        <v>1.044</v>
      </c>
      <c r="J23" s="2">
        <f>LEFT(A23,4)*1</f>
        <v>2021</v>
      </c>
      <c r="K23" s="2">
        <f>RIGHT(A23,2)*1</f>
        <v>3</v>
      </c>
      <c r="L23" s="2" t="str">
        <f t="shared" si="0"/>
        <v>Printemps</v>
      </c>
      <c r="M23" s="2" t="str">
        <f t="shared" si="1"/>
        <v>Chauffe</v>
      </c>
      <c r="O23" s="6">
        <v>2022</v>
      </c>
      <c r="P23" s="7">
        <v>1026523.62</v>
      </c>
      <c r="V23" s="2">
        <v>209.3</v>
      </c>
      <c r="W23" s="2">
        <v>108001.88499999999</v>
      </c>
    </row>
    <row r="24" spans="1:23">
      <c r="A24" s="2" t="s">
        <v>27</v>
      </c>
      <c r="B24" s="2">
        <v>-3409.7260000000001</v>
      </c>
      <c r="C24" s="2">
        <v>2302.1950000000002</v>
      </c>
      <c r="D24" s="2">
        <v>5711.9210000000003</v>
      </c>
      <c r="E24" s="2">
        <v>105063.266</v>
      </c>
      <c r="F24" s="2">
        <v>107337.637</v>
      </c>
      <c r="G24" s="2">
        <v>95312.277000000002</v>
      </c>
      <c r="H24" s="2">
        <v>210.2</v>
      </c>
      <c r="I24" s="2">
        <v>0.81499999999999995</v>
      </c>
      <c r="J24" s="2">
        <f>LEFT(A24,4)*1</f>
        <v>2021</v>
      </c>
      <c r="K24" s="2">
        <f>RIGHT(A24,2)*1</f>
        <v>2</v>
      </c>
      <c r="L24" s="2" t="str">
        <f t="shared" si="0"/>
        <v>Hiver</v>
      </c>
      <c r="M24" s="2" t="str">
        <f t="shared" si="1"/>
        <v>Chauffe</v>
      </c>
      <c r="O24" s="6" t="s">
        <v>260</v>
      </c>
      <c r="P24" s="7">
        <v>15195349.639</v>
      </c>
      <c r="V24" s="2">
        <v>210.2</v>
      </c>
      <c r="W24" s="2">
        <v>107337.637</v>
      </c>
    </row>
    <row r="25" spans="1:23">
      <c r="A25" s="2" t="s">
        <v>28</v>
      </c>
      <c r="B25" s="2">
        <v>-1990.0119999999999</v>
      </c>
      <c r="C25" s="2">
        <v>3290.319</v>
      </c>
      <c r="D25" s="2">
        <v>5280.3310000000001</v>
      </c>
      <c r="E25" s="2">
        <v>128030.23299999999</v>
      </c>
      <c r="F25" s="2">
        <v>126996.304</v>
      </c>
      <c r="G25" s="2">
        <v>99298.119000000006</v>
      </c>
      <c r="H25" s="2" t="s">
        <v>29</v>
      </c>
      <c r="I25" s="2">
        <v>1.0609999999999999</v>
      </c>
      <c r="J25" s="2">
        <f>LEFT(A25,4)*1</f>
        <v>2021</v>
      </c>
      <c r="K25" s="2">
        <f>RIGHT(A25,2)*1</f>
        <v>1</v>
      </c>
      <c r="L25" s="2" t="str">
        <f t="shared" si="0"/>
        <v>Hiver</v>
      </c>
      <c r="M25" s="2" t="str">
        <f t="shared" si="1"/>
        <v>Chauffe</v>
      </c>
      <c r="V25" s="2" t="s">
        <v>29</v>
      </c>
      <c r="W25" s="2">
        <v>126996.304</v>
      </c>
    </row>
    <row r="26" spans="1:23">
      <c r="A26" s="2" t="s">
        <v>30</v>
      </c>
      <c r="B26" s="2">
        <v>-2444.3209999999999</v>
      </c>
      <c r="C26" s="2">
        <v>2523.3229999999999</v>
      </c>
      <c r="D26" s="2">
        <v>4967.6440000000002</v>
      </c>
      <c r="E26" s="2">
        <v>117708.071</v>
      </c>
      <c r="F26" s="2">
        <v>118633.62699999999</v>
      </c>
      <c r="G26" s="2">
        <v>100883.40700000001</v>
      </c>
      <c r="H26" s="2">
        <v>264.2</v>
      </c>
      <c r="I26" s="2">
        <v>0.92</v>
      </c>
      <c r="J26" s="2">
        <f>LEFT(A26,4)*1</f>
        <v>2020</v>
      </c>
      <c r="K26" s="2">
        <f>RIGHT(A26,2)*1</f>
        <v>12</v>
      </c>
      <c r="L26" s="2" t="str">
        <f t="shared" si="0"/>
        <v>Hiver</v>
      </c>
      <c r="M26" s="2" t="str">
        <f t="shared" si="1"/>
        <v>Chauffe</v>
      </c>
      <c r="T26" s="11"/>
      <c r="U26" s="3"/>
      <c r="V26" s="2">
        <v>264.2</v>
      </c>
      <c r="W26" s="2">
        <v>118633.62699999999</v>
      </c>
    </row>
    <row r="27" spans="1:23">
      <c r="A27" s="2" t="s">
        <v>31</v>
      </c>
      <c r="B27" s="2">
        <v>-4778.82</v>
      </c>
      <c r="C27" s="2">
        <v>1418.2139999999999</v>
      </c>
      <c r="D27" s="2">
        <v>6197.0339999999997</v>
      </c>
      <c r="E27" s="2">
        <v>104124.556</v>
      </c>
      <c r="F27" s="2">
        <v>106034.62699999999</v>
      </c>
      <c r="G27" s="2">
        <v>104101.322</v>
      </c>
      <c r="H27" s="2" t="s">
        <v>32</v>
      </c>
      <c r="I27" s="2">
        <v>0.78100000000000003</v>
      </c>
      <c r="J27" s="2">
        <f>LEFT(A27,4)*1</f>
        <v>2020</v>
      </c>
      <c r="K27" s="2">
        <f>RIGHT(A27,2)*1</f>
        <v>11</v>
      </c>
      <c r="L27" s="2" t="str">
        <f t="shared" si="0"/>
        <v>Automne</v>
      </c>
      <c r="M27" s="2" t="str">
        <f t="shared" si="1"/>
        <v>Chauffe</v>
      </c>
      <c r="O27" s="11" t="s">
        <v>268</v>
      </c>
      <c r="P27" s="3"/>
      <c r="Q27" s="3"/>
      <c r="T27" s="3"/>
      <c r="U27" s="3"/>
      <c r="V27" s="2" t="s">
        <v>32</v>
      </c>
      <c r="W27" s="2">
        <v>106034.62699999999</v>
      </c>
    </row>
    <row r="28" spans="1:23">
      <c r="A28" s="2" t="s">
        <v>33</v>
      </c>
      <c r="B28" s="2">
        <v>-2838.6759999999999</v>
      </c>
      <c r="C28" s="2">
        <v>1858.2940000000001</v>
      </c>
      <c r="D28" s="2">
        <v>4696.97</v>
      </c>
      <c r="E28" s="2">
        <v>97778.277000000002</v>
      </c>
      <c r="F28" s="2">
        <v>97153.659</v>
      </c>
      <c r="G28" s="2">
        <v>100752.514</v>
      </c>
      <c r="H28" s="2">
        <v>87.4</v>
      </c>
      <c r="I28" s="2">
        <v>1.1779999999999999</v>
      </c>
      <c r="J28" s="2">
        <f>LEFT(A28,4)*1</f>
        <v>2020</v>
      </c>
      <c r="K28" s="2">
        <f>RIGHT(A28,2)*1</f>
        <v>10</v>
      </c>
      <c r="L28" s="2" t="str">
        <f t="shared" ref="L28:L91" si="2">IF(OR(K28=12,K28&lt;=2),"Hiver",IF(K28&lt;=5,"Printemps",IF(K28&lt;=8,"Été","Automne")))</f>
        <v>Automne</v>
      </c>
      <c r="M28" s="2" t="str">
        <f t="shared" ref="M28:M91" si="3">IF(AND(K28&gt;=6,K28&lt;=9),"Hors chauffe","Chauffe")</f>
        <v>Chauffe</v>
      </c>
      <c r="O28" s="3"/>
      <c r="P28" s="3"/>
      <c r="Q28" s="3"/>
      <c r="V28" s="2">
        <v>87.4</v>
      </c>
      <c r="W28" s="2">
        <v>97153.659</v>
      </c>
    </row>
    <row r="29" spans="1:23">
      <c r="A29" s="2" t="s">
        <v>34</v>
      </c>
      <c r="B29" s="2">
        <v>552.03899999999999</v>
      </c>
      <c r="C29" s="2">
        <v>3196.6889999999999</v>
      </c>
      <c r="D29" s="2">
        <v>2644.65</v>
      </c>
      <c r="E29" s="2">
        <v>77314.354000000007</v>
      </c>
      <c r="F29" s="2">
        <v>77356.474000000002</v>
      </c>
      <c r="G29" s="2">
        <v>89379.034</v>
      </c>
      <c r="H29" s="2" t="s">
        <v>2</v>
      </c>
      <c r="I29" s="2" t="s">
        <v>3</v>
      </c>
      <c r="J29" s="2">
        <f>LEFT(A29,4)*1</f>
        <v>2020</v>
      </c>
      <c r="K29" s="2">
        <f>RIGHT(A29,2)*1</f>
        <v>9</v>
      </c>
      <c r="L29" s="2" t="str">
        <f t="shared" si="2"/>
        <v>Automne</v>
      </c>
      <c r="M29" s="2" t="str">
        <f t="shared" si="3"/>
        <v>Hors chauffe</v>
      </c>
      <c r="O29" s="5" t="s">
        <v>231</v>
      </c>
      <c r="P29" s="6" t="s">
        <v>244</v>
      </c>
      <c r="V29" s="2" t="s">
        <v>2</v>
      </c>
      <c r="W29" s="2">
        <v>77356.474000000002</v>
      </c>
    </row>
    <row r="30" spans="1:23">
      <c r="A30" s="2" t="s">
        <v>35</v>
      </c>
      <c r="B30" s="2">
        <v>-1741.479</v>
      </c>
      <c r="C30" s="2">
        <v>2072.9720000000002</v>
      </c>
      <c r="D30" s="2">
        <v>3814.451</v>
      </c>
      <c r="E30" s="2">
        <v>79373.815000000002</v>
      </c>
      <c r="F30" s="2">
        <v>78900.646999999997</v>
      </c>
      <c r="G30" s="2">
        <v>91297.111999999994</v>
      </c>
      <c r="H30" s="2" t="s">
        <v>2</v>
      </c>
      <c r="I30" s="2" t="s">
        <v>3</v>
      </c>
      <c r="J30" s="2">
        <f>LEFT(A30,4)*1</f>
        <v>2020</v>
      </c>
      <c r="K30" s="2">
        <f>RIGHT(A30,2)*1</f>
        <v>8</v>
      </c>
      <c r="L30" s="2" t="str">
        <f t="shared" si="2"/>
        <v>Été</v>
      </c>
      <c r="M30" s="2" t="str">
        <f t="shared" si="3"/>
        <v>Hors chauffe</v>
      </c>
      <c r="O30" s="6" t="s">
        <v>247</v>
      </c>
      <c r="P30" s="7">
        <v>135177.57491666666</v>
      </c>
      <c r="V30" s="2" t="s">
        <v>2</v>
      </c>
      <c r="W30" s="2">
        <v>78900.646999999997</v>
      </c>
    </row>
    <row r="31" spans="1:23">
      <c r="A31" s="2" t="s">
        <v>36</v>
      </c>
      <c r="B31" s="2">
        <v>-1300.921</v>
      </c>
      <c r="C31" s="2">
        <v>2287.0169999999998</v>
      </c>
      <c r="D31" s="2">
        <v>3587.9380000000001</v>
      </c>
      <c r="E31" s="2">
        <v>79613.834000000003</v>
      </c>
      <c r="F31" s="2">
        <v>79794.891000000003</v>
      </c>
      <c r="G31" s="2">
        <v>90564.532000000007</v>
      </c>
      <c r="H31" s="2" t="s">
        <v>2</v>
      </c>
      <c r="I31" s="2" t="s">
        <v>3</v>
      </c>
      <c r="J31" s="2">
        <f>LEFT(A31,4)*1</f>
        <v>2020</v>
      </c>
      <c r="K31" s="2">
        <f>RIGHT(A31,2)*1</f>
        <v>7</v>
      </c>
      <c r="L31" s="2" t="str">
        <f t="shared" si="2"/>
        <v>Été</v>
      </c>
      <c r="M31" s="2" t="str">
        <f t="shared" si="3"/>
        <v>Hors chauffe</v>
      </c>
      <c r="O31" s="6" t="s">
        <v>248</v>
      </c>
      <c r="P31" s="7">
        <v>118028.17541666668</v>
      </c>
      <c r="V31" s="2" t="s">
        <v>2</v>
      </c>
      <c r="W31" s="2">
        <v>79794.891000000003</v>
      </c>
    </row>
    <row r="32" spans="1:23">
      <c r="A32" s="2" t="s">
        <v>37</v>
      </c>
      <c r="B32" s="2">
        <v>-3321.4850000000001</v>
      </c>
      <c r="C32" s="2">
        <v>1220.7550000000001</v>
      </c>
      <c r="D32" s="2">
        <v>4542.2389999999996</v>
      </c>
      <c r="E32" s="2">
        <v>75589.879000000001</v>
      </c>
      <c r="F32" s="2">
        <v>75457.934999999998</v>
      </c>
      <c r="G32" s="2">
        <v>90469.766000000003</v>
      </c>
      <c r="H32" s="2" t="s">
        <v>2</v>
      </c>
      <c r="I32" s="2" t="s">
        <v>3</v>
      </c>
      <c r="J32" s="2">
        <f>LEFT(A32,4)*1</f>
        <v>2020</v>
      </c>
      <c r="K32" s="2">
        <f>RIGHT(A32,2)*1</f>
        <v>6</v>
      </c>
      <c r="L32" s="2" t="str">
        <f t="shared" si="2"/>
        <v>Été</v>
      </c>
      <c r="M32" s="2" t="str">
        <f t="shared" si="3"/>
        <v>Hors chauffe</v>
      </c>
      <c r="O32" s="6" t="s">
        <v>249</v>
      </c>
      <c r="P32" s="7">
        <v>115696.62358333333</v>
      </c>
      <c r="V32" s="2" t="s">
        <v>2</v>
      </c>
      <c r="W32" s="2">
        <v>75457.934999999998</v>
      </c>
    </row>
    <row r="33" spans="1:23">
      <c r="A33" s="2" t="s">
        <v>38</v>
      </c>
      <c r="B33" s="2">
        <v>-6394.1019999999999</v>
      </c>
      <c r="C33" s="2">
        <v>555.78099999999995</v>
      </c>
      <c r="D33" s="2">
        <v>6949.8829999999998</v>
      </c>
      <c r="E33" s="2">
        <v>84323.429000000004</v>
      </c>
      <c r="F33" s="2">
        <v>84761.683000000005</v>
      </c>
      <c r="G33" s="2">
        <v>93020.741999999998</v>
      </c>
      <c r="H33" s="2">
        <v>36.200000000000003</v>
      </c>
      <c r="I33" s="2">
        <v>0.77300000000000002</v>
      </c>
      <c r="J33" s="2">
        <f>LEFT(A33,4)*1</f>
        <v>2020</v>
      </c>
      <c r="K33" s="2">
        <f>RIGHT(A33,2)*1</f>
        <v>5</v>
      </c>
      <c r="L33" s="2" t="str">
        <f t="shared" si="2"/>
        <v>Printemps</v>
      </c>
      <c r="M33" s="2" t="str">
        <f t="shared" si="3"/>
        <v>Chauffe</v>
      </c>
      <c r="O33" s="6" t="s">
        <v>250</v>
      </c>
      <c r="P33" s="7">
        <v>100687.92283333336</v>
      </c>
      <c r="V33" s="2">
        <v>36.200000000000003</v>
      </c>
      <c r="W33" s="2">
        <v>84761.683000000005</v>
      </c>
    </row>
    <row r="34" spans="1:23">
      <c r="A34" s="2" t="s">
        <v>39</v>
      </c>
      <c r="B34" s="2">
        <v>-5693.375</v>
      </c>
      <c r="C34" s="2">
        <v>738.25699999999995</v>
      </c>
      <c r="D34" s="2">
        <v>6431.6310000000003</v>
      </c>
      <c r="E34" s="2">
        <v>89036.046000000002</v>
      </c>
      <c r="F34" s="2">
        <v>91742.873000000007</v>
      </c>
      <c r="G34" s="2">
        <v>96816.038</v>
      </c>
      <c r="H34" s="2">
        <v>58.6</v>
      </c>
      <c r="I34" s="2">
        <v>0.499</v>
      </c>
      <c r="J34" s="2">
        <f>LEFT(A34,4)*1</f>
        <v>2020</v>
      </c>
      <c r="K34" s="2">
        <f>RIGHT(A34,2)*1</f>
        <v>4</v>
      </c>
      <c r="L34" s="2" t="str">
        <f t="shared" si="2"/>
        <v>Printemps</v>
      </c>
      <c r="M34" s="2" t="str">
        <f t="shared" si="3"/>
        <v>Chauffe</v>
      </c>
      <c r="O34" s="6" t="s">
        <v>251</v>
      </c>
      <c r="P34" s="7">
        <v>96395.032499999987</v>
      </c>
      <c r="V34" s="2">
        <v>58.6</v>
      </c>
      <c r="W34" s="2">
        <v>91742.873000000007</v>
      </c>
    </row>
    <row r="35" spans="1:23">
      <c r="A35" s="2" t="s">
        <v>40</v>
      </c>
      <c r="B35" s="2">
        <v>-5993.3980000000001</v>
      </c>
      <c r="C35" s="2">
        <v>978.97500000000002</v>
      </c>
      <c r="D35" s="2">
        <v>6972.3729999999996</v>
      </c>
      <c r="E35" s="2">
        <v>104830.06200000001</v>
      </c>
      <c r="F35" s="2">
        <v>104942.89</v>
      </c>
      <c r="G35" s="2">
        <v>96106.156000000003</v>
      </c>
      <c r="H35" s="2" t="s">
        <v>41</v>
      </c>
      <c r="I35" s="2">
        <v>0.97199999999999998</v>
      </c>
      <c r="J35" s="2">
        <f>LEFT(A35,4)*1</f>
        <v>2020</v>
      </c>
      <c r="K35" s="2">
        <f>RIGHT(A35,2)*1</f>
        <v>3</v>
      </c>
      <c r="L35" s="2" t="str">
        <f t="shared" si="2"/>
        <v>Printemps</v>
      </c>
      <c r="M35" s="2" t="str">
        <f t="shared" si="3"/>
        <v>Chauffe</v>
      </c>
      <c r="O35" s="6" t="s">
        <v>252</v>
      </c>
      <c r="P35" s="7">
        <v>91147.257333333328</v>
      </c>
      <c r="V35" s="2" t="s">
        <v>41</v>
      </c>
      <c r="W35" s="2">
        <v>104942.89</v>
      </c>
    </row>
    <row r="36" spans="1:23">
      <c r="A36" s="2" t="s">
        <v>42</v>
      </c>
      <c r="B36" s="2">
        <v>-6751.1289999999999</v>
      </c>
      <c r="C36" s="2">
        <v>474.392</v>
      </c>
      <c r="D36" s="2">
        <v>7225.5209999999997</v>
      </c>
      <c r="E36" s="2">
        <v>112009.82399999999</v>
      </c>
      <c r="F36" s="2">
        <v>112056.784</v>
      </c>
      <c r="G36" s="2">
        <v>100133.07</v>
      </c>
      <c r="H36" s="2">
        <v>181.1</v>
      </c>
      <c r="I36" s="2">
        <v>0.70199999999999996</v>
      </c>
      <c r="J36" s="2">
        <f>LEFT(A36,4)*1</f>
        <v>2020</v>
      </c>
      <c r="K36" s="2">
        <f>RIGHT(A36,2)*1</f>
        <v>2</v>
      </c>
      <c r="L36" s="2" t="str">
        <f t="shared" si="2"/>
        <v>Hiver</v>
      </c>
      <c r="M36" s="2" t="str">
        <f t="shared" si="3"/>
        <v>Chauffe</v>
      </c>
      <c r="O36" s="6" t="s">
        <v>253</v>
      </c>
      <c r="P36" s="7">
        <v>94815.571916666653</v>
      </c>
      <c r="V36" s="2">
        <v>181.1</v>
      </c>
      <c r="W36" s="2">
        <v>112056.784</v>
      </c>
    </row>
    <row r="37" spans="1:23">
      <c r="A37" s="2" t="s">
        <v>43</v>
      </c>
      <c r="B37" s="2">
        <v>-4517.4279999999999</v>
      </c>
      <c r="C37" s="2">
        <v>1516.8620000000001</v>
      </c>
      <c r="D37" s="2">
        <v>6034.29</v>
      </c>
      <c r="E37" s="2">
        <v>125409.804</v>
      </c>
      <c r="F37" s="2">
        <v>127652.379</v>
      </c>
      <c r="G37" s="2">
        <v>100260.78599999999</v>
      </c>
      <c r="H37" s="2">
        <v>259.8</v>
      </c>
      <c r="I37" s="2">
        <v>0.83299999999999996</v>
      </c>
      <c r="J37" s="2">
        <f>LEFT(A37,4)*1</f>
        <v>2020</v>
      </c>
      <c r="K37" s="2">
        <f>RIGHT(A37,2)*1</f>
        <v>1</v>
      </c>
      <c r="L37" s="2" t="str">
        <f t="shared" si="2"/>
        <v>Hiver</v>
      </c>
      <c r="M37" s="2" t="str">
        <f t="shared" si="3"/>
        <v>Chauffe</v>
      </c>
      <c r="O37" s="6" t="s">
        <v>254</v>
      </c>
      <c r="P37" s="7">
        <v>90736.182166666651</v>
      </c>
      <c r="V37" s="2">
        <v>259.8</v>
      </c>
      <c r="W37" s="2">
        <v>127652.379</v>
      </c>
    </row>
    <row r="38" spans="1:23">
      <c r="A38" s="2" t="s">
        <v>44</v>
      </c>
      <c r="B38" s="2">
        <v>-3569.703</v>
      </c>
      <c r="C38" s="2">
        <v>2008.625</v>
      </c>
      <c r="D38" s="2">
        <v>5578.3289999999997</v>
      </c>
      <c r="E38" s="2">
        <v>115101.421</v>
      </c>
      <c r="F38" s="2">
        <v>116757.08500000001</v>
      </c>
      <c r="G38" s="2">
        <v>98567.027000000002</v>
      </c>
      <c r="H38" s="2">
        <v>235.4</v>
      </c>
      <c r="I38" s="2">
        <v>0.81899999999999995</v>
      </c>
      <c r="J38" s="2">
        <f>LEFT(A38,4)*1</f>
        <v>2019</v>
      </c>
      <c r="K38" s="2">
        <f>RIGHT(A38,2)*1</f>
        <v>12</v>
      </c>
      <c r="L38" s="2" t="str">
        <f t="shared" si="2"/>
        <v>Hiver</v>
      </c>
      <c r="M38" s="2" t="str">
        <f t="shared" si="3"/>
        <v>Chauffe</v>
      </c>
      <c r="O38" s="6" t="s">
        <v>255</v>
      </c>
      <c r="P38" s="7">
        <v>91593.672833333316</v>
      </c>
      <c r="V38" s="2">
        <v>235.4</v>
      </c>
      <c r="W38" s="2">
        <v>116757.08500000001</v>
      </c>
    </row>
    <row r="39" spans="1:23">
      <c r="A39" s="2" t="s">
        <v>45</v>
      </c>
      <c r="B39" s="2">
        <v>-1388.136</v>
      </c>
      <c r="C39" s="2">
        <v>2814.7689999999998</v>
      </c>
      <c r="D39" s="2">
        <v>4202.9040000000005</v>
      </c>
      <c r="E39" s="2">
        <v>102333.251</v>
      </c>
      <c r="F39" s="2">
        <v>101727.058</v>
      </c>
      <c r="G39" s="2">
        <v>100062.81299999999</v>
      </c>
      <c r="H39" s="2">
        <v>206.5</v>
      </c>
      <c r="I39" s="2">
        <v>1.0549999999999999</v>
      </c>
      <c r="J39" s="2">
        <f>LEFT(A39,4)*1</f>
        <v>2019</v>
      </c>
      <c r="K39" s="2">
        <f>RIGHT(A39,2)*1</f>
        <v>11</v>
      </c>
      <c r="L39" s="2" t="str">
        <f t="shared" si="2"/>
        <v>Automne</v>
      </c>
      <c r="M39" s="2" t="str">
        <f t="shared" si="3"/>
        <v>Chauffe</v>
      </c>
      <c r="O39" s="6" t="s">
        <v>256</v>
      </c>
      <c r="P39" s="7">
        <v>99910.299666666659</v>
      </c>
      <c r="V39" s="2">
        <v>206.5</v>
      </c>
      <c r="W39" s="2">
        <v>101727.058</v>
      </c>
    </row>
    <row r="40" spans="1:23">
      <c r="A40" s="2" t="s">
        <v>46</v>
      </c>
      <c r="B40" s="2">
        <v>-4282.4939999999997</v>
      </c>
      <c r="C40" s="2">
        <v>1292.912</v>
      </c>
      <c r="D40" s="2">
        <v>5575.4049999999997</v>
      </c>
      <c r="E40" s="2">
        <v>96851.236999999994</v>
      </c>
      <c r="F40" s="2">
        <v>98557.437000000005</v>
      </c>
      <c r="G40" s="2">
        <v>103108.011</v>
      </c>
      <c r="H40" s="2">
        <v>50.8</v>
      </c>
      <c r="I40" s="2">
        <v>0.68500000000000005</v>
      </c>
      <c r="J40" s="2">
        <f>LEFT(A40,4)*1</f>
        <v>2019</v>
      </c>
      <c r="K40" s="2">
        <f>RIGHT(A40,2)*1</f>
        <v>10</v>
      </c>
      <c r="L40" s="2" t="str">
        <f t="shared" si="2"/>
        <v>Automne</v>
      </c>
      <c r="M40" s="2" t="str">
        <f t="shared" si="3"/>
        <v>Chauffe</v>
      </c>
      <c r="O40" s="6" t="s">
        <v>257</v>
      </c>
      <c r="P40" s="7">
        <v>107794.16450000001</v>
      </c>
      <c r="V40" s="2">
        <v>50.8</v>
      </c>
      <c r="W40" s="2">
        <v>98557.437000000005</v>
      </c>
    </row>
    <row r="41" spans="1:23">
      <c r="A41" s="2" t="s">
        <v>47</v>
      </c>
      <c r="B41" s="2">
        <v>-4894.0410000000002</v>
      </c>
      <c r="C41" s="2">
        <v>1078.3119999999999</v>
      </c>
      <c r="D41" s="2">
        <v>5972.3530000000001</v>
      </c>
      <c r="E41" s="2">
        <v>89707.16</v>
      </c>
      <c r="F41" s="2">
        <v>89656.631999999998</v>
      </c>
      <c r="G41" s="2">
        <v>102354.88</v>
      </c>
      <c r="H41" s="2" t="s">
        <v>2</v>
      </c>
      <c r="I41" s="2" t="s">
        <v>3</v>
      </c>
      <c r="J41" s="2">
        <f>LEFT(A41,4)*1</f>
        <v>2019</v>
      </c>
      <c r="K41" s="2">
        <f>RIGHT(A41,2)*1</f>
        <v>9</v>
      </c>
      <c r="L41" s="2" t="str">
        <f t="shared" si="2"/>
        <v>Automne</v>
      </c>
      <c r="M41" s="2" t="str">
        <f t="shared" si="3"/>
        <v>Hors chauffe</v>
      </c>
      <c r="O41" s="6" t="s">
        <v>258</v>
      </c>
      <c r="P41" s="7">
        <v>124296.65891666665</v>
      </c>
      <c r="V41" s="2" t="s">
        <v>2</v>
      </c>
      <c r="W41" s="2">
        <v>89656.631999999998</v>
      </c>
    </row>
    <row r="42" spans="1:23">
      <c r="A42" s="2" t="s">
        <v>48</v>
      </c>
      <c r="B42" s="2">
        <v>-5576.92</v>
      </c>
      <c r="C42" s="2">
        <v>796.98699999999997</v>
      </c>
      <c r="D42" s="2">
        <v>6373.9070000000002</v>
      </c>
      <c r="E42" s="2">
        <v>90168.709000000003</v>
      </c>
      <c r="F42" s="2">
        <v>89475.376999999993</v>
      </c>
      <c r="G42" s="2">
        <v>102174.803</v>
      </c>
      <c r="H42" s="2" t="s">
        <v>2</v>
      </c>
      <c r="I42" s="2" t="s">
        <v>3</v>
      </c>
      <c r="J42" s="2">
        <f>LEFT(A42,4)*1</f>
        <v>2019</v>
      </c>
      <c r="K42" s="2">
        <f>RIGHT(A42,2)*1</f>
        <v>8</v>
      </c>
      <c r="L42" s="2" t="str">
        <f t="shared" si="2"/>
        <v>Été</v>
      </c>
      <c r="M42" s="2" t="str">
        <f t="shared" si="3"/>
        <v>Hors chauffe</v>
      </c>
      <c r="O42" s="6" t="s">
        <v>260</v>
      </c>
      <c r="P42" s="7">
        <v>105523.26138194447</v>
      </c>
      <c r="V42" s="2" t="s">
        <v>2</v>
      </c>
      <c r="W42" s="2">
        <v>89475.376999999993</v>
      </c>
    </row>
    <row r="43" spans="1:23">
      <c r="A43" s="2" t="s">
        <v>49</v>
      </c>
      <c r="B43" s="2">
        <v>-5623.5460000000003</v>
      </c>
      <c r="C43" s="2">
        <v>891.54600000000005</v>
      </c>
      <c r="D43" s="2">
        <v>6515.0929999999998</v>
      </c>
      <c r="E43" s="2">
        <v>95398.24</v>
      </c>
      <c r="F43" s="2">
        <v>95641.773000000001</v>
      </c>
      <c r="G43" s="2">
        <v>106634.53200000001</v>
      </c>
      <c r="H43" s="2" t="s">
        <v>2</v>
      </c>
      <c r="I43" s="2" t="s">
        <v>3</v>
      </c>
      <c r="J43" s="2">
        <f>LEFT(A43,4)*1</f>
        <v>2019</v>
      </c>
      <c r="K43" s="2">
        <f>RIGHT(A43,2)*1</f>
        <v>7</v>
      </c>
      <c r="L43" s="2" t="str">
        <f t="shared" si="2"/>
        <v>Été</v>
      </c>
      <c r="M43" s="2" t="str">
        <f t="shared" si="3"/>
        <v>Hors chauffe</v>
      </c>
      <c r="V43" s="2" t="s">
        <v>2</v>
      </c>
      <c r="W43" s="2">
        <v>95641.773000000001</v>
      </c>
    </row>
    <row r="44" spans="1:23">
      <c r="A44" s="2" t="s">
        <v>50</v>
      </c>
      <c r="B44" s="2">
        <v>-7126.9009999999998</v>
      </c>
      <c r="C44" s="2">
        <v>325.15499999999997</v>
      </c>
      <c r="D44" s="2">
        <v>7452.0550000000003</v>
      </c>
      <c r="E44" s="2">
        <v>93324.092999999993</v>
      </c>
      <c r="F44" s="2">
        <v>92925.342000000004</v>
      </c>
      <c r="G44" s="2">
        <v>107874.20299999999</v>
      </c>
      <c r="H44" s="2" t="s">
        <v>2</v>
      </c>
      <c r="I44" s="2" t="s">
        <v>3</v>
      </c>
      <c r="J44" s="2">
        <f>LEFT(A44,4)*1</f>
        <v>2019</v>
      </c>
      <c r="K44" s="2">
        <f>RIGHT(A44,2)*1</f>
        <v>6</v>
      </c>
      <c r="L44" s="2" t="str">
        <f t="shared" si="2"/>
        <v>Été</v>
      </c>
      <c r="M44" s="2" t="str">
        <f t="shared" si="3"/>
        <v>Hors chauffe</v>
      </c>
      <c r="V44" s="2" t="s">
        <v>2</v>
      </c>
      <c r="W44" s="2">
        <v>92925.342000000004</v>
      </c>
    </row>
    <row r="45" spans="1:23">
      <c r="A45" s="2" t="s">
        <v>51</v>
      </c>
      <c r="B45" s="2">
        <v>-7473.1030000000001</v>
      </c>
      <c r="C45" s="2">
        <v>243.51300000000001</v>
      </c>
      <c r="D45" s="2">
        <v>7716.616</v>
      </c>
      <c r="E45" s="2">
        <v>102779.63</v>
      </c>
      <c r="F45" s="2">
        <v>101378.798</v>
      </c>
      <c r="G45" s="2">
        <v>109615.925</v>
      </c>
      <c r="H45" s="2">
        <v>71.7</v>
      </c>
      <c r="I45" s="2">
        <v>1.5309999999999999</v>
      </c>
      <c r="J45" s="2">
        <f>LEFT(A45,4)*1</f>
        <v>2019</v>
      </c>
      <c r="K45" s="2">
        <f>RIGHT(A45,2)*1</f>
        <v>5</v>
      </c>
      <c r="L45" s="2" t="str">
        <f t="shared" si="2"/>
        <v>Printemps</v>
      </c>
      <c r="M45" s="2" t="str">
        <f t="shared" si="3"/>
        <v>Chauffe</v>
      </c>
      <c r="V45" s="2">
        <v>71.7</v>
      </c>
      <c r="W45" s="2">
        <v>101378.798</v>
      </c>
    </row>
    <row r="46" spans="1:23">
      <c r="A46" s="2" t="s">
        <v>52</v>
      </c>
      <c r="B46" s="2">
        <v>-4459.4430000000002</v>
      </c>
      <c r="C46" s="2">
        <v>1052.0609999999999</v>
      </c>
      <c r="D46" s="2">
        <v>5511.5039999999999</v>
      </c>
      <c r="E46" s="2">
        <v>104711.29300000001</v>
      </c>
      <c r="F46" s="2">
        <v>104769.129</v>
      </c>
      <c r="G46" s="2">
        <v>109389.04399999999</v>
      </c>
      <c r="H46" s="2">
        <v>124.7</v>
      </c>
      <c r="I46" s="2">
        <v>1.0629999999999999</v>
      </c>
      <c r="J46" s="2">
        <f>LEFT(A46,4)*1</f>
        <v>2019</v>
      </c>
      <c r="K46" s="2">
        <f>RIGHT(A46,2)*1</f>
        <v>4</v>
      </c>
      <c r="L46" s="2" t="str">
        <f t="shared" si="2"/>
        <v>Printemps</v>
      </c>
      <c r="M46" s="2" t="str">
        <f t="shared" si="3"/>
        <v>Chauffe</v>
      </c>
      <c r="V46" s="2">
        <v>124.7</v>
      </c>
      <c r="W46" s="2">
        <v>104769.129</v>
      </c>
    </row>
    <row r="47" spans="1:23">
      <c r="A47" s="2" t="s">
        <v>53</v>
      </c>
      <c r="B47" s="2">
        <v>-6793.1549999999997</v>
      </c>
      <c r="C47" s="2">
        <v>649.61800000000005</v>
      </c>
      <c r="D47" s="2">
        <v>7442.7719999999999</v>
      </c>
      <c r="E47" s="2">
        <v>116993.12300000001</v>
      </c>
      <c r="F47" s="2">
        <v>118562.564</v>
      </c>
      <c r="G47" s="2">
        <v>109067.954</v>
      </c>
      <c r="H47" s="2">
        <v>171.3</v>
      </c>
      <c r="I47" s="2">
        <v>0.85399999999999998</v>
      </c>
      <c r="J47" s="2">
        <f>LEFT(A47,4)*1</f>
        <v>2019</v>
      </c>
      <c r="K47" s="2">
        <f>RIGHT(A47,2)*1</f>
        <v>3</v>
      </c>
      <c r="L47" s="2" t="str">
        <f t="shared" si="2"/>
        <v>Printemps</v>
      </c>
      <c r="M47" s="2" t="str">
        <f t="shared" si="3"/>
        <v>Chauffe</v>
      </c>
      <c r="V47" s="2">
        <v>171.3</v>
      </c>
      <c r="W47" s="2">
        <v>118562.564</v>
      </c>
    </row>
    <row r="48" spans="1:23">
      <c r="A48" s="2" t="s">
        <v>54</v>
      </c>
      <c r="B48" s="2">
        <v>-5526.15</v>
      </c>
      <c r="C48" s="2">
        <v>961.48900000000003</v>
      </c>
      <c r="D48" s="2">
        <v>6487.6390000000001</v>
      </c>
      <c r="E48" s="2">
        <v>117336.874</v>
      </c>
      <c r="F48" s="2">
        <v>119624.963</v>
      </c>
      <c r="G48" s="2">
        <v>107841.466</v>
      </c>
      <c r="H48" s="2">
        <v>209.8</v>
      </c>
      <c r="I48" s="2">
        <v>0.81399999999999995</v>
      </c>
      <c r="J48" s="2">
        <f>LEFT(A48,4)*1</f>
        <v>2019</v>
      </c>
      <c r="K48" s="2">
        <f>RIGHT(A48,2)*1</f>
        <v>2</v>
      </c>
      <c r="L48" s="2" t="str">
        <f t="shared" si="2"/>
        <v>Hiver</v>
      </c>
      <c r="M48" s="2" t="str">
        <f t="shared" si="3"/>
        <v>Chauffe</v>
      </c>
      <c r="V48" s="2">
        <v>209.8</v>
      </c>
      <c r="W48" s="2">
        <v>119624.963</v>
      </c>
    </row>
    <row r="49" spans="1:23">
      <c r="A49" s="2" t="s">
        <v>55</v>
      </c>
      <c r="B49" s="2">
        <v>-1334.049</v>
      </c>
      <c r="C49" s="2">
        <v>2744.5439999999999</v>
      </c>
      <c r="D49" s="2">
        <v>4078.5929999999998</v>
      </c>
      <c r="E49" s="2">
        <v>134641.361</v>
      </c>
      <c r="F49" s="2">
        <v>133434.58600000001</v>
      </c>
      <c r="G49" s="2">
        <v>105322.81</v>
      </c>
      <c r="H49" s="2">
        <v>338.4</v>
      </c>
      <c r="I49" s="2">
        <v>1.085</v>
      </c>
      <c r="J49" s="2">
        <f>LEFT(A49,4)*1</f>
        <v>2019</v>
      </c>
      <c r="K49" s="2">
        <f>RIGHT(A49,2)*1</f>
        <v>1</v>
      </c>
      <c r="L49" s="2" t="str">
        <f t="shared" si="2"/>
        <v>Hiver</v>
      </c>
      <c r="M49" s="2" t="str">
        <f t="shared" si="3"/>
        <v>Chauffe</v>
      </c>
      <c r="V49" s="2">
        <v>338.4</v>
      </c>
      <c r="W49" s="2">
        <v>133434.58600000001</v>
      </c>
    </row>
    <row r="50" spans="1:23">
      <c r="A50" s="2" t="s">
        <v>56</v>
      </c>
      <c r="B50" s="2">
        <v>-5243.6080000000002</v>
      </c>
      <c r="C50" s="2">
        <v>1232.1859999999999</v>
      </c>
      <c r="D50" s="2">
        <v>6475.7929999999997</v>
      </c>
      <c r="E50" s="2">
        <v>127457.557</v>
      </c>
      <c r="F50" s="2">
        <v>128804.89200000001</v>
      </c>
      <c r="G50" s="2">
        <v>110278.423</v>
      </c>
      <c r="H50" s="2">
        <v>242.9</v>
      </c>
      <c r="I50" s="2">
        <v>0.84499999999999997</v>
      </c>
      <c r="J50" s="2">
        <f>LEFT(A50,4)*1</f>
        <v>2018</v>
      </c>
      <c r="K50" s="2">
        <f>RIGHT(A50,2)*1</f>
        <v>12</v>
      </c>
      <c r="L50" s="2" t="str">
        <f t="shared" si="2"/>
        <v>Hiver</v>
      </c>
      <c r="M50" s="2" t="str">
        <f t="shared" si="3"/>
        <v>Chauffe</v>
      </c>
      <c r="V50" s="2">
        <v>242.9</v>
      </c>
      <c r="W50" s="2">
        <v>128804.89200000001</v>
      </c>
    </row>
    <row r="51" spans="1:23">
      <c r="A51" s="2" t="s">
        <v>57</v>
      </c>
      <c r="B51" s="2">
        <v>-1924.5160000000001</v>
      </c>
      <c r="C51" s="2">
        <v>2068.6289999999999</v>
      </c>
      <c r="D51" s="2">
        <v>3993.1460000000002</v>
      </c>
      <c r="E51" s="2">
        <v>109432.099</v>
      </c>
      <c r="F51" s="2">
        <v>110141.77800000001</v>
      </c>
      <c r="G51" s="2">
        <v>108164.95299999999</v>
      </c>
      <c r="H51" s="2">
        <v>187.1</v>
      </c>
      <c r="I51" s="2">
        <v>0.95499999999999996</v>
      </c>
      <c r="J51" s="2">
        <f>LEFT(A51,4)*1</f>
        <v>2018</v>
      </c>
      <c r="K51" s="2">
        <f>RIGHT(A51,2)*1</f>
        <v>11</v>
      </c>
      <c r="L51" s="2" t="str">
        <f t="shared" si="2"/>
        <v>Automne</v>
      </c>
      <c r="M51" s="2" t="str">
        <f t="shared" si="3"/>
        <v>Chauffe</v>
      </c>
      <c r="V51" s="2">
        <v>187.1</v>
      </c>
      <c r="W51" s="2">
        <v>110141.77800000001</v>
      </c>
    </row>
    <row r="52" spans="1:23">
      <c r="A52" s="2" t="s">
        <v>58</v>
      </c>
      <c r="B52" s="2">
        <v>-4581.1540000000005</v>
      </c>
      <c r="C52" s="2">
        <v>1049.8230000000001</v>
      </c>
      <c r="D52" s="2">
        <v>5630.9769999999999</v>
      </c>
      <c r="E52" s="2">
        <v>102525.152</v>
      </c>
      <c r="F52" s="2">
        <v>103174.075</v>
      </c>
      <c r="G52" s="2">
        <v>108246.447</v>
      </c>
      <c r="H52" s="2" t="s">
        <v>59</v>
      </c>
      <c r="I52" s="2">
        <v>1.024</v>
      </c>
      <c r="J52" s="2">
        <f>LEFT(A52,4)*1</f>
        <v>2018</v>
      </c>
      <c r="K52" s="2">
        <f>RIGHT(A52,2)*1</f>
        <v>10</v>
      </c>
      <c r="L52" s="2" t="str">
        <f t="shared" si="2"/>
        <v>Automne</v>
      </c>
      <c r="M52" s="2" t="str">
        <f t="shared" si="3"/>
        <v>Chauffe</v>
      </c>
      <c r="V52" s="2" t="s">
        <v>59</v>
      </c>
      <c r="W52" s="2">
        <v>103174.075</v>
      </c>
    </row>
    <row r="53" spans="1:23">
      <c r="A53" s="2" t="s">
        <v>60</v>
      </c>
      <c r="B53" s="2">
        <v>-5605.085</v>
      </c>
      <c r="C53" s="2">
        <v>704.05499999999995</v>
      </c>
      <c r="D53" s="2">
        <v>6309.1390000000001</v>
      </c>
      <c r="E53" s="2">
        <v>96436.834000000003</v>
      </c>
      <c r="F53" s="2">
        <v>96200.369000000006</v>
      </c>
      <c r="G53" s="2">
        <v>109831.314</v>
      </c>
      <c r="H53" s="2" t="s">
        <v>2</v>
      </c>
      <c r="I53" s="2" t="s">
        <v>3</v>
      </c>
      <c r="J53" s="2">
        <f>LEFT(A53,4)*1</f>
        <v>2018</v>
      </c>
      <c r="K53" s="2">
        <f>RIGHT(A53,2)*1</f>
        <v>9</v>
      </c>
      <c r="L53" s="2" t="str">
        <f t="shared" si="2"/>
        <v>Automne</v>
      </c>
      <c r="M53" s="2" t="str">
        <f t="shared" si="3"/>
        <v>Hors chauffe</v>
      </c>
      <c r="V53" s="2" t="s">
        <v>2</v>
      </c>
      <c r="W53" s="2">
        <v>96200.369000000006</v>
      </c>
    </row>
    <row r="54" spans="1:23">
      <c r="A54" s="2" t="s">
        <v>61</v>
      </c>
      <c r="B54" s="2">
        <v>-4356.2470000000003</v>
      </c>
      <c r="C54" s="2">
        <v>1174.7539999999999</v>
      </c>
      <c r="D54" s="2">
        <v>5531.0010000000002</v>
      </c>
      <c r="E54" s="2">
        <v>89984.106</v>
      </c>
      <c r="F54" s="2">
        <v>89685.150999999998</v>
      </c>
      <c r="G54" s="2">
        <v>103045.841</v>
      </c>
      <c r="H54" s="2" t="s">
        <v>2</v>
      </c>
      <c r="I54" s="2" t="s">
        <v>3</v>
      </c>
      <c r="J54" s="2">
        <f>LEFT(A54,4)*1</f>
        <v>2018</v>
      </c>
      <c r="K54" s="2">
        <f>RIGHT(A54,2)*1</f>
        <v>8</v>
      </c>
      <c r="L54" s="2" t="str">
        <f t="shared" si="2"/>
        <v>Été</v>
      </c>
      <c r="M54" s="2" t="str">
        <f t="shared" si="3"/>
        <v>Hors chauffe</v>
      </c>
      <c r="V54" s="2" t="s">
        <v>2</v>
      </c>
      <c r="W54" s="2">
        <v>89685.150999999998</v>
      </c>
    </row>
    <row r="55" spans="1:23">
      <c r="A55" s="2" t="s">
        <v>62</v>
      </c>
      <c r="B55" s="2">
        <v>-6262.9780000000001</v>
      </c>
      <c r="C55" s="2">
        <v>728.226</v>
      </c>
      <c r="D55" s="2">
        <v>6991.2039999999997</v>
      </c>
      <c r="E55" s="2">
        <v>97443.006999999998</v>
      </c>
      <c r="F55" s="2">
        <v>97487.360000000001</v>
      </c>
      <c r="G55" s="2">
        <v>108562.613</v>
      </c>
      <c r="H55" s="2" t="s">
        <v>2</v>
      </c>
      <c r="I55" s="2" t="s">
        <v>3</v>
      </c>
      <c r="J55" s="2">
        <f>LEFT(A55,4)*1</f>
        <v>2018</v>
      </c>
      <c r="K55" s="2">
        <f>RIGHT(A55,2)*1</f>
        <v>7</v>
      </c>
      <c r="L55" s="2" t="str">
        <f t="shared" si="2"/>
        <v>Été</v>
      </c>
      <c r="M55" s="2" t="str">
        <f t="shared" si="3"/>
        <v>Hors chauffe</v>
      </c>
      <c r="V55" s="2" t="s">
        <v>2</v>
      </c>
      <c r="W55" s="2">
        <v>97487.360000000001</v>
      </c>
    </row>
    <row r="56" spans="1:23">
      <c r="A56" s="2" t="s">
        <v>63</v>
      </c>
      <c r="B56" s="2">
        <v>-7602.1469999999999</v>
      </c>
      <c r="C56" s="2">
        <v>208.99199999999999</v>
      </c>
      <c r="D56" s="2">
        <v>7811.1390000000001</v>
      </c>
      <c r="E56" s="2">
        <v>94250.131999999998</v>
      </c>
      <c r="F56" s="2">
        <v>93112.986999999994</v>
      </c>
      <c r="G56" s="2">
        <v>107898.71400000001</v>
      </c>
      <c r="H56" s="2" t="s">
        <v>2</v>
      </c>
      <c r="I56" s="2" t="s">
        <v>3</v>
      </c>
      <c r="J56" s="2">
        <f>LEFT(A56,4)*1</f>
        <v>2018</v>
      </c>
      <c r="K56" s="2">
        <f>RIGHT(A56,2)*1</f>
        <v>6</v>
      </c>
      <c r="L56" s="2" t="str">
        <f t="shared" si="2"/>
        <v>Été</v>
      </c>
      <c r="M56" s="2" t="str">
        <f t="shared" si="3"/>
        <v>Hors chauffe</v>
      </c>
      <c r="V56" s="2" t="s">
        <v>2</v>
      </c>
      <c r="W56" s="2">
        <v>93112.986999999994</v>
      </c>
    </row>
    <row r="57" spans="1:23">
      <c r="A57" s="2" t="s">
        <v>64</v>
      </c>
      <c r="B57" s="2">
        <v>-8079.7489999999998</v>
      </c>
      <c r="C57" s="2">
        <v>393.47500000000002</v>
      </c>
      <c r="D57" s="2">
        <v>8473.2240000000002</v>
      </c>
      <c r="E57" s="2">
        <v>100104.52800000001</v>
      </c>
      <c r="F57" s="2">
        <v>101143.84699999999</v>
      </c>
      <c r="G57" s="2">
        <v>109380.995</v>
      </c>
      <c r="H57" s="2">
        <v>37.799999999999997</v>
      </c>
      <c r="I57" s="2">
        <v>0.80700000000000005</v>
      </c>
      <c r="J57" s="2">
        <f>LEFT(A57,4)*1</f>
        <v>2018</v>
      </c>
      <c r="K57" s="2">
        <f>RIGHT(A57,2)*1</f>
        <v>5</v>
      </c>
      <c r="L57" s="2" t="str">
        <f t="shared" si="2"/>
        <v>Printemps</v>
      </c>
      <c r="M57" s="2" t="str">
        <f t="shared" si="3"/>
        <v>Chauffe</v>
      </c>
      <c r="V57" s="2">
        <v>37.799999999999997</v>
      </c>
      <c r="W57" s="2">
        <v>101143.84699999999</v>
      </c>
    </row>
    <row r="58" spans="1:23">
      <c r="A58" s="2" t="s">
        <v>65</v>
      </c>
      <c r="B58" s="2">
        <v>-5810.1959999999999</v>
      </c>
      <c r="C58" s="2">
        <v>647.51300000000003</v>
      </c>
      <c r="D58" s="2">
        <v>6457.7079999999996</v>
      </c>
      <c r="E58" s="2">
        <v>101975.44</v>
      </c>
      <c r="F58" s="2">
        <v>104119.656</v>
      </c>
      <c r="G58" s="2">
        <v>108635.908</v>
      </c>
      <c r="H58" s="2">
        <v>73.3</v>
      </c>
      <c r="I58" s="2">
        <v>0.625</v>
      </c>
      <c r="J58" s="2">
        <f>LEFT(A58,4)*1</f>
        <v>2018</v>
      </c>
      <c r="K58" s="2">
        <f>RIGHT(A58,2)*1</f>
        <v>4</v>
      </c>
      <c r="L58" s="2" t="str">
        <f t="shared" si="2"/>
        <v>Printemps</v>
      </c>
      <c r="M58" s="2" t="str">
        <f t="shared" si="3"/>
        <v>Chauffe</v>
      </c>
      <c r="V58" s="2">
        <v>73.3</v>
      </c>
      <c r="W58" s="2">
        <v>104119.656</v>
      </c>
    </row>
    <row r="59" spans="1:23">
      <c r="A59" s="2" t="s">
        <v>66</v>
      </c>
      <c r="B59" s="2">
        <v>-3394.0329999999999</v>
      </c>
      <c r="C59" s="2">
        <v>1914.9570000000001</v>
      </c>
      <c r="D59" s="2">
        <v>5308.9889999999996</v>
      </c>
      <c r="E59" s="2">
        <v>121088.981</v>
      </c>
      <c r="F59" s="2">
        <v>119066.515</v>
      </c>
      <c r="G59" s="2">
        <v>108851.368</v>
      </c>
      <c r="H59" s="2">
        <v>234.4</v>
      </c>
      <c r="I59" s="2">
        <v>1.169</v>
      </c>
      <c r="J59" s="2">
        <f>LEFT(A59,4)*1</f>
        <v>2018</v>
      </c>
      <c r="K59" s="2">
        <f>RIGHT(A59,2)*1</f>
        <v>3</v>
      </c>
      <c r="L59" s="2" t="str">
        <f t="shared" si="2"/>
        <v>Printemps</v>
      </c>
      <c r="M59" s="2" t="str">
        <f t="shared" si="3"/>
        <v>Chauffe</v>
      </c>
      <c r="V59" s="2">
        <v>234.4</v>
      </c>
      <c r="W59" s="2">
        <v>119066.515</v>
      </c>
    </row>
    <row r="60" spans="1:23">
      <c r="A60" s="2" t="s">
        <v>67</v>
      </c>
      <c r="B60" s="2">
        <v>-3128.7020000000002</v>
      </c>
      <c r="C60" s="2">
        <v>2115.6759999999999</v>
      </c>
      <c r="D60" s="2">
        <v>5244.3779999999997</v>
      </c>
      <c r="E60" s="2">
        <v>122774.9</v>
      </c>
      <c r="F60" s="2">
        <v>121378.588</v>
      </c>
      <c r="G60" s="2">
        <v>109910.861</v>
      </c>
      <c r="H60" s="2">
        <v>344.7</v>
      </c>
      <c r="I60" s="2">
        <v>1.337</v>
      </c>
      <c r="J60" s="2">
        <f>LEFT(A60,4)*1</f>
        <v>2018</v>
      </c>
      <c r="K60" s="2">
        <f>RIGHT(A60,2)*1</f>
        <v>2</v>
      </c>
      <c r="L60" s="2" t="str">
        <f t="shared" si="2"/>
        <v>Hiver</v>
      </c>
      <c r="M60" s="2" t="str">
        <f t="shared" si="3"/>
        <v>Chauffe</v>
      </c>
      <c r="V60" s="2">
        <v>344.7</v>
      </c>
      <c r="W60" s="2">
        <v>121378.588</v>
      </c>
    </row>
    <row r="61" spans="1:23">
      <c r="A61" s="2" t="s">
        <v>68</v>
      </c>
      <c r="B61" s="2">
        <v>-7291.8630000000003</v>
      </c>
      <c r="C61" s="2">
        <v>590.11900000000003</v>
      </c>
      <c r="D61" s="2">
        <v>7881.9830000000002</v>
      </c>
      <c r="E61" s="2">
        <v>133777.274</v>
      </c>
      <c r="F61" s="2">
        <v>137924.897</v>
      </c>
      <c r="G61" s="2">
        <v>109489.504</v>
      </c>
      <c r="H61" s="2">
        <v>223.9</v>
      </c>
      <c r="I61" s="2">
        <v>0.71799999999999997</v>
      </c>
      <c r="J61" s="2">
        <f>LEFT(A61,4)*1</f>
        <v>2018</v>
      </c>
      <c r="K61" s="2">
        <f>RIGHT(A61,2)*1</f>
        <v>1</v>
      </c>
      <c r="L61" s="2" t="str">
        <f t="shared" si="2"/>
        <v>Hiver</v>
      </c>
      <c r="M61" s="2" t="str">
        <f t="shared" si="3"/>
        <v>Chauffe</v>
      </c>
      <c r="V61" s="2">
        <v>223.9</v>
      </c>
      <c r="W61" s="2">
        <v>137924.897</v>
      </c>
    </row>
    <row r="62" spans="1:23">
      <c r="A62" s="2" t="s">
        <v>69</v>
      </c>
      <c r="B62" s="2">
        <v>-939.16800000000001</v>
      </c>
      <c r="C62" s="2">
        <v>2982.3159999999998</v>
      </c>
      <c r="D62" s="2">
        <v>3921.4839999999999</v>
      </c>
      <c r="E62" s="2">
        <v>126655.318</v>
      </c>
      <c r="F62" s="2">
        <v>126402.583</v>
      </c>
      <c r="G62" s="2">
        <v>107272.197</v>
      </c>
      <c r="H62" s="2">
        <v>298.2</v>
      </c>
      <c r="I62" s="2">
        <v>1.038</v>
      </c>
      <c r="J62" s="2">
        <f>LEFT(A62,4)*1</f>
        <v>2017</v>
      </c>
      <c r="K62" s="2">
        <f>RIGHT(A62,2)*1</f>
        <v>12</v>
      </c>
      <c r="L62" s="2" t="str">
        <f t="shared" si="2"/>
        <v>Hiver</v>
      </c>
      <c r="M62" s="2" t="str">
        <f t="shared" si="3"/>
        <v>Chauffe</v>
      </c>
      <c r="V62" s="2">
        <v>298.2</v>
      </c>
      <c r="W62" s="2">
        <v>126402.583</v>
      </c>
    </row>
    <row r="63" spans="1:23">
      <c r="A63" s="2" t="s">
        <v>70</v>
      </c>
      <c r="B63" s="2">
        <v>548.25099999999998</v>
      </c>
      <c r="C63" s="2">
        <v>3651.65</v>
      </c>
      <c r="D63" s="2">
        <v>3103.4</v>
      </c>
      <c r="E63" s="2">
        <v>103916.826</v>
      </c>
      <c r="F63" s="2">
        <v>103027.705</v>
      </c>
      <c r="G63" s="2">
        <v>100665.726</v>
      </c>
      <c r="H63" s="2">
        <v>218.7</v>
      </c>
      <c r="I63" s="2">
        <v>1.117</v>
      </c>
      <c r="J63" s="2">
        <f>LEFT(A63,4)*1</f>
        <v>2017</v>
      </c>
      <c r="K63" s="2">
        <f>RIGHT(A63,2)*1</f>
        <v>11</v>
      </c>
      <c r="L63" s="2" t="str">
        <f t="shared" si="2"/>
        <v>Automne</v>
      </c>
      <c r="M63" s="2" t="str">
        <f t="shared" si="3"/>
        <v>Chauffe</v>
      </c>
      <c r="V63" s="2">
        <v>218.7</v>
      </c>
      <c r="W63" s="2">
        <v>103027.705</v>
      </c>
    </row>
    <row r="64" spans="1:23">
      <c r="A64" s="2" t="s">
        <v>71</v>
      </c>
      <c r="B64" s="2">
        <v>-2422.4949999999999</v>
      </c>
      <c r="C64" s="2">
        <v>1979.086</v>
      </c>
      <c r="D64" s="2">
        <v>4401.5810000000001</v>
      </c>
      <c r="E64" s="2">
        <v>92615.293999999994</v>
      </c>
      <c r="F64" s="2">
        <v>94094.212</v>
      </c>
      <c r="G64" s="2">
        <v>99732.566000000006</v>
      </c>
      <c r="H64" s="2" t="s">
        <v>72</v>
      </c>
      <c r="I64" s="2">
        <v>0.71399999999999997</v>
      </c>
      <c r="J64" s="2">
        <f>LEFT(A64,4)*1</f>
        <v>2017</v>
      </c>
      <c r="K64" s="2">
        <f>RIGHT(A64,2)*1</f>
        <v>10</v>
      </c>
      <c r="L64" s="2" t="str">
        <f t="shared" si="2"/>
        <v>Automne</v>
      </c>
      <c r="M64" s="2" t="str">
        <f t="shared" si="3"/>
        <v>Chauffe</v>
      </c>
      <c r="V64" s="2" t="s">
        <v>72</v>
      </c>
      <c r="W64" s="2">
        <v>94094.212</v>
      </c>
    </row>
    <row r="65" spans="1:23">
      <c r="A65" s="2" t="s">
        <v>73</v>
      </c>
      <c r="B65" s="2">
        <v>-4559.3969999999999</v>
      </c>
      <c r="C65" s="2">
        <v>826.80399999999997</v>
      </c>
      <c r="D65" s="2">
        <v>5386.2</v>
      </c>
      <c r="E65" s="2">
        <v>94590.9</v>
      </c>
      <c r="F65" s="2">
        <v>94579.952999999994</v>
      </c>
      <c r="G65" s="2">
        <v>108698.621</v>
      </c>
      <c r="H65" s="2" t="s">
        <v>2</v>
      </c>
      <c r="I65" s="2" t="s">
        <v>3</v>
      </c>
      <c r="J65" s="2">
        <f>LEFT(A65,4)*1</f>
        <v>2017</v>
      </c>
      <c r="K65" s="2">
        <f>RIGHT(A65,2)*1</f>
        <v>9</v>
      </c>
      <c r="L65" s="2" t="str">
        <f t="shared" si="2"/>
        <v>Automne</v>
      </c>
      <c r="M65" s="2" t="str">
        <f t="shared" si="3"/>
        <v>Hors chauffe</v>
      </c>
      <c r="V65" s="2" t="s">
        <v>2</v>
      </c>
      <c r="W65" s="2">
        <v>94579.952999999994</v>
      </c>
    </row>
    <row r="66" spans="1:23">
      <c r="A66" s="2" t="s">
        <v>74</v>
      </c>
      <c r="B66" s="2">
        <v>-4583.0259999999998</v>
      </c>
      <c r="C66" s="2">
        <v>1005.355</v>
      </c>
      <c r="D66" s="2">
        <v>5588.3810000000003</v>
      </c>
      <c r="E66" s="2">
        <v>92456.588000000003</v>
      </c>
      <c r="F66" s="2">
        <v>92577.668999999994</v>
      </c>
      <c r="G66" s="2">
        <v>106148.606</v>
      </c>
      <c r="H66" s="2" t="s">
        <v>2</v>
      </c>
      <c r="I66" s="2" t="s">
        <v>3</v>
      </c>
      <c r="J66" s="2">
        <f>LEFT(A66,4)*1</f>
        <v>2017</v>
      </c>
      <c r="K66" s="2">
        <f>RIGHT(A66,2)*1</f>
        <v>8</v>
      </c>
      <c r="L66" s="2" t="str">
        <f t="shared" si="2"/>
        <v>Été</v>
      </c>
      <c r="M66" s="2" t="str">
        <f t="shared" si="3"/>
        <v>Hors chauffe</v>
      </c>
      <c r="V66" s="2" t="s">
        <v>2</v>
      </c>
      <c r="W66" s="2">
        <v>92577.668999999994</v>
      </c>
    </row>
    <row r="67" spans="1:23">
      <c r="A67" s="2" t="s">
        <v>75</v>
      </c>
      <c r="B67" s="2">
        <v>-4580.8950000000004</v>
      </c>
      <c r="C67" s="2">
        <v>1365.9069999999999</v>
      </c>
      <c r="D67" s="2">
        <v>5946.8019999999997</v>
      </c>
      <c r="E67" s="2">
        <v>92076.452000000005</v>
      </c>
      <c r="F67" s="2">
        <v>91963.101999999999</v>
      </c>
      <c r="G67" s="2">
        <v>102618.921</v>
      </c>
      <c r="H67" s="2" t="s">
        <v>2</v>
      </c>
      <c r="I67" s="2" t="s">
        <v>3</v>
      </c>
      <c r="J67" s="2">
        <f>LEFT(A67,4)*1</f>
        <v>2017</v>
      </c>
      <c r="K67" s="2">
        <f>RIGHT(A67,2)*1</f>
        <v>7</v>
      </c>
      <c r="L67" s="2" t="str">
        <f t="shared" si="2"/>
        <v>Été</v>
      </c>
      <c r="M67" s="2" t="str">
        <f t="shared" si="3"/>
        <v>Hors chauffe</v>
      </c>
      <c r="V67" s="2" t="s">
        <v>2</v>
      </c>
      <c r="W67" s="2">
        <v>91963.101999999999</v>
      </c>
    </row>
    <row r="68" spans="1:23">
      <c r="A68" s="2" t="s">
        <v>76</v>
      </c>
      <c r="B68" s="2">
        <v>-3455.0390000000002</v>
      </c>
      <c r="C68" s="2">
        <v>1244.385</v>
      </c>
      <c r="D68" s="2">
        <v>4699.424</v>
      </c>
      <c r="E68" s="2">
        <v>90192.15</v>
      </c>
      <c r="F68" s="2">
        <v>89238.354000000007</v>
      </c>
      <c r="G68" s="2">
        <v>103719.936</v>
      </c>
      <c r="H68" s="2" t="s">
        <v>2</v>
      </c>
      <c r="I68" s="2" t="s">
        <v>3</v>
      </c>
      <c r="J68" s="2">
        <f>LEFT(A68,4)*1</f>
        <v>2017</v>
      </c>
      <c r="K68" s="2">
        <f>RIGHT(A68,2)*1</f>
        <v>6</v>
      </c>
      <c r="L68" s="2" t="str">
        <f t="shared" si="2"/>
        <v>Été</v>
      </c>
      <c r="M68" s="2" t="str">
        <f t="shared" si="3"/>
        <v>Hors chauffe</v>
      </c>
      <c r="V68" s="2" t="s">
        <v>2</v>
      </c>
      <c r="W68" s="2">
        <v>89238.354000000007</v>
      </c>
    </row>
    <row r="69" spans="1:23">
      <c r="A69" s="2" t="s">
        <v>77</v>
      </c>
      <c r="B69" s="2">
        <v>-5872.107</v>
      </c>
      <c r="C69" s="2">
        <v>668.33399999999995</v>
      </c>
      <c r="D69" s="2">
        <v>6540.4409999999998</v>
      </c>
      <c r="E69" s="2">
        <v>97969.165999999997</v>
      </c>
      <c r="F69" s="2">
        <v>98583.262000000002</v>
      </c>
      <c r="G69" s="2">
        <v>107321.586</v>
      </c>
      <c r="H69" s="2">
        <v>42.1</v>
      </c>
      <c r="I69" s="2">
        <v>0.89900000000000002</v>
      </c>
      <c r="J69" s="2">
        <f>LEFT(A69,4)*1</f>
        <v>2017</v>
      </c>
      <c r="K69" s="2">
        <f>RIGHT(A69,2)*1</f>
        <v>5</v>
      </c>
      <c r="L69" s="2" t="str">
        <f t="shared" si="2"/>
        <v>Printemps</v>
      </c>
      <c r="M69" s="2" t="str">
        <f t="shared" si="3"/>
        <v>Chauffe</v>
      </c>
      <c r="V69" s="2">
        <v>42.1</v>
      </c>
      <c r="W69" s="2">
        <v>98583.262000000002</v>
      </c>
    </row>
    <row r="70" spans="1:23">
      <c r="A70" s="2" t="s">
        <v>78</v>
      </c>
      <c r="B70" s="2">
        <v>-5389.9279999999999</v>
      </c>
      <c r="C70" s="2">
        <v>699.46299999999997</v>
      </c>
      <c r="D70" s="2">
        <v>6089.3909999999996</v>
      </c>
      <c r="E70" s="2">
        <v>102203.06600000001</v>
      </c>
      <c r="F70" s="2">
        <v>101559.806</v>
      </c>
      <c r="G70" s="2">
        <v>106525.92200000001</v>
      </c>
      <c r="H70" s="2">
        <v>134.1</v>
      </c>
      <c r="I70" s="2">
        <v>1.143</v>
      </c>
      <c r="J70" s="2">
        <f>LEFT(A70,4)*1</f>
        <v>2017</v>
      </c>
      <c r="K70" s="2">
        <f>RIGHT(A70,2)*1</f>
        <v>4</v>
      </c>
      <c r="L70" s="2" t="str">
        <f t="shared" si="2"/>
        <v>Printemps</v>
      </c>
      <c r="M70" s="2" t="str">
        <f t="shared" si="3"/>
        <v>Chauffe</v>
      </c>
      <c r="V70" s="2">
        <v>134.1</v>
      </c>
      <c r="W70" s="2">
        <v>101559.806</v>
      </c>
    </row>
    <row r="71" spans="1:23">
      <c r="A71" s="2" t="s">
        <v>79</v>
      </c>
      <c r="B71" s="2">
        <v>-6375.7809999999999</v>
      </c>
      <c r="C71" s="2">
        <v>837.279</v>
      </c>
      <c r="D71" s="2">
        <v>7213.06</v>
      </c>
      <c r="E71" s="2">
        <v>111924.393</v>
      </c>
      <c r="F71" s="2">
        <v>115976.24400000001</v>
      </c>
      <c r="G71" s="2">
        <v>105666.548</v>
      </c>
      <c r="H71" s="2">
        <v>142.80000000000001</v>
      </c>
      <c r="I71" s="2">
        <v>0.71199999999999997</v>
      </c>
      <c r="J71" s="2">
        <f>LEFT(A71,4)*1</f>
        <v>2017</v>
      </c>
      <c r="K71" s="2">
        <f>RIGHT(A71,2)*1</f>
        <v>3</v>
      </c>
      <c r="L71" s="2" t="str">
        <f t="shared" si="2"/>
        <v>Printemps</v>
      </c>
      <c r="M71" s="2" t="str">
        <f t="shared" si="3"/>
        <v>Chauffe</v>
      </c>
      <c r="V71" s="2">
        <v>142.80000000000001</v>
      </c>
      <c r="W71" s="2">
        <v>115976.24400000001</v>
      </c>
    </row>
    <row r="72" spans="1:23">
      <c r="A72" s="2" t="s">
        <v>80</v>
      </c>
      <c r="B72" s="2">
        <v>-3541.9259999999999</v>
      </c>
      <c r="C72" s="2">
        <v>1475.366</v>
      </c>
      <c r="D72" s="2">
        <v>5017.2920000000004</v>
      </c>
      <c r="E72" s="2">
        <v>110917.041</v>
      </c>
      <c r="F72" s="2">
        <v>113502.993</v>
      </c>
      <c r="G72" s="2">
        <v>102220.00900000001</v>
      </c>
      <c r="H72" s="2">
        <v>207.1</v>
      </c>
      <c r="I72" s="2">
        <v>0.80300000000000005</v>
      </c>
      <c r="J72" s="2">
        <f>LEFT(A72,4)*1</f>
        <v>2017</v>
      </c>
      <c r="K72" s="2">
        <f>RIGHT(A72,2)*1</f>
        <v>2</v>
      </c>
      <c r="L72" s="2" t="str">
        <f t="shared" si="2"/>
        <v>Hiver</v>
      </c>
      <c r="M72" s="2" t="str">
        <f t="shared" si="3"/>
        <v>Chauffe</v>
      </c>
      <c r="V72" s="2">
        <v>207.1</v>
      </c>
      <c r="W72" s="2">
        <v>113502.993</v>
      </c>
    </row>
    <row r="73" spans="1:23">
      <c r="A73" s="2" t="s">
        <v>81</v>
      </c>
      <c r="B73" s="2">
        <v>693.50199999999995</v>
      </c>
      <c r="C73" s="2">
        <v>3651.1750000000002</v>
      </c>
      <c r="D73" s="2">
        <v>2957.6729999999998</v>
      </c>
      <c r="E73" s="2">
        <v>136479.58600000001</v>
      </c>
      <c r="F73" s="2">
        <v>132932.36499999999</v>
      </c>
      <c r="G73" s="2">
        <v>104258.58500000001</v>
      </c>
      <c r="H73" s="2">
        <v>391.3</v>
      </c>
      <c r="I73" s="2">
        <v>1.254</v>
      </c>
      <c r="J73" s="2">
        <f>LEFT(A73,4)*1</f>
        <v>2017</v>
      </c>
      <c r="K73" s="2">
        <f>RIGHT(A73,2)*1</f>
        <v>1</v>
      </c>
      <c r="L73" s="2" t="str">
        <f t="shared" si="2"/>
        <v>Hiver</v>
      </c>
      <c r="M73" s="2" t="str">
        <f t="shared" si="3"/>
        <v>Chauffe</v>
      </c>
      <c r="V73" s="2">
        <v>391.3</v>
      </c>
      <c r="W73" s="2">
        <v>132932.36499999999</v>
      </c>
    </row>
    <row r="74" spans="1:23">
      <c r="A74" s="2" t="s">
        <v>82</v>
      </c>
      <c r="B74" s="2">
        <v>-84.533000000000001</v>
      </c>
      <c r="C74" s="2">
        <v>3099.0259999999998</v>
      </c>
      <c r="D74" s="2">
        <v>3183.5590000000002</v>
      </c>
      <c r="E74" s="2">
        <v>122436.844</v>
      </c>
      <c r="F74" s="2">
        <v>121746.79399999999</v>
      </c>
      <c r="G74" s="2" t="s">
        <v>83</v>
      </c>
      <c r="H74" s="2">
        <v>303.2</v>
      </c>
      <c r="I74" s="2">
        <v>1.0549999999999999</v>
      </c>
      <c r="J74" s="2">
        <f>LEFT(A74,4)*1</f>
        <v>2016</v>
      </c>
      <c r="K74" s="2">
        <f>RIGHT(A74,2)*1</f>
        <v>12</v>
      </c>
      <c r="L74" s="2" t="str">
        <f t="shared" si="2"/>
        <v>Hiver</v>
      </c>
      <c r="M74" s="2" t="str">
        <f t="shared" si="3"/>
        <v>Chauffe</v>
      </c>
      <c r="V74" s="2">
        <v>303.2</v>
      </c>
      <c r="W74" s="2">
        <v>121746.79399999999</v>
      </c>
    </row>
    <row r="75" spans="1:23">
      <c r="A75" s="2" t="s">
        <v>84</v>
      </c>
      <c r="B75" s="2">
        <v>-644.34799999999996</v>
      </c>
      <c r="C75" s="2">
        <v>2665.6489999999999</v>
      </c>
      <c r="D75" s="2">
        <v>3309.9969999999998</v>
      </c>
      <c r="E75" s="2">
        <v>105213.95600000001</v>
      </c>
      <c r="F75" s="2">
        <v>105120.86900000001</v>
      </c>
      <c r="G75" s="2">
        <v>102207.58100000001</v>
      </c>
      <c r="H75" s="2">
        <v>203.5</v>
      </c>
      <c r="I75" s="2">
        <v>1.0389999999999999</v>
      </c>
      <c r="J75" s="2">
        <f>LEFT(A75,4)*1</f>
        <v>2016</v>
      </c>
      <c r="K75" s="2">
        <f>RIGHT(A75,2)*1</f>
        <v>11</v>
      </c>
      <c r="L75" s="2" t="str">
        <f t="shared" si="2"/>
        <v>Automne</v>
      </c>
      <c r="M75" s="2" t="str">
        <f t="shared" si="3"/>
        <v>Chauffe</v>
      </c>
      <c r="V75" s="2">
        <v>203.5</v>
      </c>
      <c r="W75" s="2">
        <v>105120.86900000001</v>
      </c>
    </row>
    <row r="76" spans="1:23">
      <c r="A76" s="2" t="s">
        <v>85</v>
      </c>
      <c r="B76" s="2">
        <v>-769.87900000000002</v>
      </c>
      <c r="C76" s="2">
        <v>2446.8589999999999</v>
      </c>
      <c r="D76" s="2">
        <v>3216.7379999999998</v>
      </c>
      <c r="E76" s="2">
        <v>96813.808000000005</v>
      </c>
      <c r="F76" s="2">
        <v>94924.881999999998</v>
      </c>
      <c r="G76" s="2">
        <v>100824.476</v>
      </c>
      <c r="H76" s="2">
        <v>104.8</v>
      </c>
      <c r="I76" s="2">
        <v>1.413</v>
      </c>
      <c r="J76" s="2">
        <f>LEFT(A76,4)*1</f>
        <v>2016</v>
      </c>
      <c r="K76" s="2">
        <f>RIGHT(A76,2)*1</f>
        <v>10</v>
      </c>
      <c r="L76" s="2" t="str">
        <f t="shared" si="2"/>
        <v>Automne</v>
      </c>
      <c r="M76" s="2" t="str">
        <f t="shared" si="3"/>
        <v>Chauffe</v>
      </c>
      <c r="V76" s="2">
        <v>104.8</v>
      </c>
      <c r="W76" s="2">
        <v>94924.881999999998</v>
      </c>
    </row>
    <row r="77" spans="1:23">
      <c r="A77" s="2" t="s">
        <v>86</v>
      </c>
      <c r="B77" s="2">
        <v>-2734.9270000000001</v>
      </c>
      <c r="C77" s="2">
        <v>1594.5550000000001</v>
      </c>
      <c r="D77" s="2">
        <v>4329.482</v>
      </c>
      <c r="E77" s="2">
        <v>87054.266000000003</v>
      </c>
      <c r="F77" s="2">
        <v>87030.551999999996</v>
      </c>
      <c r="G77" s="2">
        <v>101422.32399999999</v>
      </c>
      <c r="H77" s="2" t="s">
        <v>2</v>
      </c>
      <c r="I77" s="2" t="s">
        <v>3</v>
      </c>
      <c r="J77" s="2">
        <f>LEFT(A77,4)*1</f>
        <v>2016</v>
      </c>
      <c r="K77" s="2">
        <f>RIGHT(A77,2)*1</f>
        <v>9</v>
      </c>
      <c r="L77" s="2" t="str">
        <f t="shared" si="2"/>
        <v>Automne</v>
      </c>
      <c r="M77" s="2" t="str">
        <f t="shared" si="3"/>
        <v>Hors chauffe</v>
      </c>
      <c r="V77" s="2" t="s">
        <v>2</v>
      </c>
      <c r="W77" s="2">
        <v>87030.551999999996</v>
      </c>
    </row>
    <row r="78" spans="1:23">
      <c r="A78" s="2" t="s">
        <v>87</v>
      </c>
      <c r="B78" s="2">
        <v>-3405.203</v>
      </c>
      <c r="C78" s="2">
        <v>1483.288</v>
      </c>
      <c r="D78" s="2">
        <v>4888.491</v>
      </c>
      <c r="E78" s="2">
        <v>89413.653999999995</v>
      </c>
      <c r="F78" s="2">
        <v>89063.804999999993</v>
      </c>
      <c r="G78" s="2">
        <v>102761.00599999999</v>
      </c>
      <c r="H78" s="2" t="s">
        <v>2</v>
      </c>
      <c r="I78" s="2" t="s">
        <v>3</v>
      </c>
      <c r="J78" s="2">
        <f>LEFT(A78,4)*1</f>
        <v>2016</v>
      </c>
      <c r="K78" s="2">
        <f>RIGHT(A78,2)*1</f>
        <v>8</v>
      </c>
      <c r="L78" s="2" t="str">
        <f t="shared" si="2"/>
        <v>Été</v>
      </c>
      <c r="M78" s="2" t="str">
        <f t="shared" si="3"/>
        <v>Hors chauffe</v>
      </c>
      <c r="V78" s="2" t="s">
        <v>2</v>
      </c>
      <c r="W78" s="2">
        <v>89063.804999999993</v>
      </c>
    </row>
    <row r="79" spans="1:23">
      <c r="A79" s="2" t="s">
        <v>88</v>
      </c>
      <c r="B79" s="2">
        <v>-4291.3119999999999</v>
      </c>
      <c r="C79" s="2">
        <v>1041.2139999999999</v>
      </c>
      <c r="D79" s="2">
        <v>5332.527</v>
      </c>
      <c r="E79" s="2">
        <v>93515.959000000003</v>
      </c>
      <c r="F79" s="2">
        <v>93365.251999999993</v>
      </c>
      <c r="G79" s="2">
        <v>103445.01</v>
      </c>
      <c r="H79" s="2" t="s">
        <v>2</v>
      </c>
      <c r="I79" s="2" t="s">
        <v>3</v>
      </c>
      <c r="J79" s="2">
        <f>LEFT(A79,4)*1</f>
        <v>2016</v>
      </c>
      <c r="K79" s="2">
        <f>RIGHT(A79,2)*1</f>
        <v>7</v>
      </c>
      <c r="L79" s="2" t="str">
        <f t="shared" si="2"/>
        <v>Été</v>
      </c>
      <c r="M79" s="2" t="str">
        <f t="shared" si="3"/>
        <v>Hors chauffe</v>
      </c>
      <c r="V79" s="2" t="s">
        <v>2</v>
      </c>
      <c r="W79" s="2">
        <v>93365.251999999993</v>
      </c>
    </row>
    <row r="80" spans="1:23">
      <c r="A80" s="2" t="s">
        <v>89</v>
      </c>
      <c r="B80" s="2">
        <v>-6646.8710000000001</v>
      </c>
      <c r="C80" s="2">
        <v>369.81799999999998</v>
      </c>
      <c r="D80" s="2">
        <v>7016.6890000000003</v>
      </c>
      <c r="E80" s="2">
        <v>93933.271999999997</v>
      </c>
      <c r="F80" s="2">
        <v>93667.933999999994</v>
      </c>
      <c r="G80" s="2">
        <v>107893.428</v>
      </c>
      <c r="H80" s="2" t="s">
        <v>2</v>
      </c>
      <c r="I80" s="2" t="s">
        <v>3</v>
      </c>
      <c r="J80" s="2">
        <f>LEFT(A80,4)*1</f>
        <v>2016</v>
      </c>
      <c r="K80" s="2">
        <f>RIGHT(A80,2)*1</f>
        <v>6</v>
      </c>
      <c r="L80" s="2" t="str">
        <f t="shared" si="2"/>
        <v>Été</v>
      </c>
      <c r="M80" s="2" t="str">
        <f t="shared" si="3"/>
        <v>Hors chauffe</v>
      </c>
      <c r="V80" s="2" t="s">
        <v>2</v>
      </c>
      <c r="W80" s="2">
        <v>93667.933999999994</v>
      </c>
    </row>
    <row r="81" spans="1:23">
      <c r="A81" s="2" t="s">
        <v>90</v>
      </c>
      <c r="B81" s="2">
        <v>-5265.884</v>
      </c>
      <c r="C81" s="2">
        <v>815.10599999999999</v>
      </c>
      <c r="D81" s="2">
        <v>6080.9889999999996</v>
      </c>
      <c r="E81" s="2">
        <v>97698.001000000004</v>
      </c>
      <c r="F81" s="2">
        <v>97483.324999999997</v>
      </c>
      <c r="G81" s="2">
        <v>106904.762</v>
      </c>
      <c r="H81" s="2">
        <v>50.4</v>
      </c>
      <c r="I81" s="2">
        <v>1.0760000000000001</v>
      </c>
      <c r="J81" s="2">
        <f>LEFT(A81,4)*1</f>
        <v>2016</v>
      </c>
      <c r="K81" s="2">
        <f>RIGHT(A81,2)*1</f>
        <v>5</v>
      </c>
      <c r="L81" s="2" t="str">
        <f t="shared" si="2"/>
        <v>Printemps</v>
      </c>
      <c r="M81" s="2" t="str">
        <f t="shared" si="3"/>
        <v>Chauffe</v>
      </c>
      <c r="V81" s="2">
        <v>50.4</v>
      </c>
      <c r="W81" s="2">
        <v>97483.324999999997</v>
      </c>
    </row>
    <row r="82" spans="1:23">
      <c r="A82" s="2" t="s">
        <v>91</v>
      </c>
      <c r="B82" s="2">
        <v>-3721.056</v>
      </c>
      <c r="C82" s="2">
        <v>1576.5830000000001</v>
      </c>
      <c r="D82" s="2">
        <v>5297.6379999999999</v>
      </c>
      <c r="E82" s="2">
        <v>103800.23</v>
      </c>
      <c r="F82" s="2">
        <v>102910.13</v>
      </c>
      <c r="G82" s="2">
        <v>108494.361</v>
      </c>
      <c r="H82" s="2">
        <v>143.1</v>
      </c>
      <c r="I82" s="2">
        <v>1.2190000000000001</v>
      </c>
      <c r="J82" s="2">
        <f>LEFT(A82,4)*1</f>
        <v>2016</v>
      </c>
      <c r="K82" s="2">
        <f>RIGHT(A82,2)*1</f>
        <v>4</v>
      </c>
      <c r="L82" s="2" t="str">
        <f t="shared" si="2"/>
        <v>Printemps</v>
      </c>
      <c r="M82" s="2" t="str">
        <f t="shared" si="3"/>
        <v>Chauffe</v>
      </c>
      <c r="V82" s="2">
        <v>143.1</v>
      </c>
      <c r="W82" s="2">
        <v>102910.13</v>
      </c>
    </row>
    <row r="83" spans="1:23">
      <c r="A83" s="2" t="s">
        <v>92</v>
      </c>
      <c r="B83" s="2">
        <v>-4245.5749999999998</v>
      </c>
      <c r="C83" s="2">
        <v>1423.5419999999999</v>
      </c>
      <c r="D83" s="2">
        <v>5669.1170000000002</v>
      </c>
      <c r="E83" s="2">
        <v>123271.711</v>
      </c>
      <c r="F83" s="2">
        <v>120861.255</v>
      </c>
      <c r="G83" s="2">
        <v>110882.891</v>
      </c>
      <c r="H83" s="2">
        <v>241.2</v>
      </c>
      <c r="I83" s="2">
        <v>1.2030000000000001</v>
      </c>
      <c r="J83" s="2">
        <f>LEFT(A83,4)*1</f>
        <v>2016</v>
      </c>
      <c r="K83" s="2">
        <f>RIGHT(A83,2)*1</f>
        <v>3</v>
      </c>
      <c r="L83" s="2" t="str">
        <f t="shared" si="2"/>
        <v>Printemps</v>
      </c>
      <c r="M83" s="2" t="str">
        <f t="shared" si="3"/>
        <v>Chauffe</v>
      </c>
      <c r="V83" s="2">
        <v>241.2</v>
      </c>
      <c r="W83" s="2">
        <v>120861.255</v>
      </c>
    </row>
    <row r="84" spans="1:23">
      <c r="A84" s="2" t="s">
        <v>93</v>
      </c>
      <c r="B84" s="2">
        <v>-4951.8760000000002</v>
      </c>
      <c r="C84" s="2">
        <v>1171.5630000000001</v>
      </c>
      <c r="D84" s="2">
        <v>6123.4390000000003</v>
      </c>
      <c r="E84" s="2">
        <v>123506.2</v>
      </c>
      <c r="F84" s="2">
        <v>121057.969</v>
      </c>
      <c r="G84" s="2">
        <v>109965.639</v>
      </c>
      <c r="H84" s="2">
        <v>242.7</v>
      </c>
      <c r="I84" s="2">
        <v>0.94099999999999995</v>
      </c>
      <c r="J84" s="2">
        <f>LEFT(A84,4)*1</f>
        <v>2016</v>
      </c>
      <c r="K84" s="2">
        <f>RIGHT(A84,2)*1</f>
        <v>2</v>
      </c>
      <c r="L84" s="2" t="str">
        <f t="shared" si="2"/>
        <v>Hiver</v>
      </c>
      <c r="M84" s="2" t="str">
        <f t="shared" si="3"/>
        <v>Chauffe</v>
      </c>
      <c r="V84" s="2">
        <v>242.7</v>
      </c>
      <c r="W84" s="2">
        <v>121057.969</v>
      </c>
    </row>
    <row r="85" spans="1:23">
      <c r="A85" s="2" t="s">
        <v>94</v>
      </c>
      <c r="B85" s="2">
        <v>-5105.2759999999998</v>
      </c>
      <c r="C85" s="2">
        <v>1483.518</v>
      </c>
      <c r="D85" s="2">
        <v>6588.7939999999999</v>
      </c>
      <c r="E85" s="2">
        <v>135454.74100000001</v>
      </c>
      <c r="F85" s="2">
        <v>137200.48300000001</v>
      </c>
      <c r="G85" s="2">
        <v>108402.44500000001</v>
      </c>
      <c r="H85" s="2">
        <v>269.60000000000002</v>
      </c>
      <c r="I85" s="2">
        <v>0.86399999999999999</v>
      </c>
      <c r="J85" s="2">
        <f>LEFT(A85,4)*1</f>
        <v>2016</v>
      </c>
      <c r="K85" s="2">
        <f>RIGHT(A85,2)*1</f>
        <v>1</v>
      </c>
      <c r="L85" s="2" t="str">
        <f t="shared" si="2"/>
        <v>Hiver</v>
      </c>
      <c r="M85" s="2" t="str">
        <f t="shared" si="3"/>
        <v>Chauffe</v>
      </c>
      <c r="V85" s="2">
        <v>269.60000000000002</v>
      </c>
      <c r="W85" s="2">
        <v>137200.48300000001</v>
      </c>
    </row>
    <row r="86" spans="1:23">
      <c r="A86" s="2" t="s">
        <v>95</v>
      </c>
      <c r="B86" s="2">
        <v>-6359.0739999999996</v>
      </c>
      <c r="C86" s="2">
        <v>704.26700000000005</v>
      </c>
      <c r="D86" s="2">
        <v>7063.3410000000003</v>
      </c>
      <c r="E86" s="2">
        <v>128042.166</v>
      </c>
      <c r="F86" s="2">
        <v>131878.228</v>
      </c>
      <c r="G86" s="2">
        <v>111549.23299999999</v>
      </c>
      <c r="H86" s="2">
        <v>176.2</v>
      </c>
      <c r="I86" s="2">
        <v>0.61299999999999999</v>
      </c>
      <c r="J86" s="2">
        <f>LEFT(A86,4)*1</f>
        <v>2015</v>
      </c>
      <c r="K86" s="2">
        <f>RIGHT(A86,2)*1</f>
        <v>12</v>
      </c>
      <c r="L86" s="2" t="str">
        <f t="shared" si="2"/>
        <v>Hiver</v>
      </c>
      <c r="M86" s="2" t="str">
        <f t="shared" si="3"/>
        <v>Chauffe</v>
      </c>
      <c r="V86" s="2">
        <v>176.2</v>
      </c>
      <c r="W86" s="2">
        <v>131878.228</v>
      </c>
    </row>
    <row r="87" spans="1:23">
      <c r="A87" s="2" t="s">
        <v>96</v>
      </c>
      <c r="B87" s="2">
        <v>-5960.7330000000002</v>
      </c>
      <c r="C87" s="2">
        <v>838.00099999999998</v>
      </c>
      <c r="D87" s="2">
        <v>6798.7340000000004</v>
      </c>
      <c r="E87" s="2">
        <v>113844.57</v>
      </c>
      <c r="F87" s="2">
        <v>117025.652</v>
      </c>
      <c r="G87" s="2">
        <v>113464.683</v>
      </c>
      <c r="H87" s="2">
        <v>135.4</v>
      </c>
      <c r="I87" s="2">
        <v>0.69099999999999995</v>
      </c>
      <c r="J87" s="2">
        <f>LEFT(A87,4)*1</f>
        <v>2015</v>
      </c>
      <c r="K87" s="2">
        <f>RIGHT(A87,2)*1</f>
        <v>11</v>
      </c>
      <c r="L87" s="2" t="str">
        <f t="shared" si="2"/>
        <v>Automne</v>
      </c>
      <c r="M87" s="2" t="str">
        <f t="shared" si="3"/>
        <v>Chauffe</v>
      </c>
      <c r="V87" s="2">
        <v>135.4</v>
      </c>
      <c r="W87" s="2">
        <v>117025.652</v>
      </c>
    </row>
    <row r="88" spans="1:23">
      <c r="A88" s="2" t="s">
        <v>97</v>
      </c>
      <c r="B88" s="2">
        <v>-4904.5029999999997</v>
      </c>
      <c r="C88" s="2">
        <v>972.39499999999998</v>
      </c>
      <c r="D88" s="2">
        <v>5876.8980000000001</v>
      </c>
      <c r="E88" s="2">
        <v>110327.49800000001</v>
      </c>
      <c r="F88" s="2">
        <v>108690.212</v>
      </c>
      <c r="G88" s="2">
        <v>114590.811</v>
      </c>
      <c r="H88" s="2" t="s">
        <v>98</v>
      </c>
      <c r="I88" s="2">
        <v>1.415</v>
      </c>
      <c r="J88" s="2">
        <f>LEFT(A88,4)*1</f>
        <v>2015</v>
      </c>
      <c r="K88" s="2">
        <f>RIGHT(A88,2)*1</f>
        <v>10</v>
      </c>
      <c r="L88" s="2" t="str">
        <f t="shared" si="2"/>
        <v>Automne</v>
      </c>
      <c r="M88" s="2" t="str">
        <f t="shared" si="3"/>
        <v>Chauffe</v>
      </c>
      <c r="V88" s="2" t="s">
        <v>98</v>
      </c>
      <c r="W88" s="2">
        <v>108690.212</v>
      </c>
    </row>
    <row r="89" spans="1:23">
      <c r="A89" s="2" t="s">
        <v>99</v>
      </c>
      <c r="B89" s="2">
        <v>-5172.0209999999997</v>
      </c>
      <c r="C89" s="2">
        <v>617.50099999999998</v>
      </c>
      <c r="D89" s="2">
        <v>5789.5219999999999</v>
      </c>
      <c r="E89" s="2">
        <v>98184.475999999995</v>
      </c>
      <c r="F89" s="2">
        <v>98332.945999999996</v>
      </c>
      <c r="G89" s="2">
        <v>112609.50900000001</v>
      </c>
      <c r="H89" s="2" t="s">
        <v>2</v>
      </c>
      <c r="I89" s="2" t="s">
        <v>3</v>
      </c>
      <c r="J89" s="2">
        <f>LEFT(A89,4)*1</f>
        <v>2015</v>
      </c>
      <c r="K89" s="2">
        <f>RIGHT(A89,2)*1</f>
        <v>9</v>
      </c>
      <c r="L89" s="2" t="str">
        <f t="shared" si="2"/>
        <v>Automne</v>
      </c>
      <c r="M89" s="2" t="str">
        <f t="shared" si="3"/>
        <v>Hors chauffe</v>
      </c>
      <c r="V89" s="2" t="s">
        <v>2</v>
      </c>
      <c r="W89" s="2">
        <v>98332.945999999996</v>
      </c>
    </row>
    <row r="90" spans="1:23">
      <c r="A90" s="2" t="s">
        <v>100</v>
      </c>
      <c r="B90" s="2">
        <v>-6873.1270000000004</v>
      </c>
      <c r="C90" s="2">
        <v>319.678</v>
      </c>
      <c r="D90" s="2">
        <v>7192.8040000000001</v>
      </c>
      <c r="E90" s="2">
        <v>100736.81200000001</v>
      </c>
      <c r="F90" s="2">
        <v>100290.107</v>
      </c>
      <c r="G90" s="2">
        <v>114292.88</v>
      </c>
      <c r="H90" s="2" t="s">
        <v>2</v>
      </c>
      <c r="I90" s="2" t="s">
        <v>3</v>
      </c>
      <c r="J90" s="2">
        <f>LEFT(A90,4)*1</f>
        <v>2015</v>
      </c>
      <c r="K90" s="2">
        <f>RIGHT(A90,2)*1</f>
        <v>8</v>
      </c>
      <c r="L90" s="2" t="str">
        <f t="shared" si="2"/>
        <v>Été</v>
      </c>
      <c r="M90" s="2" t="str">
        <f t="shared" si="3"/>
        <v>Hors chauffe</v>
      </c>
      <c r="V90" s="2" t="s">
        <v>2</v>
      </c>
      <c r="W90" s="2">
        <v>100290.107</v>
      </c>
    </row>
    <row r="91" spans="1:23">
      <c r="A91" s="2" t="s">
        <v>101</v>
      </c>
      <c r="B91" s="2">
        <v>-6310.9759999999997</v>
      </c>
      <c r="C91" s="2">
        <v>710.32799999999997</v>
      </c>
      <c r="D91" s="2">
        <v>7021.3040000000001</v>
      </c>
      <c r="E91" s="2">
        <v>106068.93399999999</v>
      </c>
      <c r="F91" s="2">
        <v>106188.031</v>
      </c>
      <c r="G91" s="2">
        <v>115813.732</v>
      </c>
      <c r="H91" s="2" t="s">
        <v>2</v>
      </c>
      <c r="I91" s="2" t="s">
        <v>3</v>
      </c>
      <c r="J91" s="2">
        <f>LEFT(A91,4)*1</f>
        <v>2015</v>
      </c>
      <c r="K91" s="2">
        <f>RIGHT(A91,2)*1</f>
        <v>7</v>
      </c>
      <c r="L91" s="2" t="str">
        <f t="shared" si="2"/>
        <v>Été</v>
      </c>
      <c r="M91" s="2" t="str">
        <f t="shared" si="3"/>
        <v>Hors chauffe</v>
      </c>
      <c r="V91" s="2" t="s">
        <v>2</v>
      </c>
      <c r="W91" s="2">
        <v>106188.031</v>
      </c>
    </row>
    <row r="92" spans="1:23">
      <c r="A92" s="2" t="s">
        <v>102</v>
      </c>
      <c r="B92" s="2">
        <v>-6062.1009999999997</v>
      </c>
      <c r="C92" s="2">
        <v>485.447</v>
      </c>
      <c r="D92" s="2">
        <v>6547.5479999999998</v>
      </c>
      <c r="E92" s="2">
        <v>99620.634999999995</v>
      </c>
      <c r="F92" s="2">
        <v>99228.376999999993</v>
      </c>
      <c r="G92" s="2">
        <v>113327.18</v>
      </c>
      <c r="H92" s="2" t="s">
        <v>2</v>
      </c>
      <c r="I92" s="2" t="s">
        <v>3</v>
      </c>
      <c r="J92" s="2">
        <f>LEFT(A92,4)*1</f>
        <v>2015</v>
      </c>
      <c r="K92" s="2">
        <f>RIGHT(A92,2)*1</f>
        <v>6</v>
      </c>
      <c r="L92" s="2" t="str">
        <f t="shared" ref="L92:L155" si="4">IF(OR(K92=12,K92&lt;=2),"Hiver",IF(K92&lt;=5,"Printemps",IF(K92&lt;=8,"Été","Automne")))</f>
        <v>Été</v>
      </c>
      <c r="M92" s="2" t="str">
        <f t="shared" ref="M92:M155" si="5">IF(AND(K92&gt;=6,K92&lt;=9),"Hors chauffe","Chauffe")</f>
        <v>Hors chauffe</v>
      </c>
      <c r="V92" s="2" t="s">
        <v>2</v>
      </c>
      <c r="W92" s="2">
        <v>99228.376999999993</v>
      </c>
    </row>
    <row r="93" spans="1:23">
      <c r="A93" s="2" t="s">
        <v>103</v>
      </c>
      <c r="B93" s="2">
        <v>-5976.2460000000001</v>
      </c>
      <c r="C93" s="2">
        <v>572.46299999999997</v>
      </c>
      <c r="D93" s="2">
        <v>6548.7089999999998</v>
      </c>
      <c r="E93" s="2">
        <v>99778.245999999999</v>
      </c>
      <c r="F93" s="2">
        <v>99710.020999999993</v>
      </c>
      <c r="G93" s="2">
        <v>109877.06299999999</v>
      </c>
      <c r="H93" s="2">
        <v>43.6</v>
      </c>
      <c r="I93" s="2">
        <v>0.93100000000000005</v>
      </c>
      <c r="J93" s="2">
        <f>LEFT(A93,4)*1</f>
        <v>2015</v>
      </c>
      <c r="K93" s="2">
        <f>RIGHT(A93,2)*1</f>
        <v>5</v>
      </c>
      <c r="L93" s="2" t="str">
        <f t="shared" si="4"/>
        <v>Printemps</v>
      </c>
      <c r="M93" s="2" t="str">
        <f t="shared" si="5"/>
        <v>Chauffe</v>
      </c>
      <c r="V93" s="2">
        <v>43.6</v>
      </c>
      <c r="W93" s="2">
        <v>99710.020999999993</v>
      </c>
    </row>
    <row r="94" spans="1:23">
      <c r="A94" s="2" t="s">
        <v>104</v>
      </c>
      <c r="B94" s="2">
        <v>-4119.9610000000002</v>
      </c>
      <c r="C94" s="2">
        <v>1018.973</v>
      </c>
      <c r="D94" s="2">
        <v>5138.9350000000004</v>
      </c>
      <c r="E94" s="2">
        <v>103159.41899999999</v>
      </c>
      <c r="F94" s="2">
        <v>104238.194</v>
      </c>
      <c r="G94" s="2">
        <v>110352.86500000001</v>
      </c>
      <c r="H94" s="2">
        <v>98.8</v>
      </c>
      <c r="I94" s="2">
        <v>0.84199999999999997</v>
      </c>
      <c r="J94" s="2">
        <f>LEFT(A94,4)*1</f>
        <v>2015</v>
      </c>
      <c r="K94" s="2">
        <f>RIGHT(A94,2)*1</f>
        <v>4</v>
      </c>
      <c r="L94" s="2" t="str">
        <f t="shared" si="4"/>
        <v>Printemps</v>
      </c>
      <c r="M94" s="2" t="str">
        <f t="shared" si="5"/>
        <v>Chauffe</v>
      </c>
      <c r="V94" s="2">
        <v>98.8</v>
      </c>
      <c r="W94" s="2">
        <v>104238.194</v>
      </c>
    </row>
    <row r="95" spans="1:23">
      <c r="A95" s="2" t="s">
        <v>105</v>
      </c>
      <c r="B95" s="2">
        <v>-4351.973</v>
      </c>
      <c r="C95" s="2">
        <v>803.375</v>
      </c>
      <c r="D95" s="2">
        <v>5155.348</v>
      </c>
      <c r="E95" s="2">
        <v>121706.867</v>
      </c>
      <c r="F95" s="2">
        <v>121420.841</v>
      </c>
      <c r="G95" s="2">
        <v>112017.75</v>
      </c>
      <c r="H95" s="2">
        <v>204.8</v>
      </c>
      <c r="I95" s="2">
        <v>1.0209999999999999</v>
      </c>
      <c r="J95" s="2">
        <f>LEFT(A95,4)*1</f>
        <v>2015</v>
      </c>
      <c r="K95" s="2">
        <f>RIGHT(A95,2)*1</f>
        <v>3</v>
      </c>
      <c r="L95" s="2" t="str">
        <f t="shared" si="4"/>
        <v>Printemps</v>
      </c>
      <c r="M95" s="2" t="str">
        <f t="shared" si="5"/>
        <v>Chauffe</v>
      </c>
      <c r="V95" s="2">
        <v>204.8</v>
      </c>
      <c r="W95" s="2">
        <v>121420.841</v>
      </c>
    </row>
    <row r="96" spans="1:23">
      <c r="A96" s="2" t="s">
        <v>106</v>
      </c>
      <c r="B96" s="2">
        <v>-3061.4609999999998</v>
      </c>
      <c r="C96" s="2">
        <v>1446.87</v>
      </c>
      <c r="D96" s="2">
        <v>4508.3310000000001</v>
      </c>
      <c r="E96" s="2">
        <v>124148.576</v>
      </c>
      <c r="F96" s="2">
        <v>124040.258</v>
      </c>
      <c r="G96" s="2">
        <v>112803.235</v>
      </c>
      <c r="H96" s="2">
        <v>299.60000000000002</v>
      </c>
      <c r="I96" s="2">
        <v>1.1619999999999999</v>
      </c>
      <c r="J96" s="2">
        <f>LEFT(A96,4)*1</f>
        <v>2015</v>
      </c>
      <c r="K96" s="2">
        <f>RIGHT(A96,2)*1</f>
        <v>2</v>
      </c>
      <c r="L96" s="2" t="str">
        <f t="shared" si="4"/>
        <v>Hiver</v>
      </c>
      <c r="M96" s="2" t="str">
        <f t="shared" si="5"/>
        <v>Chauffe</v>
      </c>
      <c r="V96" s="2">
        <v>299.60000000000002</v>
      </c>
      <c r="W96" s="2">
        <v>124040.258</v>
      </c>
    </row>
    <row r="97" spans="1:23">
      <c r="A97" s="2" t="s">
        <v>107</v>
      </c>
      <c r="B97" s="2">
        <v>-5183.9030000000002</v>
      </c>
      <c r="C97" s="2">
        <v>720.48</v>
      </c>
      <c r="D97" s="2">
        <v>5904.3829999999998</v>
      </c>
      <c r="E97" s="2">
        <v>142071.63500000001</v>
      </c>
      <c r="F97" s="2">
        <v>142068.386</v>
      </c>
      <c r="G97" s="2">
        <v>113146.59699999999</v>
      </c>
      <c r="H97" s="2">
        <v>310.60000000000002</v>
      </c>
      <c r="I97" s="2">
        <v>0.996</v>
      </c>
      <c r="J97" s="2">
        <f>LEFT(A97,4)*1</f>
        <v>2015</v>
      </c>
      <c r="K97" s="2">
        <f>RIGHT(A97,2)*1</f>
        <v>1</v>
      </c>
      <c r="L97" s="2" t="str">
        <f t="shared" si="4"/>
        <v>Hiver</v>
      </c>
      <c r="M97" s="2" t="str">
        <f t="shared" si="5"/>
        <v>Chauffe</v>
      </c>
      <c r="V97" s="2">
        <v>310.60000000000002</v>
      </c>
      <c r="W97" s="2">
        <v>142068.386</v>
      </c>
    </row>
    <row r="98" spans="1:23">
      <c r="A98" s="2" t="s">
        <v>108</v>
      </c>
      <c r="B98" s="2">
        <v>-4772.4290000000001</v>
      </c>
      <c r="C98" s="2">
        <v>848.553</v>
      </c>
      <c r="D98" s="2">
        <v>5620.982</v>
      </c>
      <c r="E98" s="2">
        <v>135081.851</v>
      </c>
      <c r="F98" s="2">
        <v>135360.068</v>
      </c>
      <c r="G98" s="2">
        <v>114561.08500000001</v>
      </c>
      <c r="H98" s="2">
        <v>287.2</v>
      </c>
      <c r="I98" s="2" t="s">
        <v>3</v>
      </c>
      <c r="J98" s="2">
        <f>LEFT(A98,4)*1</f>
        <v>2014</v>
      </c>
      <c r="K98" s="2">
        <f>RIGHT(A98,2)*1</f>
        <v>12</v>
      </c>
      <c r="L98" s="2" t="str">
        <f t="shared" si="4"/>
        <v>Hiver</v>
      </c>
      <c r="M98" s="2" t="str">
        <f t="shared" si="5"/>
        <v>Chauffe</v>
      </c>
      <c r="V98" s="2">
        <v>287.2</v>
      </c>
      <c r="W98" s="2">
        <v>135360.068</v>
      </c>
    </row>
    <row r="99" spans="1:23">
      <c r="A99" s="2" t="s">
        <v>109</v>
      </c>
      <c r="B99" s="2">
        <v>-5811.5159999999996</v>
      </c>
      <c r="C99" s="2">
        <v>539.66700000000003</v>
      </c>
      <c r="D99" s="2">
        <v>6351.183</v>
      </c>
      <c r="E99" s="2">
        <v>116115.417</v>
      </c>
      <c r="F99" s="2">
        <v>118985.633</v>
      </c>
      <c r="G99" s="2">
        <v>114935.54700000001</v>
      </c>
      <c r="H99" s="2">
        <v>136.4</v>
      </c>
      <c r="I99" s="2">
        <v>0.69699999999999995</v>
      </c>
      <c r="J99" s="2">
        <f>LEFT(A99,4)*1</f>
        <v>2014</v>
      </c>
      <c r="K99" s="2">
        <f>RIGHT(A99,2)*1</f>
        <v>11</v>
      </c>
      <c r="L99" s="2" t="str">
        <f t="shared" si="4"/>
        <v>Automne</v>
      </c>
      <c r="M99" s="2" t="str">
        <f t="shared" si="5"/>
        <v>Chauffe</v>
      </c>
      <c r="V99" s="2">
        <v>136.4</v>
      </c>
      <c r="W99" s="2">
        <v>118985.633</v>
      </c>
    </row>
    <row r="100" spans="1:23">
      <c r="A100" s="2" t="s">
        <v>110</v>
      </c>
      <c r="B100" s="2">
        <v>-4307.7250000000004</v>
      </c>
      <c r="C100" s="2">
        <v>664.57</v>
      </c>
      <c r="D100" s="2">
        <v>4972.2950000000001</v>
      </c>
      <c r="E100" s="2">
        <v>105578.557</v>
      </c>
      <c r="F100" s="2">
        <v>108071.08100000001</v>
      </c>
      <c r="G100" s="2">
        <v>113759.5</v>
      </c>
      <c r="H100" s="2">
        <v>37.9</v>
      </c>
      <c r="I100" s="2">
        <v>0.51100000000000001</v>
      </c>
      <c r="J100" s="2">
        <f>LEFT(A100,4)*1</f>
        <v>2014</v>
      </c>
      <c r="K100" s="2">
        <f>RIGHT(A100,2)*1</f>
        <v>10</v>
      </c>
      <c r="L100" s="2" t="str">
        <f t="shared" si="4"/>
        <v>Automne</v>
      </c>
      <c r="M100" s="2" t="str">
        <f t="shared" si="5"/>
        <v>Chauffe</v>
      </c>
      <c r="V100" s="2">
        <v>37.9</v>
      </c>
      <c r="W100" s="2">
        <v>108071.08100000001</v>
      </c>
    </row>
    <row r="101" spans="1:23">
      <c r="A101" s="2" t="s">
        <v>111</v>
      </c>
      <c r="B101" s="2">
        <v>-5338.1809999999996</v>
      </c>
      <c r="C101" s="2">
        <v>590.88599999999997</v>
      </c>
      <c r="D101" s="2">
        <v>5929.067</v>
      </c>
      <c r="E101" s="2">
        <v>101261.679</v>
      </c>
      <c r="F101" s="2">
        <v>101267.886</v>
      </c>
      <c r="G101" s="2">
        <v>115333.395</v>
      </c>
      <c r="H101" s="2" t="s">
        <v>2</v>
      </c>
      <c r="I101" s="2" t="s">
        <v>3</v>
      </c>
      <c r="J101" s="2">
        <f>LEFT(A101,4)*1</f>
        <v>2014</v>
      </c>
      <c r="K101" s="2">
        <f>RIGHT(A101,2)*1</f>
        <v>9</v>
      </c>
      <c r="L101" s="2" t="str">
        <f t="shared" si="4"/>
        <v>Automne</v>
      </c>
      <c r="M101" s="2" t="str">
        <f t="shared" si="5"/>
        <v>Hors chauffe</v>
      </c>
      <c r="V101" s="2" t="s">
        <v>2</v>
      </c>
      <c r="W101" s="2">
        <v>101267.886</v>
      </c>
    </row>
    <row r="102" spans="1:23">
      <c r="A102" s="2" t="s">
        <v>112</v>
      </c>
      <c r="B102" s="2">
        <v>-7797.7529999999997</v>
      </c>
      <c r="C102" s="2">
        <v>181.583</v>
      </c>
      <c r="D102" s="2">
        <v>7979.3360000000002</v>
      </c>
      <c r="E102" s="2">
        <v>98187.126999999993</v>
      </c>
      <c r="F102" s="2">
        <v>100251.541</v>
      </c>
      <c r="G102" s="2">
        <v>114665.238</v>
      </c>
      <c r="H102" s="2" t="s">
        <v>2</v>
      </c>
      <c r="I102" s="2" t="s">
        <v>3</v>
      </c>
      <c r="J102" s="2">
        <f>LEFT(A102,4)*1</f>
        <v>2014</v>
      </c>
      <c r="K102" s="2">
        <f>RIGHT(A102,2)*1</f>
        <v>8</v>
      </c>
      <c r="L102" s="2" t="str">
        <f t="shared" si="4"/>
        <v>Été</v>
      </c>
      <c r="M102" s="2" t="str">
        <f t="shared" si="5"/>
        <v>Hors chauffe</v>
      </c>
      <c r="V102" s="2" t="s">
        <v>2</v>
      </c>
      <c r="W102" s="2">
        <v>100251.541</v>
      </c>
    </row>
    <row r="103" spans="1:23">
      <c r="A103" s="2" t="s">
        <v>113</v>
      </c>
      <c r="B103" s="2">
        <v>-8166.72</v>
      </c>
      <c r="C103" s="2">
        <v>174.601</v>
      </c>
      <c r="D103" s="2">
        <v>8341.3209999999999</v>
      </c>
      <c r="E103" s="2">
        <v>106277.65300000001</v>
      </c>
      <c r="F103" s="2">
        <v>106406.202</v>
      </c>
      <c r="G103" s="2">
        <v>115743.245</v>
      </c>
      <c r="H103" s="2" t="s">
        <v>2</v>
      </c>
      <c r="I103" s="2" t="s">
        <v>3</v>
      </c>
      <c r="J103" s="2">
        <f>LEFT(A103,4)*1</f>
        <v>2014</v>
      </c>
      <c r="K103" s="2">
        <f>RIGHT(A103,2)*1</f>
        <v>7</v>
      </c>
      <c r="L103" s="2" t="str">
        <f t="shared" si="4"/>
        <v>Été</v>
      </c>
      <c r="M103" s="2" t="str">
        <f t="shared" si="5"/>
        <v>Hors chauffe</v>
      </c>
      <c r="V103" s="2" t="s">
        <v>2</v>
      </c>
      <c r="W103" s="2">
        <v>106406.202</v>
      </c>
    </row>
    <row r="104" spans="1:23">
      <c r="A104" s="2" t="s">
        <v>114</v>
      </c>
      <c r="B104" s="2">
        <v>-6152.4769999999999</v>
      </c>
      <c r="C104" s="2">
        <v>285.11099999999999</v>
      </c>
      <c r="D104" s="2">
        <v>6437.5889999999999</v>
      </c>
      <c r="E104" s="2">
        <v>99437.354999999996</v>
      </c>
      <c r="F104" s="2">
        <v>98834.731</v>
      </c>
      <c r="G104" s="2">
        <v>112839.094</v>
      </c>
      <c r="H104" s="2" t="s">
        <v>2</v>
      </c>
      <c r="I104" s="2" t="s">
        <v>3</v>
      </c>
      <c r="J104" s="2">
        <f>LEFT(A104,4)*1</f>
        <v>2014</v>
      </c>
      <c r="K104" s="2">
        <f>RIGHT(A104,2)*1</f>
        <v>6</v>
      </c>
      <c r="L104" s="2" t="str">
        <f t="shared" si="4"/>
        <v>Été</v>
      </c>
      <c r="M104" s="2" t="str">
        <f t="shared" si="5"/>
        <v>Hors chauffe</v>
      </c>
      <c r="V104" s="2" t="s">
        <v>2</v>
      </c>
      <c r="W104" s="2">
        <v>98834.731</v>
      </c>
    </row>
    <row r="105" spans="1:23">
      <c r="A105" s="2" t="s">
        <v>115</v>
      </c>
      <c r="B105" s="2">
        <v>-6442.7389999999996</v>
      </c>
      <c r="C105" s="2">
        <v>268.97800000000001</v>
      </c>
      <c r="D105" s="2">
        <v>6711.7179999999998</v>
      </c>
      <c r="E105" s="2">
        <v>101145.20299999999</v>
      </c>
      <c r="F105" s="2">
        <v>100689.303</v>
      </c>
      <c r="G105" s="2">
        <v>111272.238</v>
      </c>
      <c r="H105" s="2">
        <v>51.6</v>
      </c>
      <c r="I105" s="2">
        <v>1.1020000000000001</v>
      </c>
      <c r="J105" s="2">
        <f>LEFT(A105,4)*1</f>
        <v>2014</v>
      </c>
      <c r="K105" s="2">
        <f>RIGHT(A105,2)*1</f>
        <v>5</v>
      </c>
      <c r="L105" s="2" t="str">
        <f t="shared" si="4"/>
        <v>Printemps</v>
      </c>
      <c r="M105" s="2" t="str">
        <f t="shared" si="5"/>
        <v>Chauffe</v>
      </c>
      <c r="V105" s="2">
        <v>51.6</v>
      </c>
      <c r="W105" s="2">
        <v>100689.303</v>
      </c>
    </row>
    <row r="106" spans="1:23">
      <c r="A106" s="2" t="s">
        <v>116</v>
      </c>
      <c r="B106" s="2">
        <v>-4020.7539999999999</v>
      </c>
      <c r="C106" s="2">
        <v>655.82799999999997</v>
      </c>
      <c r="D106" s="2">
        <v>4676.5820000000003</v>
      </c>
      <c r="E106" s="2">
        <v>102758.47900000001</v>
      </c>
      <c r="F106" s="2">
        <v>104416.71799999999</v>
      </c>
      <c r="G106" s="2">
        <v>110908.254</v>
      </c>
      <c r="H106" s="2">
        <v>83.8</v>
      </c>
      <c r="I106" s="2">
        <v>0.71399999999999997</v>
      </c>
      <c r="J106" s="2">
        <f>LEFT(A106,4)*1</f>
        <v>2014</v>
      </c>
      <c r="K106" s="2">
        <f>RIGHT(A106,2)*1</f>
        <v>4</v>
      </c>
      <c r="L106" s="2" t="str">
        <f t="shared" si="4"/>
        <v>Printemps</v>
      </c>
      <c r="M106" s="2" t="str">
        <f t="shared" si="5"/>
        <v>Chauffe</v>
      </c>
      <c r="V106" s="2">
        <v>83.8</v>
      </c>
      <c r="W106" s="2">
        <v>104416.71799999999</v>
      </c>
    </row>
    <row r="107" spans="1:23">
      <c r="A107" s="2" t="s">
        <v>117</v>
      </c>
      <c r="B107" s="2">
        <v>-4565.7920000000004</v>
      </c>
      <c r="C107" s="2">
        <v>994.58900000000006</v>
      </c>
      <c r="D107" s="2">
        <v>5560.3810000000003</v>
      </c>
      <c r="E107" s="2">
        <v>117906.035</v>
      </c>
      <c r="F107" s="2">
        <v>119372.99400000001</v>
      </c>
      <c r="G107" s="2">
        <v>110605.872</v>
      </c>
      <c r="H107" s="2">
        <v>175.4</v>
      </c>
      <c r="I107" s="2">
        <v>0.875</v>
      </c>
      <c r="J107" s="2">
        <f>LEFT(A107,4)*1</f>
        <v>2014</v>
      </c>
      <c r="K107" s="2">
        <f>RIGHT(A107,2)*1</f>
        <v>3</v>
      </c>
      <c r="L107" s="2" t="str">
        <f t="shared" si="4"/>
        <v>Printemps</v>
      </c>
      <c r="M107" s="2" t="str">
        <f t="shared" si="5"/>
        <v>Chauffe</v>
      </c>
      <c r="V107" s="2">
        <v>175.4</v>
      </c>
      <c r="W107" s="2">
        <v>119372.99400000001</v>
      </c>
    </row>
    <row r="108" spans="1:23">
      <c r="A108" s="2" t="s">
        <v>118</v>
      </c>
      <c r="B108" s="2">
        <v>-4319.8370000000004</v>
      </c>
      <c r="C108" s="2">
        <v>1172.431</v>
      </c>
      <c r="D108" s="2">
        <v>5492.268</v>
      </c>
      <c r="E108" s="2">
        <v>120855.06600000001</v>
      </c>
      <c r="F108" s="2">
        <v>123315.409</v>
      </c>
      <c r="G108" s="2">
        <v>111938.00199999999</v>
      </c>
      <c r="H108" s="2">
        <v>214.4</v>
      </c>
      <c r="I108" s="2">
        <v>0.83199999999999996</v>
      </c>
      <c r="J108" s="2">
        <f>LEFT(A108,4)*1</f>
        <v>2014</v>
      </c>
      <c r="K108" s="2">
        <f>RIGHT(A108,2)*1</f>
        <v>2</v>
      </c>
      <c r="L108" s="2" t="str">
        <f t="shared" si="4"/>
        <v>Hiver</v>
      </c>
      <c r="M108" s="2" t="str">
        <f t="shared" si="5"/>
        <v>Chauffe</v>
      </c>
      <c r="V108" s="2">
        <v>214.4</v>
      </c>
      <c r="W108" s="2">
        <v>123315.409</v>
      </c>
    </row>
    <row r="109" spans="1:23">
      <c r="A109" s="2" t="s">
        <v>119</v>
      </c>
      <c r="B109" s="2">
        <v>-5882.9790000000003</v>
      </c>
      <c r="C109" s="2">
        <v>788.11199999999997</v>
      </c>
      <c r="D109" s="2">
        <v>6671.0910000000003</v>
      </c>
      <c r="E109" s="2">
        <v>138820.359</v>
      </c>
      <c r="F109" s="2">
        <v>141988.77100000001</v>
      </c>
      <c r="G109" s="2">
        <v>113035.133</v>
      </c>
      <c r="H109" s="2">
        <v>246.8</v>
      </c>
      <c r="I109" s="2">
        <v>0.79100000000000004</v>
      </c>
      <c r="J109" s="2">
        <f>LEFT(A109,4)*1</f>
        <v>2014</v>
      </c>
      <c r="K109" s="2">
        <f>RIGHT(A109,2)*1</f>
        <v>1</v>
      </c>
      <c r="L109" s="2" t="str">
        <f t="shared" si="4"/>
        <v>Hiver</v>
      </c>
      <c r="M109" s="2" t="str">
        <f t="shared" si="5"/>
        <v>Chauffe</v>
      </c>
      <c r="V109" s="2">
        <v>246.8</v>
      </c>
      <c r="W109" s="2">
        <v>141988.77100000001</v>
      </c>
    </row>
    <row r="110" spans="1:23">
      <c r="A110" s="2" t="s">
        <v>120</v>
      </c>
      <c r="B110" s="2">
        <v>-2795.2730000000001</v>
      </c>
      <c r="C110" s="2">
        <v>1723.08</v>
      </c>
      <c r="D110" s="2">
        <v>4518.3530000000001</v>
      </c>
      <c r="E110" s="2">
        <v>133197.56099999999</v>
      </c>
      <c r="F110" s="2">
        <v>133477.69699999999</v>
      </c>
      <c r="G110" s="2">
        <v>112254.537</v>
      </c>
      <c r="H110" s="2">
        <v>278.3</v>
      </c>
      <c r="I110" s="2">
        <v>0.96899999999999997</v>
      </c>
      <c r="J110" s="2">
        <f>LEFT(A110,4)*1</f>
        <v>2013</v>
      </c>
      <c r="K110" s="2">
        <f>RIGHT(A110,2)*1</f>
        <v>12</v>
      </c>
      <c r="L110" s="2" t="str">
        <f t="shared" si="4"/>
        <v>Hiver</v>
      </c>
      <c r="M110" s="2" t="str">
        <f t="shared" si="5"/>
        <v>Chauffe</v>
      </c>
      <c r="V110" s="2">
        <v>278.3</v>
      </c>
      <c r="W110" s="2">
        <v>133477.69699999999</v>
      </c>
    </row>
    <row r="111" spans="1:23">
      <c r="A111" s="2" t="s">
        <v>121</v>
      </c>
      <c r="B111" s="2">
        <v>-2591.2660000000001</v>
      </c>
      <c r="C111" s="2">
        <v>1514.2429999999999</v>
      </c>
      <c r="D111" s="2">
        <v>4105.509</v>
      </c>
      <c r="E111" s="2">
        <v>115749.923</v>
      </c>
      <c r="F111" s="2">
        <v>114378.76700000001</v>
      </c>
      <c r="G111" s="2">
        <v>110009.727</v>
      </c>
      <c r="H111" s="2">
        <v>229.4</v>
      </c>
      <c r="I111" s="2">
        <v>1.171</v>
      </c>
      <c r="J111" s="2">
        <f>LEFT(A111,4)*1</f>
        <v>2013</v>
      </c>
      <c r="K111" s="2">
        <f>RIGHT(A111,2)*1</f>
        <v>11</v>
      </c>
      <c r="L111" s="2" t="str">
        <f t="shared" si="4"/>
        <v>Automne</v>
      </c>
      <c r="M111" s="2" t="str">
        <f t="shared" si="5"/>
        <v>Chauffe</v>
      </c>
      <c r="V111" s="2">
        <v>229.4</v>
      </c>
      <c r="W111" s="2">
        <v>114378.76700000001</v>
      </c>
    </row>
    <row r="112" spans="1:23">
      <c r="A112" s="2" t="s">
        <v>122</v>
      </c>
      <c r="B112" s="2">
        <v>-4103.1080000000002</v>
      </c>
      <c r="C112" s="2">
        <v>734.09199999999998</v>
      </c>
      <c r="D112" s="2">
        <v>4837.201</v>
      </c>
      <c r="E112" s="2">
        <v>101735.049</v>
      </c>
      <c r="F112" s="2">
        <v>103602.09699999999</v>
      </c>
      <c r="G112" s="2">
        <v>109130.04399999999</v>
      </c>
      <c r="H112" s="2">
        <v>52.9</v>
      </c>
      <c r="I112" s="2">
        <v>0.71299999999999997</v>
      </c>
      <c r="J112" s="2">
        <f>LEFT(A112,4)*1</f>
        <v>2013</v>
      </c>
      <c r="K112" s="2">
        <f>RIGHT(A112,2)*1</f>
        <v>10</v>
      </c>
      <c r="L112" s="2" t="str">
        <f t="shared" si="4"/>
        <v>Automne</v>
      </c>
      <c r="M112" s="2" t="str">
        <f t="shared" si="5"/>
        <v>Chauffe</v>
      </c>
      <c r="V112" s="2">
        <v>52.9</v>
      </c>
      <c r="W112" s="2">
        <v>103602.09699999999</v>
      </c>
    </row>
    <row r="113" spans="1:23">
      <c r="A113" s="2" t="s">
        <v>123</v>
      </c>
      <c r="B113" s="2">
        <v>-4904.9030000000002</v>
      </c>
      <c r="C113" s="2">
        <v>400.54199999999997</v>
      </c>
      <c r="D113" s="2">
        <v>5305.4449999999997</v>
      </c>
      <c r="E113" s="2">
        <v>95346.861000000004</v>
      </c>
      <c r="F113" s="2">
        <v>95267.828999999998</v>
      </c>
      <c r="G113" s="2">
        <v>108917.935</v>
      </c>
      <c r="H113" s="2" t="s">
        <v>2</v>
      </c>
      <c r="I113" s="2" t="s">
        <v>3</v>
      </c>
      <c r="J113" s="2">
        <f>LEFT(A113,4)*1</f>
        <v>2013</v>
      </c>
      <c r="K113" s="2">
        <f>RIGHT(A113,2)*1</f>
        <v>9</v>
      </c>
      <c r="L113" s="2" t="str">
        <f t="shared" si="4"/>
        <v>Automne</v>
      </c>
      <c r="M113" s="2" t="str">
        <f t="shared" si="5"/>
        <v>Hors chauffe</v>
      </c>
      <c r="V113" s="2" t="s">
        <v>2</v>
      </c>
      <c r="W113" s="2">
        <v>95267.828999999998</v>
      </c>
    </row>
    <row r="114" spans="1:23">
      <c r="A114" s="2" t="s">
        <v>124</v>
      </c>
      <c r="B114" s="2">
        <v>-6256.6859999999997</v>
      </c>
      <c r="C114" s="2">
        <v>375.25799999999998</v>
      </c>
      <c r="D114" s="2">
        <v>6631.9440000000004</v>
      </c>
      <c r="E114" s="2">
        <v>94914.841</v>
      </c>
      <c r="F114" s="2">
        <v>94410.301000000007</v>
      </c>
      <c r="G114" s="2">
        <v>109274.00199999999</v>
      </c>
      <c r="H114" s="2" t="s">
        <v>2</v>
      </c>
      <c r="I114" s="2" t="s">
        <v>3</v>
      </c>
      <c r="J114" s="2">
        <f>LEFT(A114,4)*1</f>
        <v>2013</v>
      </c>
      <c r="K114" s="2">
        <f>RIGHT(A114,2)*1</f>
        <v>8</v>
      </c>
      <c r="L114" s="2" t="str">
        <f t="shared" si="4"/>
        <v>Été</v>
      </c>
      <c r="M114" s="2" t="str">
        <f t="shared" si="5"/>
        <v>Hors chauffe</v>
      </c>
      <c r="V114" s="2" t="s">
        <v>2</v>
      </c>
      <c r="W114" s="2">
        <v>94410.301000000007</v>
      </c>
    </row>
    <row r="115" spans="1:23">
      <c r="A115" s="2" t="s">
        <v>125</v>
      </c>
      <c r="B115" s="2">
        <v>-5588.9960000000001</v>
      </c>
      <c r="C115" s="2">
        <v>303.29500000000002</v>
      </c>
      <c r="D115" s="2">
        <v>5892.29</v>
      </c>
      <c r="E115" s="2">
        <v>100371.902</v>
      </c>
      <c r="F115" s="2">
        <v>100539.86599999999</v>
      </c>
      <c r="G115" s="2">
        <v>109830.613</v>
      </c>
      <c r="H115" s="2" t="s">
        <v>2</v>
      </c>
      <c r="I115" s="2" t="s">
        <v>3</v>
      </c>
      <c r="J115" s="2">
        <f>LEFT(A115,4)*1</f>
        <v>2013</v>
      </c>
      <c r="K115" s="2">
        <f>RIGHT(A115,2)*1</f>
        <v>7</v>
      </c>
      <c r="L115" s="2" t="str">
        <f t="shared" si="4"/>
        <v>Été</v>
      </c>
      <c r="M115" s="2" t="str">
        <f t="shared" si="5"/>
        <v>Hors chauffe</v>
      </c>
      <c r="V115" s="2" t="s">
        <v>2</v>
      </c>
      <c r="W115" s="2">
        <v>100539.86599999999</v>
      </c>
    </row>
    <row r="116" spans="1:23">
      <c r="A116" s="2" t="s">
        <v>126</v>
      </c>
      <c r="B116" s="2">
        <v>-5750.5749999999998</v>
      </c>
      <c r="C116" s="2">
        <v>284.64100000000002</v>
      </c>
      <c r="D116" s="2">
        <v>6035.2160000000003</v>
      </c>
      <c r="E116" s="2">
        <v>94692.266000000003</v>
      </c>
      <c r="F116" s="2">
        <v>95271.593999999997</v>
      </c>
      <c r="G116" s="2">
        <v>109284.378</v>
      </c>
      <c r="H116" s="2" t="s">
        <v>2</v>
      </c>
      <c r="I116" s="2" t="s">
        <v>3</v>
      </c>
      <c r="J116" s="2">
        <f>LEFT(A116,4)*1</f>
        <v>2013</v>
      </c>
      <c r="K116" s="2">
        <f>RIGHT(A116,2)*1</f>
        <v>6</v>
      </c>
      <c r="L116" s="2" t="str">
        <f t="shared" si="4"/>
        <v>Été</v>
      </c>
      <c r="M116" s="2" t="str">
        <f t="shared" si="5"/>
        <v>Hors chauffe</v>
      </c>
      <c r="V116" s="2" t="s">
        <v>2</v>
      </c>
      <c r="W116" s="2">
        <v>95271.593999999997</v>
      </c>
    </row>
    <row r="117" spans="1:23">
      <c r="A117" s="2" t="s">
        <v>127</v>
      </c>
      <c r="B117" s="2">
        <v>-5848.0720000000001</v>
      </c>
      <c r="C117" s="2">
        <v>474.47500000000002</v>
      </c>
      <c r="D117" s="2">
        <v>6322.5479999999998</v>
      </c>
      <c r="E117" s="2">
        <v>103602.30499999999</v>
      </c>
      <c r="F117" s="2">
        <v>100798.121</v>
      </c>
      <c r="G117" s="2">
        <v>111552.56299999999</v>
      </c>
      <c r="H117" s="2">
        <v>96.9</v>
      </c>
      <c r="I117" s="2">
        <v>2.069</v>
      </c>
      <c r="J117" s="2">
        <f>LEFT(A117,4)*1</f>
        <v>2013</v>
      </c>
      <c r="K117" s="2">
        <f>RIGHT(A117,2)*1</f>
        <v>5</v>
      </c>
      <c r="L117" s="2" t="str">
        <f t="shared" si="4"/>
        <v>Printemps</v>
      </c>
      <c r="M117" s="2" t="str">
        <f t="shared" si="5"/>
        <v>Chauffe</v>
      </c>
      <c r="V117" s="2">
        <v>96.9</v>
      </c>
      <c r="W117" s="2">
        <v>100798.121</v>
      </c>
    </row>
    <row r="118" spans="1:23">
      <c r="A118" s="2" t="s">
        <v>128</v>
      </c>
      <c r="B118" s="2">
        <v>-3292.172</v>
      </c>
      <c r="C118" s="2">
        <v>1061.481</v>
      </c>
      <c r="D118" s="2">
        <v>4353.6540000000005</v>
      </c>
      <c r="E118" s="2">
        <v>105991.14</v>
      </c>
      <c r="F118" s="2">
        <v>105144.986</v>
      </c>
      <c r="G118" s="2">
        <v>111869.943</v>
      </c>
      <c r="H118" s="2">
        <v>151.1</v>
      </c>
      <c r="I118" s="2">
        <v>1.288</v>
      </c>
      <c r="J118" s="2">
        <f>LEFT(A118,4)*1</f>
        <v>2013</v>
      </c>
      <c r="K118" s="2">
        <f>RIGHT(A118,2)*1</f>
        <v>4</v>
      </c>
      <c r="L118" s="2" t="str">
        <f t="shared" si="4"/>
        <v>Printemps</v>
      </c>
      <c r="M118" s="2" t="str">
        <f t="shared" si="5"/>
        <v>Chauffe</v>
      </c>
      <c r="V118" s="2">
        <v>151.1</v>
      </c>
      <c r="W118" s="2">
        <v>105144.986</v>
      </c>
    </row>
    <row r="119" spans="1:23">
      <c r="A119" s="2" t="s">
        <v>129</v>
      </c>
      <c r="B119" s="2">
        <v>-1804.865</v>
      </c>
      <c r="C119" s="2">
        <v>1572.8030000000001</v>
      </c>
      <c r="D119" s="2">
        <v>3377.6680000000001</v>
      </c>
      <c r="E119" s="2">
        <v>123007.485</v>
      </c>
      <c r="F119" s="2">
        <v>117945.99</v>
      </c>
      <c r="G119" s="2">
        <v>109698.455</v>
      </c>
      <c r="H119" s="2">
        <v>273.5</v>
      </c>
      <c r="I119" s="2">
        <v>1.3640000000000001</v>
      </c>
      <c r="J119" s="2">
        <f>LEFT(A119,4)*1</f>
        <v>2013</v>
      </c>
      <c r="K119" s="2">
        <f>RIGHT(A119,2)*1</f>
        <v>3</v>
      </c>
      <c r="L119" s="2" t="str">
        <f t="shared" si="4"/>
        <v>Printemps</v>
      </c>
      <c r="M119" s="2" t="str">
        <f t="shared" si="5"/>
        <v>Chauffe</v>
      </c>
      <c r="V119" s="2">
        <v>273.5</v>
      </c>
      <c r="W119" s="2">
        <v>117945.99</v>
      </c>
    </row>
    <row r="120" spans="1:23">
      <c r="A120" s="2" t="s">
        <v>130</v>
      </c>
      <c r="B120" s="2">
        <v>-2193.0949999999998</v>
      </c>
      <c r="C120" s="2">
        <v>1546.008</v>
      </c>
      <c r="D120" s="2">
        <v>3739.1030000000001</v>
      </c>
      <c r="E120" s="2">
        <v>122679.52</v>
      </c>
      <c r="F120" s="2">
        <v>121653.34600000001</v>
      </c>
      <c r="G120" s="2">
        <v>110008.943</v>
      </c>
      <c r="H120" s="2">
        <v>333.4</v>
      </c>
      <c r="I120" s="2">
        <v>1.2929999999999999</v>
      </c>
      <c r="J120" s="2">
        <f>LEFT(A120,4)*1</f>
        <v>2013</v>
      </c>
      <c r="K120" s="2">
        <f>RIGHT(A120,2)*1</f>
        <v>2</v>
      </c>
      <c r="L120" s="2" t="str">
        <f t="shared" si="4"/>
        <v>Hiver</v>
      </c>
      <c r="M120" s="2" t="str">
        <f t="shared" si="5"/>
        <v>Chauffe</v>
      </c>
      <c r="V120" s="2">
        <v>333.4</v>
      </c>
      <c r="W120" s="2">
        <v>121653.34600000001</v>
      </c>
    </row>
    <row r="121" spans="1:23">
      <c r="A121" s="2" t="s">
        <v>131</v>
      </c>
      <c r="B121" s="2">
        <v>-3566.5219999999999</v>
      </c>
      <c r="C121" s="2">
        <v>961.91300000000001</v>
      </c>
      <c r="D121" s="2">
        <v>4528.4350000000004</v>
      </c>
      <c r="E121" s="2">
        <v>139045.80900000001</v>
      </c>
      <c r="F121" s="2">
        <v>137794.986</v>
      </c>
      <c r="G121" s="2">
        <v>108644.607</v>
      </c>
      <c r="H121" s="2">
        <v>341.4</v>
      </c>
      <c r="I121" s="2">
        <v>1.0940000000000001</v>
      </c>
      <c r="J121" s="2">
        <f>LEFT(A121,4)*1</f>
        <v>2013</v>
      </c>
      <c r="K121" s="2">
        <f>RIGHT(A121,2)*1</f>
        <v>1</v>
      </c>
      <c r="L121" s="2" t="str">
        <f t="shared" si="4"/>
        <v>Hiver</v>
      </c>
      <c r="M121" s="2" t="str">
        <f t="shared" si="5"/>
        <v>Chauffe</v>
      </c>
      <c r="V121" s="2">
        <v>341.4</v>
      </c>
      <c r="W121" s="2">
        <v>137794.986</v>
      </c>
    </row>
    <row r="122" spans="1:23">
      <c r="A122" s="2" t="s">
        <v>132</v>
      </c>
      <c r="B122" s="2">
        <v>-4467.7539999999999</v>
      </c>
      <c r="C122" s="2">
        <v>711.00800000000004</v>
      </c>
      <c r="D122" s="2">
        <v>5178.7619999999997</v>
      </c>
      <c r="E122" s="2">
        <v>130964.61500000001</v>
      </c>
      <c r="F122" s="2">
        <v>131612.47899999999</v>
      </c>
      <c r="G122" s="2">
        <v>110166.101</v>
      </c>
      <c r="H122" s="2">
        <v>270.60000000000002</v>
      </c>
      <c r="I122" s="2">
        <v>0.94199999999999995</v>
      </c>
      <c r="J122" s="2">
        <f>LEFT(A122,4)*1</f>
        <v>2012</v>
      </c>
      <c r="K122" s="2">
        <f>RIGHT(A122,2)*1</f>
        <v>12</v>
      </c>
      <c r="L122" s="2" t="str">
        <f t="shared" si="4"/>
        <v>Hiver</v>
      </c>
      <c r="M122" s="2" t="str">
        <f t="shared" si="5"/>
        <v>Chauffe</v>
      </c>
      <c r="V122" s="2">
        <v>270.60000000000002</v>
      </c>
      <c r="W122" s="2">
        <v>131612.47899999999</v>
      </c>
    </row>
    <row r="123" spans="1:23">
      <c r="A123" s="2" t="s">
        <v>133</v>
      </c>
      <c r="B123" s="2">
        <v>-4413.0339999999997</v>
      </c>
      <c r="C123" s="2">
        <v>663.79899999999998</v>
      </c>
      <c r="D123" s="2">
        <v>5076.8339999999998</v>
      </c>
      <c r="E123" s="2">
        <v>119918.499</v>
      </c>
      <c r="F123" s="2">
        <v>120039.368</v>
      </c>
      <c r="G123" s="2">
        <v>115585.952</v>
      </c>
      <c r="H123" s="2">
        <v>197.8</v>
      </c>
      <c r="I123" s="2">
        <v>1.01</v>
      </c>
      <c r="J123" s="2">
        <f>LEFT(A123,4)*1</f>
        <v>2012</v>
      </c>
      <c r="K123" s="2">
        <f>RIGHT(A123,2)*1</f>
        <v>11</v>
      </c>
      <c r="L123" s="2" t="str">
        <f t="shared" si="4"/>
        <v>Automne</v>
      </c>
      <c r="M123" s="2" t="str">
        <f t="shared" si="5"/>
        <v>Chauffe</v>
      </c>
      <c r="V123" s="2">
        <v>197.8</v>
      </c>
      <c r="W123" s="2">
        <v>120039.368</v>
      </c>
    </row>
    <row r="124" spans="1:23">
      <c r="A124" s="2" t="s">
        <v>134</v>
      </c>
      <c r="B124" s="2">
        <v>-3671.5709999999999</v>
      </c>
      <c r="C124" s="2">
        <v>796.44299999999998</v>
      </c>
      <c r="D124" s="2">
        <v>4468.0140000000001</v>
      </c>
      <c r="E124" s="2">
        <v>107188.084</v>
      </c>
      <c r="F124" s="2">
        <v>107111.125</v>
      </c>
      <c r="G124" s="2">
        <v>112637.58500000001</v>
      </c>
      <c r="H124" s="2">
        <v>87.2</v>
      </c>
      <c r="I124" s="2">
        <v>1.175</v>
      </c>
      <c r="J124" s="2">
        <f>LEFT(A124,4)*1</f>
        <v>2012</v>
      </c>
      <c r="K124" s="2">
        <f>RIGHT(A124,2)*1</f>
        <v>10</v>
      </c>
      <c r="L124" s="2" t="str">
        <f t="shared" si="4"/>
        <v>Automne</v>
      </c>
      <c r="M124" s="2" t="str">
        <f t="shared" si="5"/>
        <v>Chauffe</v>
      </c>
      <c r="V124" s="2">
        <v>87.2</v>
      </c>
      <c r="W124" s="2">
        <v>107111.125</v>
      </c>
    </row>
    <row r="125" spans="1:23">
      <c r="A125" s="2" t="s">
        <v>135</v>
      </c>
      <c r="B125" s="2">
        <v>-4102.6080000000002</v>
      </c>
      <c r="C125" s="2">
        <v>610.74</v>
      </c>
      <c r="D125" s="2">
        <v>4713.348</v>
      </c>
      <c r="E125" s="2">
        <v>97092.682000000001</v>
      </c>
      <c r="F125" s="2">
        <v>96929.414000000004</v>
      </c>
      <c r="G125" s="2">
        <v>110330.715</v>
      </c>
      <c r="H125" s="2" t="s">
        <v>2</v>
      </c>
      <c r="I125" s="2" t="s">
        <v>3</v>
      </c>
      <c r="J125" s="2">
        <f>LEFT(A125,4)*1</f>
        <v>2012</v>
      </c>
      <c r="K125" s="2">
        <f>RIGHT(A125,2)*1</f>
        <v>9</v>
      </c>
      <c r="L125" s="2" t="str">
        <f t="shared" si="4"/>
        <v>Automne</v>
      </c>
      <c r="M125" s="2" t="str">
        <f t="shared" si="5"/>
        <v>Hors chauffe</v>
      </c>
      <c r="V125" s="2" t="s">
        <v>2</v>
      </c>
      <c r="W125" s="2">
        <v>96929.414000000004</v>
      </c>
    </row>
    <row r="126" spans="1:23">
      <c r="A126" s="2" t="s">
        <v>136</v>
      </c>
      <c r="B126" s="2">
        <v>-3622.9720000000002</v>
      </c>
      <c r="C126" s="2">
        <v>956.66200000000003</v>
      </c>
      <c r="D126" s="2">
        <v>4579.634</v>
      </c>
      <c r="E126" s="2">
        <v>92151.305999999997</v>
      </c>
      <c r="F126" s="2">
        <v>91486.59</v>
      </c>
      <c r="G126" s="2">
        <v>106583.83</v>
      </c>
      <c r="H126" s="2" t="s">
        <v>2</v>
      </c>
      <c r="I126" s="2" t="s">
        <v>3</v>
      </c>
      <c r="J126" s="2">
        <f>LEFT(A126,4)*1</f>
        <v>2012</v>
      </c>
      <c r="K126" s="2">
        <f>RIGHT(A126,2)*1</f>
        <v>8</v>
      </c>
      <c r="L126" s="2" t="str">
        <f t="shared" si="4"/>
        <v>Été</v>
      </c>
      <c r="M126" s="2" t="str">
        <f t="shared" si="5"/>
        <v>Hors chauffe</v>
      </c>
      <c r="V126" s="2" t="s">
        <v>2</v>
      </c>
      <c r="W126" s="2">
        <v>91486.59</v>
      </c>
    </row>
    <row r="127" spans="1:23">
      <c r="A127" s="2" t="s">
        <v>137</v>
      </c>
      <c r="B127" s="2">
        <v>-3270.4090000000001</v>
      </c>
      <c r="C127" s="2">
        <v>947.62099999999998</v>
      </c>
      <c r="D127" s="2">
        <v>4218.0290000000005</v>
      </c>
      <c r="E127" s="2">
        <v>95221.635999999999</v>
      </c>
      <c r="F127" s="2">
        <v>95154.142000000007</v>
      </c>
      <c r="G127" s="2">
        <v>104628.481</v>
      </c>
      <c r="H127" s="2" t="s">
        <v>2</v>
      </c>
      <c r="I127" s="2" t="s">
        <v>3</v>
      </c>
      <c r="J127" s="2">
        <f>LEFT(A127,4)*1</f>
        <v>2012</v>
      </c>
      <c r="K127" s="2">
        <f>RIGHT(A127,2)*1</f>
        <v>7</v>
      </c>
      <c r="L127" s="2" t="str">
        <f t="shared" si="4"/>
        <v>Été</v>
      </c>
      <c r="M127" s="2" t="str">
        <f t="shared" si="5"/>
        <v>Hors chauffe</v>
      </c>
      <c r="V127" s="2" t="s">
        <v>2</v>
      </c>
      <c r="W127" s="2">
        <v>95154.142000000007</v>
      </c>
    </row>
    <row r="128" spans="1:23">
      <c r="A128" s="2" t="s">
        <v>138</v>
      </c>
      <c r="B128" s="2">
        <v>-3699.306</v>
      </c>
      <c r="C128" s="2">
        <v>633.05399999999997</v>
      </c>
      <c r="D128" s="2">
        <v>4332.3599999999997</v>
      </c>
      <c r="E128" s="2">
        <v>89666.561000000002</v>
      </c>
      <c r="F128" s="2">
        <v>89777.911999999997</v>
      </c>
      <c r="G128" s="2">
        <v>103860.166</v>
      </c>
      <c r="H128" s="2" t="s">
        <v>2</v>
      </c>
      <c r="I128" s="2" t="s">
        <v>3</v>
      </c>
      <c r="J128" s="2">
        <f>LEFT(A128,4)*1</f>
        <v>2012</v>
      </c>
      <c r="K128" s="2">
        <f>RIGHT(A128,2)*1</f>
        <v>6</v>
      </c>
      <c r="L128" s="2" t="str">
        <f t="shared" si="4"/>
        <v>Été</v>
      </c>
      <c r="M128" s="2" t="str">
        <f t="shared" si="5"/>
        <v>Hors chauffe</v>
      </c>
      <c r="V128" s="2" t="s">
        <v>2</v>
      </c>
      <c r="W128" s="2">
        <v>89777.911999999997</v>
      </c>
    </row>
    <row r="129" spans="1:23">
      <c r="A129" s="2" t="s">
        <v>139</v>
      </c>
      <c r="B129" s="2">
        <v>-4488.6379999999999</v>
      </c>
      <c r="C129" s="2">
        <v>613.01</v>
      </c>
      <c r="D129" s="2">
        <v>5101.6480000000001</v>
      </c>
      <c r="E129" s="2">
        <v>97552.729000000007</v>
      </c>
      <c r="F129" s="2">
        <v>97823.307000000001</v>
      </c>
      <c r="G129" s="2">
        <v>108402.27099999999</v>
      </c>
      <c r="H129" s="2">
        <v>47.9</v>
      </c>
      <c r="I129" s="2">
        <v>1.0229999999999999</v>
      </c>
      <c r="J129" s="2">
        <f>LEFT(A129,4)*1</f>
        <v>2012</v>
      </c>
      <c r="K129" s="2">
        <f>RIGHT(A129,2)*1</f>
        <v>5</v>
      </c>
      <c r="L129" s="2" t="str">
        <f t="shared" si="4"/>
        <v>Printemps</v>
      </c>
      <c r="M129" s="2" t="str">
        <f t="shared" si="5"/>
        <v>Chauffe</v>
      </c>
      <c r="V129" s="2">
        <v>47.9</v>
      </c>
      <c r="W129" s="2">
        <v>97823.307000000001</v>
      </c>
    </row>
    <row r="130" spans="1:23">
      <c r="A130" s="2" t="s">
        <v>140</v>
      </c>
      <c r="B130" s="2">
        <v>-3548.319</v>
      </c>
      <c r="C130" s="2">
        <v>939.54899999999998</v>
      </c>
      <c r="D130" s="2">
        <v>4487.8680000000004</v>
      </c>
      <c r="E130" s="2">
        <v>109014.78599999999</v>
      </c>
      <c r="F130" s="2">
        <v>107680.724</v>
      </c>
      <c r="G130" s="2">
        <v>114372.81600000001</v>
      </c>
      <c r="H130" s="2">
        <v>157.4</v>
      </c>
      <c r="I130" s="2">
        <v>1.341</v>
      </c>
      <c r="J130" s="2">
        <f>LEFT(A130,4)*1</f>
        <v>2012</v>
      </c>
      <c r="K130" s="2">
        <f>RIGHT(A130,2)*1</f>
        <v>4</v>
      </c>
      <c r="L130" s="2" t="str">
        <f t="shared" si="4"/>
        <v>Printemps</v>
      </c>
      <c r="M130" s="2" t="str">
        <f t="shared" si="5"/>
        <v>Chauffe</v>
      </c>
      <c r="V130" s="2">
        <v>157.4</v>
      </c>
      <c r="W130" s="2">
        <v>107680.724</v>
      </c>
    </row>
    <row r="131" spans="1:23">
      <c r="A131" s="2" t="s">
        <v>141</v>
      </c>
      <c r="B131" s="2">
        <v>-5021.0839999999998</v>
      </c>
      <c r="C131" s="2">
        <v>436.22899999999998</v>
      </c>
      <c r="D131" s="2">
        <v>5457.3119999999999</v>
      </c>
      <c r="E131" s="2">
        <v>119464.56299999999</v>
      </c>
      <c r="F131" s="2">
        <v>122394.708</v>
      </c>
      <c r="G131" s="2">
        <v>114459.876</v>
      </c>
      <c r="H131" s="2">
        <v>156.4</v>
      </c>
      <c r="I131" s="2">
        <v>0.78</v>
      </c>
      <c r="J131" s="2">
        <f>LEFT(A131,4)*1</f>
        <v>2012</v>
      </c>
      <c r="K131" s="2">
        <f>RIGHT(A131,2)*1</f>
        <v>3</v>
      </c>
      <c r="L131" s="2" t="str">
        <f t="shared" si="4"/>
        <v>Printemps</v>
      </c>
      <c r="M131" s="2" t="str">
        <f t="shared" si="5"/>
        <v>Chauffe</v>
      </c>
      <c r="V131" s="2">
        <v>156.4</v>
      </c>
      <c r="W131" s="2">
        <v>122394.708</v>
      </c>
    </row>
    <row r="132" spans="1:23">
      <c r="A132" s="2" t="s">
        <v>142</v>
      </c>
      <c r="B132" s="2">
        <v>548.03899999999999</v>
      </c>
      <c r="C132" s="2">
        <v>3166.98</v>
      </c>
      <c r="D132" s="2">
        <v>2618.9409999999998</v>
      </c>
      <c r="E132" s="2">
        <v>129628.78</v>
      </c>
      <c r="F132" s="2">
        <v>122863.35400000001</v>
      </c>
      <c r="G132" s="2">
        <v>111156.644</v>
      </c>
      <c r="H132" s="2">
        <v>393.3</v>
      </c>
      <c r="I132" s="2">
        <v>1.526</v>
      </c>
      <c r="J132" s="2">
        <f>LEFT(A132,4)*1</f>
        <v>2012</v>
      </c>
      <c r="K132" s="2">
        <f>RIGHT(A132,2)*1</f>
        <v>2</v>
      </c>
      <c r="L132" s="2" t="str">
        <f t="shared" si="4"/>
        <v>Hiver</v>
      </c>
      <c r="M132" s="2" t="str">
        <f t="shared" si="5"/>
        <v>Chauffe</v>
      </c>
      <c r="V132" s="2">
        <v>393.3</v>
      </c>
      <c r="W132" s="2">
        <v>122863.35400000001</v>
      </c>
    </row>
    <row r="133" spans="1:23">
      <c r="A133" s="2" t="s">
        <v>143</v>
      </c>
      <c r="B133" s="2">
        <v>-5498.52</v>
      </c>
      <c r="C133" s="2">
        <v>721.02</v>
      </c>
      <c r="D133" s="2">
        <v>6219.5389999999998</v>
      </c>
      <c r="E133" s="2">
        <v>138652.03200000001</v>
      </c>
      <c r="F133" s="2">
        <v>140006.758</v>
      </c>
      <c r="G133" s="2">
        <v>110736.409</v>
      </c>
      <c r="H133" s="2">
        <v>281.8</v>
      </c>
      <c r="I133" s="2">
        <v>0.90300000000000002</v>
      </c>
      <c r="J133" s="2">
        <f>LEFT(A133,4)*1</f>
        <v>2012</v>
      </c>
      <c r="K133" s="2">
        <f>RIGHT(A133,2)*1</f>
        <v>1</v>
      </c>
      <c r="L133" s="2" t="str">
        <f t="shared" si="4"/>
        <v>Hiver</v>
      </c>
      <c r="M133" s="2" t="str">
        <f t="shared" si="5"/>
        <v>Chauffe</v>
      </c>
      <c r="V133" s="2">
        <v>281.8</v>
      </c>
      <c r="W133" s="2">
        <v>140006.758</v>
      </c>
    </row>
    <row r="134" spans="1:23">
      <c r="A134" s="2" t="s">
        <v>144</v>
      </c>
      <c r="B134" s="2">
        <v>-4827.8689999999997</v>
      </c>
      <c r="C134" s="2">
        <v>943.17</v>
      </c>
      <c r="D134" s="2">
        <v>5771.0389999999998</v>
      </c>
      <c r="E134" s="2">
        <v>129610.974</v>
      </c>
      <c r="F134" s="2">
        <v>131284.288</v>
      </c>
      <c r="G134" s="2">
        <v>109721.958</v>
      </c>
      <c r="H134" s="2" t="s">
        <v>145</v>
      </c>
      <c r="I134" s="2">
        <v>0.83499999999999996</v>
      </c>
      <c r="J134" s="2">
        <f>LEFT(A134,4)*1</f>
        <v>2011</v>
      </c>
      <c r="K134" s="2">
        <f>RIGHT(A134,2)*1</f>
        <v>12</v>
      </c>
      <c r="L134" s="2" t="str">
        <f t="shared" si="4"/>
        <v>Hiver</v>
      </c>
      <c r="M134" s="2" t="str">
        <f t="shared" si="5"/>
        <v>Chauffe</v>
      </c>
      <c r="V134" s="2" t="s">
        <v>145</v>
      </c>
      <c r="W134" s="2">
        <v>131284.288</v>
      </c>
    </row>
    <row r="135" spans="1:23">
      <c r="A135" s="2" t="s">
        <v>146</v>
      </c>
      <c r="B135" s="2">
        <v>-3859.6950000000002</v>
      </c>
      <c r="C135" s="2">
        <v>1262.2270000000001</v>
      </c>
      <c r="D135" s="2">
        <v>5121.9219999999996</v>
      </c>
      <c r="E135" s="2">
        <v>108452.734</v>
      </c>
      <c r="F135" s="2">
        <v>111091.747</v>
      </c>
      <c r="G135" s="2">
        <v>106630.005</v>
      </c>
      <c r="H135" s="2">
        <v>145.19999999999999</v>
      </c>
      <c r="I135" s="2">
        <v>0.74099999999999999</v>
      </c>
      <c r="J135" s="2">
        <f>LEFT(A135,4)*1</f>
        <v>2011</v>
      </c>
      <c r="K135" s="2">
        <f>RIGHT(A135,2)*1</f>
        <v>11</v>
      </c>
      <c r="L135" s="2" t="str">
        <f t="shared" si="4"/>
        <v>Automne</v>
      </c>
      <c r="M135" s="2" t="str">
        <f t="shared" si="5"/>
        <v>Chauffe</v>
      </c>
      <c r="V135" s="2">
        <v>145.19999999999999</v>
      </c>
      <c r="W135" s="2">
        <v>111091.747</v>
      </c>
    </row>
    <row r="136" spans="1:23">
      <c r="A136" s="2" t="s">
        <v>147</v>
      </c>
      <c r="B136" s="2">
        <v>-3823.6880000000001</v>
      </c>
      <c r="C136" s="2">
        <v>841.15099999999995</v>
      </c>
      <c r="D136" s="2">
        <v>4664.84</v>
      </c>
      <c r="E136" s="2">
        <v>105122.81</v>
      </c>
      <c r="F136" s="2">
        <v>105485.333</v>
      </c>
      <c r="G136" s="2">
        <v>111009.583</v>
      </c>
      <c r="H136" s="2">
        <v>71.5</v>
      </c>
      <c r="I136" s="2">
        <v>0.96399999999999997</v>
      </c>
      <c r="J136" s="2">
        <f>LEFT(A136,4)*1</f>
        <v>2011</v>
      </c>
      <c r="K136" s="2">
        <f>RIGHT(A136,2)*1</f>
        <v>10</v>
      </c>
      <c r="L136" s="2" t="str">
        <f t="shared" si="4"/>
        <v>Automne</v>
      </c>
      <c r="M136" s="2" t="str">
        <f t="shared" si="5"/>
        <v>Chauffe</v>
      </c>
      <c r="V136" s="2">
        <v>71.5</v>
      </c>
      <c r="W136" s="2">
        <v>105485.333</v>
      </c>
    </row>
    <row r="137" spans="1:23">
      <c r="A137" s="2" t="s">
        <v>148</v>
      </c>
      <c r="B137" s="2">
        <v>-4265.768</v>
      </c>
      <c r="C137" s="2">
        <v>487.08800000000002</v>
      </c>
      <c r="D137" s="2">
        <v>4752.8549999999996</v>
      </c>
      <c r="E137" s="2">
        <v>100301.16899999999</v>
      </c>
      <c r="F137" s="2">
        <v>100310.711</v>
      </c>
      <c r="G137" s="2">
        <v>113569.539</v>
      </c>
      <c r="H137" s="2" t="s">
        <v>2</v>
      </c>
      <c r="I137" s="2" t="s">
        <v>3</v>
      </c>
      <c r="J137" s="2">
        <f>LEFT(A137,4)*1</f>
        <v>2011</v>
      </c>
      <c r="K137" s="2">
        <f>RIGHT(A137,2)*1</f>
        <v>9</v>
      </c>
      <c r="L137" s="2" t="str">
        <f t="shared" si="4"/>
        <v>Automne</v>
      </c>
      <c r="M137" s="2" t="str">
        <f t="shared" si="5"/>
        <v>Hors chauffe</v>
      </c>
      <c r="V137" s="2" t="s">
        <v>2</v>
      </c>
      <c r="W137" s="2">
        <v>100310.711</v>
      </c>
    </row>
    <row r="138" spans="1:23">
      <c r="A138" s="2" t="s">
        <v>149</v>
      </c>
      <c r="B138" s="2">
        <v>-5346.9620000000004</v>
      </c>
      <c r="C138" s="2">
        <v>334.06</v>
      </c>
      <c r="D138" s="2">
        <v>5681.0219999999999</v>
      </c>
      <c r="E138" s="2">
        <v>99778.232000000004</v>
      </c>
      <c r="F138" s="2">
        <v>100757.18</v>
      </c>
      <c r="G138" s="2">
        <v>116057.216</v>
      </c>
      <c r="H138" s="2" t="s">
        <v>2</v>
      </c>
      <c r="I138" s="2" t="s">
        <v>3</v>
      </c>
      <c r="J138" s="2">
        <f>LEFT(A138,4)*1</f>
        <v>2011</v>
      </c>
      <c r="K138" s="2">
        <f>RIGHT(A138,2)*1</f>
        <v>8</v>
      </c>
      <c r="L138" s="2" t="str">
        <f t="shared" si="4"/>
        <v>Été</v>
      </c>
      <c r="M138" s="2" t="str">
        <f t="shared" si="5"/>
        <v>Hors chauffe</v>
      </c>
      <c r="V138" s="2" t="s">
        <v>2</v>
      </c>
      <c r="W138" s="2">
        <v>100757.18</v>
      </c>
    </row>
    <row r="139" spans="1:23">
      <c r="A139" s="2" t="s">
        <v>150</v>
      </c>
      <c r="B139" s="2">
        <v>-6173.1109999999999</v>
      </c>
      <c r="C139" s="2">
        <v>289.05200000000002</v>
      </c>
      <c r="D139" s="2">
        <v>6462.1629999999996</v>
      </c>
      <c r="E139" s="2">
        <v>105938.20600000001</v>
      </c>
      <c r="F139" s="2">
        <v>105693.101</v>
      </c>
      <c r="G139" s="2">
        <v>115385.05</v>
      </c>
      <c r="H139" s="2" t="s">
        <v>2</v>
      </c>
      <c r="I139" s="2" t="s">
        <v>3</v>
      </c>
      <c r="J139" s="2">
        <f>LEFT(A139,4)*1</f>
        <v>2011</v>
      </c>
      <c r="K139" s="2">
        <f>RIGHT(A139,2)*1</f>
        <v>7</v>
      </c>
      <c r="L139" s="2" t="str">
        <f t="shared" si="4"/>
        <v>Été</v>
      </c>
      <c r="M139" s="2" t="str">
        <f t="shared" si="5"/>
        <v>Hors chauffe</v>
      </c>
      <c r="V139" s="2" t="s">
        <v>2</v>
      </c>
      <c r="W139" s="2">
        <v>105693.101</v>
      </c>
    </row>
    <row r="140" spans="1:23">
      <c r="A140" s="2" t="s">
        <v>151</v>
      </c>
      <c r="B140" s="2">
        <v>-6055.09</v>
      </c>
      <c r="C140" s="2">
        <v>302.05399999999997</v>
      </c>
      <c r="D140" s="2">
        <v>6357.1440000000002</v>
      </c>
      <c r="E140" s="2">
        <v>103318.173</v>
      </c>
      <c r="F140" s="2">
        <v>103686.879</v>
      </c>
      <c r="G140" s="2">
        <v>117808.077</v>
      </c>
      <c r="H140" s="2" t="s">
        <v>2</v>
      </c>
      <c r="I140" s="2" t="s">
        <v>3</v>
      </c>
      <c r="J140" s="2">
        <f>LEFT(A140,4)*1</f>
        <v>2011</v>
      </c>
      <c r="K140" s="2">
        <f>RIGHT(A140,2)*1</f>
        <v>6</v>
      </c>
      <c r="L140" s="2" t="str">
        <f t="shared" si="4"/>
        <v>Été</v>
      </c>
      <c r="M140" s="2" t="str">
        <f t="shared" si="5"/>
        <v>Hors chauffe</v>
      </c>
      <c r="V140" s="2" t="s">
        <v>2</v>
      </c>
      <c r="W140" s="2">
        <v>103686.879</v>
      </c>
    </row>
    <row r="141" spans="1:23">
      <c r="A141" s="2" t="s">
        <v>152</v>
      </c>
      <c r="B141" s="2">
        <v>-5340.9610000000002</v>
      </c>
      <c r="C141" s="2">
        <v>499.09</v>
      </c>
      <c r="D141" s="2">
        <v>5840.0510000000004</v>
      </c>
      <c r="E141" s="2">
        <v>104639.65399999999</v>
      </c>
      <c r="F141" s="2">
        <v>106048.662</v>
      </c>
      <c r="G141" s="2">
        <v>116451.77099999999</v>
      </c>
      <c r="H141" s="2">
        <v>24.3</v>
      </c>
      <c r="I141" s="2">
        <v>0.51900000000000002</v>
      </c>
      <c r="J141" s="2">
        <f>LEFT(A141,4)*1</f>
        <v>2011</v>
      </c>
      <c r="K141" s="2">
        <f>RIGHT(A141,2)*1</f>
        <v>5</v>
      </c>
      <c r="L141" s="2" t="str">
        <f t="shared" si="4"/>
        <v>Printemps</v>
      </c>
      <c r="M141" s="2" t="str">
        <f t="shared" si="5"/>
        <v>Chauffe</v>
      </c>
      <c r="V141" s="2">
        <v>24.3</v>
      </c>
      <c r="W141" s="2">
        <v>106048.662</v>
      </c>
    </row>
    <row r="142" spans="1:23">
      <c r="A142" s="2" t="s">
        <v>153</v>
      </c>
      <c r="B142" s="2">
        <v>-5115.9210000000003</v>
      </c>
      <c r="C142" s="2">
        <v>548.09900000000005</v>
      </c>
      <c r="D142" s="2">
        <v>5664.0190000000002</v>
      </c>
      <c r="E142" s="2">
        <v>104586.60400000001</v>
      </c>
      <c r="F142" s="2">
        <v>107686.867</v>
      </c>
      <c r="G142" s="2">
        <v>114237.213</v>
      </c>
      <c r="H142" s="2" t="s">
        <v>72</v>
      </c>
      <c r="I142" s="2">
        <v>0.45200000000000001</v>
      </c>
      <c r="J142" s="2">
        <f>LEFT(A142,4)*1</f>
        <v>2011</v>
      </c>
      <c r="K142" s="2">
        <f>RIGHT(A142,2)*1</f>
        <v>4</v>
      </c>
      <c r="L142" s="2" t="str">
        <f t="shared" si="4"/>
        <v>Printemps</v>
      </c>
      <c r="M142" s="2" t="str">
        <f t="shared" si="5"/>
        <v>Chauffe</v>
      </c>
      <c r="V142" s="2" t="s">
        <v>72</v>
      </c>
      <c r="W142" s="2">
        <v>107686.867</v>
      </c>
    </row>
    <row r="143" spans="1:23">
      <c r="A143" s="2" t="s">
        <v>154</v>
      </c>
      <c r="B143" s="2">
        <v>-4655.8379999999997</v>
      </c>
      <c r="C143" s="2">
        <v>871.15700000000004</v>
      </c>
      <c r="D143" s="2">
        <v>5526.9949999999999</v>
      </c>
      <c r="E143" s="2">
        <v>120675.71400000001</v>
      </c>
      <c r="F143" s="2">
        <v>121598.295</v>
      </c>
      <c r="G143" s="2">
        <v>113726.164</v>
      </c>
      <c r="H143" s="2">
        <v>189.5</v>
      </c>
      <c r="I143" s="2">
        <v>0.94499999999999995</v>
      </c>
      <c r="J143" s="2">
        <f>LEFT(A143,4)*1</f>
        <v>2011</v>
      </c>
      <c r="K143" s="2">
        <f>RIGHT(A143,2)*1</f>
        <v>3</v>
      </c>
      <c r="L143" s="2" t="str">
        <f t="shared" si="4"/>
        <v>Printemps</v>
      </c>
      <c r="M143" s="2" t="str">
        <f t="shared" si="5"/>
        <v>Chauffe</v>
      </c>
      <c r="V143" s="2">
        <v>189.5</v>
      </c>
      <c r="W143" s="2">
        <v>121598.295</v>
      </c>
    </row>
    <row r="144" spans="1:23">
      <c r="A144" s="2" t="s">
        <v>155</v>
      </c>
      <c r="B144" s="2">
        <v>-3921.7060000000001</v>
      </c>
      <c r="C144" s="2">
        <v>854.154</v>
      </c>
      <c r="D144" s="2">
        <v>4775.8599999999997</v>
      </c>
      <c r="E144" s="2">
        <v>122489.611</v>
      </c>
      <c r="F144" s="2">
        <v>124086.333</v>
      </c>
      <c r="G144" s="2">
        <v>112340.732</v>
      </c>
      <c r="H144" s="2">
        <v>237.8</v>
      </c>
      <c r="I144" s="2">
        <v>0.92200000000000004</v>
      </c>
      <c r="J144" s="2">
        <f>LEFT(A144,4)*1</f>
        <v>2011</v>
      </c>
      <c r="K144" s="2">
        <f>RIGHT(A144,2)*1</f>
        <v>2</v>
      </c>
      <c r="L144" s="2" t="str">
        <f t="shared" si="4"/>
        <v>Hiver</v>
      </c>
      <c r="M144" s="2" t="str">
        <f t="shared" si="5"/>
        <v>Chauffe</v>
      </c>
      <c r="V144" s="2">
        <v>237.8</v>
      </c>
      <c r="W144" s="2">
        <v>124086.333</v>
      </c>
    </row>
    <row r="145" spans="1:23">
      <c r="A145" s="2" t="s">
        <v>156</v>
      </c>
      <c r="B145" s="2">
        <v>-3750.6750000000002</v>
      </c>
      <c r="C145" s="2">
        <v>1266.2280000000001</v>
      </c>
      <c r="D145" s="2">
        <v>5016.9030000000002</v>
      </c>
      <c r="E145" s="2">
        <v>142479.69</v>
      </c>
      <c r="F145" s="2">
        <v>141886.171</v>
      </c>
      <c r="G145" s="2">
        <v>112664.923</v>
      </c>
      <c r="H145" s="2">
        <v>322.10000000000002</v>
      </c>
      <c r="I145" s="2">
        <v>1.0329999999999999</v>
      </c>
      <c r="J145" s="2">
        <f>LEFT(A145,4)*1</f>
        <v>2011</v>
      </c>
      <c r="K145" s="2">
        <f>RIGHT(A145,2)*1</f>
        <v>1</v>
      </c>
      <c r="L145" s="2" t="str">
        <f t="shared" si="4"/>
        <v>Hiver</v>
      </c>
      <c r="M145" s="2" t="str">
        <f t="shared" si="5"/>
        <v>Chauffe</v>
      </c>
      <c r="V145" s="2">
        <v>322.10000000000002</v>
      </c>
      <c r="W145" s="2">
        <v>141886.171</v>
      </c>
    </row>
    <row r="146" spans="1:23">
      <c r="A146" s="2" t="s">
        <v>157</v>
      </c>
      <c r="B146" s="2">
        <v>-830.149</v>
      </c>
      <c r="C146" s="2">
        <v>2184.393</v>
      </c>
      <c r="D146" s="2">
        <v>3014.5430000000001</v>
      </c>
      <c r="E146" s="2">
        <v>140026.03400000001</v>
      </c>
      <c r="F146" s="2" t="s">
        <v>158</v>
      </c>
      <c r="G146" s="2">
        <v>114433.78200000001</v>
      </c>
      <c r="H146" s="2">
        <v>408.2</v>
      </c>
      <c r="I146" s="2">
        <v>1.421</v>
      </c>
      <c r="J146" s="2">
        <f>LEFT(A146,4)*1</f>
        <v>2010</v>
      </c>
      <c r="K146" s="2">
        <f>RIGHT(A146,2)*1</f>
        <v>12</v>
      </c>
      <c r="L146" s="2" t="str">
        <f t="shared" si="4"/>
        <v>Hiver</v>
      </c>
      <c r="M146" s="2" t="str">
        <f t="shared" si="5"/>
        <v>Chauffe</v>
      </c>
      <c r="V146" s="2">
        <v>408.2</v>
      </c>
      <c r="W146" s="2" t="s">
        <v>158</v>
      </c>
    </row>
    <row r="147" spans="1:23">
      <c r="A147" s="2" t="s">
        <v>159</v>
      </c>
      <c r="B147" s="2">
        <v>-2321.4180000000001</v>
      </c>
      <c r="C147" s="2">
        <v>1726.3109999999999</v>
      </c>
      <c r="D147" s="2">
        <v>4047.7280000000001</v>
      </c>
      <c r="E147" s="2">
        <v>116927.996</v>
      </c>
      <c r="F147" s="2" t="s">
        <v>158</v>
      </c>
      <c r="G147" s="2">
        <v>113184.067</v>
      </c>
      <c r="H147" s="2">
        <v>224.6</v>
      </c>
      <c r="I147" s="2">
        <v>1.147</v>
      </c>
      <c r="J147" s="2">
        <f>LEFT(A147,4)*1</f>
        <v>2010</v>
      </c>
      <c r="K147" s="2">
        <f>RIGHT(A147,2)*1</f>
        <v>11</v>
      </c>
      <c r="L147" s="2" t="str">
        <f t="shared" si="4"/>
        <v>Automne</v>
      </c>
      <c r="M147" s="2" t="str">
        <f t="shared" si="5"/>
        <v>Chauffe</v>
      </c>
      <c r="V147" s="2">
        <v>224.6</v>
      </c>
      <c r="W147" s="2" t="s">
        <v>158</v>
      </c>
    </row>
    <row r="148" spans="1:23">
      <c r="A148" s="2" t="s">
        <v>160</v>
      </c>
      <c r="B148" s="2">
        <v>-569.10199999999998</v>
      </c>
      <c r="C148" s="2">
        <v>2680.482</v>
      </c>
      <c r="D148" s="2">
        <v>3249.585</v>
      </c>
      <c r="E148" s="2">
        <v>106222.33500000001</v>
      </c>
      <c r="F148" s="2" t="s">
        <v>158</v>
      </c>
      <c r="G148" s="2">
        <v>108614.22199999999</v>
      </c>
      <c r="H148" s="2">
        <v>114.8</v>
      </c>
      <c r="I148" s="2">
        <v>1.5469999999999999</v>
      </c>
      <c r="J148" s="2">
        <f>LEFT(A148,4)*1</f>
        <v>2010</v>
      </c>
      <c r="K148" s="2">
        <f>RIGHT(A148,2)*1</f>
        <v>10</v>
      </c>
      <c r="L148" s="2" t="str">
        <f t="shared" si="4"/>
        <v>Automne</v>
      </c>
      <c r="M148" s="2" t="str">
        <f t="shared" si="5"/>
        <v>Chauffe</v>
      </c>
      <c r="V148" s="2">
        <v>114.8</v>
      </c>
      <c r="W148" s="2" t="s">
        <v>158</v>
      </c>
    </row>
    <row r="149" spans="1:23">
      <c r="A149" s="2" t="s">
        <v>161</v>
      </c>
      <c r="B149" s="2">
        <v>-3610.65</v>
      </c>
      <c r="C149" s="2">
        <v>982.17700000000002</v>
      </c>
      <c r="D149" s="2">
        <v>4592.8270000000002</v>
      </c>
      <c r="E149" s="2">
        <v>101417.75900000001</v>
      </c>
      <c r="F149" s="2" t="s">
        <v>158</v>
      </c>
      <c r="G149" s="2">
        <v>112298.626</v>
      </c>
      <c r="H149" s="2" t="s">
        <v>2</v>
      </c>
      <c r="I149" s="2" t="s">
        <v>3</v>
      </c>
      <c r="J149" s="2">
        <f>LEFT(A149,4)*1</f>
        <v>2010</v>
      </c>
      <c r="K149" s="2">
        <f>RIGHT(A149,2)*1</f>
        <v>9</v>
      </c>
      <c r="L149" s="2" t="str">
        <f t="shared" si="4"/>
        <v>Automne</v>
      </c>
      <c r="M149" s="2" t="str">
        <f t="shared" si="5"/>
        <v>Hors chauffe</v>
      </c>
      <c r="V149" s="2" t="s">
        <v>2</v>
      </c>
      <c r="W149" s="2" t="s">
        <v>158</v>
      </c>
    </row>
    <row r="150" spans="1:23">
      <c r="A150" s="2" t="s">
        <v>162</v>
      </c>
      <c r="B150" s="2">
        <v>-5908.0630000000001</v>
      </c>
      <c r="C150" s="2">
        <v>481.08699999999999</v>
      </c>
      <c r="D150" s="2">
        <v>6389.15</v>
      </c>
      <c r="E150" s="2">
        <v>102614.679</v>
      </c>
      <c r="F150" s="2" t="s">
        <v>158</v>
      </c>
      <c r="G150" s="2">
        <v>113600.542</v>
      </c>
      <c r="H150" s="2" t="s">
        <v>2</v>
      </c>
      <c r="I150" s="2" t="s">
        <v>3</v>
      </c>
      <c r="J150" s="2">
        <f>LEFT(A150,4)*1</f>
        <v>2010</v>
      </c>
      <c r="K150" s="2">
        <f>RIGHT(A150,2)*1</f>
        <v>8</v>
      </c>
      <c r="L150" s="2" t="str">
        <f t="shared" si="4"/>
        <v>Été</v>
      </c>
      <c r="M150" s="2" t="str">
        <f t="shared" si="5"/>
        <v>Hors chauffe</v>
      </c>
      <c r="V150" s="2" t="s">
        <v>2</v>
      </c>
      <c r="W150" s="2" t="s">
        <v>158</v>
      </c>
    </row>
    <row r="151" spans="1:23">
      <c r="A151" s="2" t="s">
        <v>163</v>
      </c>
      <c r="B151" s="2">
        <v>-4632.8339999999998</v>
      </c>
      <c r="C151" s="2">
        <v>781.14099999999996</v>
      </c>
      <c r="D151" s="2">
        <v>5413.9740000000002</v>
      </c>
      <c r="E151" s="2">
        <v>102654.05100000001</v>
      </c>
      <c r="F151" s="2" t="s">
        <v>158</v>
      </c>
      <c r="G151" s="2">
        <v>112363.76700000001</v>
      </c>
      <c r="H151" s="2" t="s">
        <v>2</v>
      </c>
      <c r="I151" s="2" t="s">
        <v>3</v>
      </c>
      <c r="J151" s="2">
        <f>LEFT(A151,4)*1</f>
        <v>2010</v>
      </c>
      <c r="K151" s="2">
        <f>RIGHT(A151,2)*1</f>
        <v>7</v>
      </c>
      <c r="L151" s="2" t="str">
        <f t="shared" si="4"/>
        <v>Été</v>
      </c>
      <c r="M151" s="2" t="str">
        <f t="shared" si="5"/>
        <v>Hors chauffe</v>
      </c>
      <c r="V151" s="2" t="s">
        <v>2</v>
      </c>
      <c r="W151" s="2" t="s">
        <v>158</v>
      </c>
    </row>
    <row r="152" spans="1:23">
      <c r="A152" s="2" t="s">
        <v>164</v>
      </c>
      <c r="B152" s="2">
        <v>-5287.9520000000002</v>
      </c>
      <c r="C152" s="2">
        <v>544.09799999999996</v>
      </c>
      <c r="D152" s="2">
        <v>5832.05</v>
      </c>
      <c r="E152" s="2">
        <v>97021.294999999998</v>
      </c>
      <c r="F152" s="2" t="s">
        <v>158</v>
      </c>
      <c r="G152" s="2">
        <v>110718.364</v>
      </c>
      <c r="H152" s="2" t="s">
        <v>2</v>
      </c>
      <c r="I152" s="2" t="s">
        <v>3</v>
      </c>
      <c r="J152" s="2">
        <f>LEFT(A152,4)*1</f>
        <v>2010</v>
      </c>
      <c r="K152" s="2">
        <f>RIGHT(A152,2)*1</f>
        <v>6</v>
      </c>
      <c r="L152" s="2" t="str">
        <f t="shared" si="4"/>
        <v>Été</v>
      </c>
      <c r="M152" s="2" t="str">
        <f t="shared" si="5"/>
        <v>Hors chauffe</v>
      </c>
      <c r="V152" s="2" t="s">
        <v>2</v>
      </c>
      <c r="W152" s="2" t="s">
        <v>158</v>
      </c>
    </row>
    <row r="153" spans="1:23">
      <c r="A153" s="2" t="s">
        <v>165</v>
      </c>
      <c r="B153" s="2">
        <v>-2139.3850000000002</v>
      </c>
      <c r="C153" s="2">
        <v>1377.248</v>
      </c>
      <c r="D153" s="2">
        <v>3516.6329999999998</v>
      </c>
      <c r="E153" s="2">
        <v>98522.841</v>
      </c>
      <c r="F153" s="2" t="s">
        <v>158</v>
      </c>
      <c r="G153" s="2">
        <v>108020.322</v>
      </c>
      <c r="H153" s="2">
        <v>89.9</v>
      </c>
      <c r="I153" s="2">
        <v>1.92</v>
      </c>
      <c r="J153" s="2">
        <f>LEFT(A153,4)*1</f>
        <v>2010</v>
      </c>
      <c r="K153" s="2">
        <f>RIGHT(A153,2)*1</f>
        <v>5</v>
      </c>
      <c r="L153" s="2" t="str">
        <f t="shared" si="4"/>
        <v>Printemps</v>
      </c>
      <c r="M153" s="2" t="str">
        <f t="shared" si="5"/>
        <v>Chauffe</v>
      </c>
      <c r="V153" s="2">
        <v>89.9</v>
      </c>
      <c r="W153" s="2" t="s">
        <v>158</v>
      </c>
    </row>
    <row r="154" spans="1:23">
      <c r="A154" s="2" t="s">
        <v>166</v>
      </c>
      <c r="B154" s="2">
        <v>-2590.4659999999999</v>
      </c>
      <c r="C154" s="2">
        <v>1312.2360000000001</v>
      </c>
      <c r="D154" s="2">
        <v>3902.7020000000002</v>
      </c>
      <c r="E154" s="2">
        <v>103619.27800000001</v>
      </c>
      <c r="F154" s="2" t="s">
        <v>158</v>
      </c>
      <c r="G154" s="2">
        <v>108251.023</v>
      </c>
      <c r="H154" s="2">
        <v>116.6</v>
      </c>
      <c r="I154" s="2">
        <v>0.99399999999999999</v>
      </c>
      <c r="J154" s="2">
        <f>LEFT(A154,4)*1</f>
        <v>2010</v>
      </c>
      <c r="K154" s="2">
        <f>RIGHT(A154,2)*1</f>
        <v>4</v>
      </c>
      <c r="L154" s="2" t="str">
        <f t="shared" si="4"/>
        <v>Printemps</v>
      </c>
      <c r="M154" s="2" t="str">
        <f t="shared" si="5"/>
        <v>Chauffe</v>
      </c>
      <c r="V154" s="2">
        <v>116.6</v>
      </c>
      <c r="W154" s="2" t="s">
        <v>158</v>
      </c>
    </row>
    <row r="155" spans="1:23">
      <c r="A155" s="2" t="s">
        <v>167</v>
      </c>
      <c r="B155" s="2">
        <v>-2146.386</v>
      </c>
      <c r="C155" s="2">
        <v>2129.3829999999998</v>
      </c>
      <c r="D155" s="2">
        <v>4275.7700000000004</v>
      </c>
      <c r="E155" s="2">
        <v>119696.141</v>
      </c>
      <c r="F155" s="2" t="s">
        <v>158</v>
      </c>
      <c r="G155" s="2">
        <v>110449.04</v>
      </c>
      <c r="H155" s="2" t="s">
        <v>168</v>
      </c>
      <c r="I155" s="2">
        <v>1.177</v>
      </c>
      <c r="J155" s="2">
        <f>LEFT(A155,4)*1</f>
        <v>2010</v>
      </c>
      <c r="K155" s="2">
        <f>RIGHT(A155,2)*1</f>
        <v>3</v>
      </c>
      <c r="L155" s="2" t="str">
        <f t="shared" si="4"/>
        <v>Printemps</v>
      </c>
      <c r="M155" s="2" t="str">
        <f t="shared" si="5"/>
        <v>Chauffe</v>
      </c>
      <c r="V155" s="2" t="s">
        <v>168</v>
      </c>
      <c r="W155" s="2" t="s">
        <v>158</v>
      </c>
    </row>
    <row r="156" spans="1:23">
      <c r="A156" s="2" t="s">
        <v>169</v>
      </c>
      <c r="B156" s="2">
        <v>-1095.1969999999999</v>
      </c>
      <c r="C156" s="2">
        <v>2199.3960000000002</v>
      </c>
      <c r="D156" s="2">
        <v>3294.5929999999998</v>
      </c>
      <c r="E156" s="2">
        <v>120954.003</v>
      </c>
      <c r="F156" s="2" t="s">
        <v>158</v>
      </c>
      <c r="G156" s="2">
        <v>111949.064</v>
      </c>
      <c r="H156" s="2">
        <v>301.7</v>
      </c>
      <c r="I156" s="2">
        <v>1.17</v>
      </c>
      <c r="J156" s="2">
        <f>LEFT(A156,4)*1</f>
        <v>2010</v>
      </c>
      <c r="K156" s="2">
        <f>RIGHT(A156,2)*1</f>
        <v>2</v>
      </c>
      <c r="L156" s="2" t="str">
        <f t="shared" ref="L156:L205" si="6">IF(OR(K156=12,K156&lt;=2),"Hiver",IF(K156&lt;=5,"Printemps",IF(K156&lt;=8,"Été","Automne")))</f>
        <v>Hiver</v>
      </c>
      <c r="M156" s="2" t="str">
        <f t="shared" ref="M156:M205" si="7">IF(AND(K156&gt;=6,K156&lt;=9),"Hors chauffe","Chauffe")</f>
        <v>Chauffe</v>
      </c>
      <c r="V156" s="2">
        <v>301.7</v>
      </c>
      <c r="W156" s="2" t="s">
        <v>158</v>
      </c>
    </row>
    <row r="157" spans="1:23">
      <c r="A157" s="2" t="s">
        <v>170</v>
      </c>
      <c r="B157" s="2">
        <v>378.06799999999998</v>
      </c>
      <c r="C157" s="2">
        <v>3042.5479999999998</v>
      </c>
      <c r="D157" s="2">
        <v>2664.48</v>
      </c>
      <c r="E157" s="2">
        <v>135710.65100000001</v>
      </c>
      <c r="F157" s="2" t="s">
        <v>158</v>
      </c>
      <c r="G157" s="2">
        <v>108893.223</v>
      </c>
      <c r="H157" s="2">
        <v>415.5</v>
      </c>
      <c r="I157" s="2">
        <v>1.3320000000000001</v>
      </c>
      <c r="J157" s="2">
        <f>LEFT(A157,4)*1</f>
        <v>2010</v>
      </c>
      <c r="K157" s="2">
        <f>RIGHT(A157,2)*1</f>
        <v>1</v>
      </c>
      <c r="L157" s="2" t="str">
        <f t="shared" si="6"/>
        <v>Hiver</v>
      </c>
      <c r="M157" s="2" t="str">
        <f t="shared" si="7"/>
        <v>Chauffe</v>
      </c>
      <c r="V157" s="2">
        <v>415.5</v>
      </c>
      <c r="W157" s="2" t="s">
        <v>158</v>
      </c>
    </row>
    <row r="158" spans="1:23">
      <c r="A158" s="2" t="s">
        <v>171</v>
      </c>
      <c r="B158" s="2">
        <v>-797.14300000000003</v>
      </c>
      <c r="C158" s="2">
        <v>2376.4279999999999</v>
      </c>
      <c r="D158" s="2">
        <v>3173.5709999999999</v>
      </c>
      <c r="E158" s="2">
        <v>125659.731</v>
      </c>
      <c r="F158" s="2" t="s">
        <v>158</v>
      </c>
      <c r="G158" s="2">
        <v>105981.88499999999</v>
      </c>
      <c r="H158" s="2">
        <v>323.39999999999998</v>
      </c>
      <c r="I158" s="2">
        <v>1.1259999999999999</v>
      </c>
      <c r="J158" s="2">
        <f>LEFT(A158,4)*1</f>
        <v>2009</v>
      </c>
      <c r="K158" s="2">
        <f>RIGHT(A158,2)*1</f>
        <v>12</v>
      </c>
      <c r="L158" s="2" t="str">
        <f t="shared" si="6"/>
        <v>Hiver</v>
      </c>
      <c r="M158" s="2" t="str">
        <f t="shared" si="7"/>
        <v>Chauffe</v>
      </c>
      <c r="V158" s="2">
        <v>323.39999999999998</v>
      </c>
      <c r="W158" s="2" t="s">
        <v>158</v>
      </c>
    </row>
    <row r="159" spans="1:23">
      <c r="A159" s="2" t="s">
        <v>172</v>
      </c>
      <c r="B159" s="2">
        <v>-1108.1990000000001</v>
      </c>
      <c r="C159" s="2">
        <v>1918.345</v>
      </c>
      <c r="D159" s="2">
        <v>3026.5450000000001</v>
      </c>
      <c r="E159" s="2">
        <v>104229.405</v>
      </c>
      <c r="F159" s="2" t="s">
        <v>158</v>
      </c>
      <c r="G159" s="2">
        <v>103533.11900000001</v>
      </c>
      <c r="H159" s="2">
        <v>142.9</v>
      </c>
      <c r="I159" s="2">
        <v>0.73</v>
      </c>
      <c r="J159" s="2">
        <f>LEFT(A159,4)*1</f>
        <v>2009</v>
      </c>
      <c r="K159" s="2">
        <f>RIGHT(A159,2)*1</f>
        <v>11</v>
      </c>
      <c r="L159" s="2" t="str">
        <f t="shared" si="6"/>
        <v>Automne</v>
      </c>
      <c r="M159" s="2" t="str">
        <f t="shared" si="7"/>
        <v>Chauffe</v>
      </c>
      <c r="V159" s="2">
        <v>142.9</v>
      </c>
      <c r="W159" s="2" t="s">
        <v>158</v>
      </c>
    </row>
    <row r="160" spans="1:23">
      <c r="A160" s="2" t="s">
        <v>173</v>
      </c>
      <c r="B160" s="2">
        <v>428.077</v>
      </c>
      <c r="C160" s="2">
        <v>2606.4690000000001</v>
      </c>
      <c r="D160" s="2">
        <v>2178.3919999999998</v>
      </c>
      <c r="E160" s="2">
        <v>102928.094</v>
      </c>
      <c r="F160" s="2" t="s">
        <v>158</v>
      </c>
      <c r="G160" s="2">
        <v>105076.21</v>
      </c>
      <c r="H160" s="2" t="s">
        <v>174</v>
      </c>
      <c r="I160" s="2">
        <v>1.24</v>
      </c>
      <c r="J160" s="2">
        <f>LEFT(A160,4)*1</f>
        <v>2009</v>
      </c>
      <c r="K160" s="2">
        <f>RIGHT(A160,2)*1</f>
        <v>10</v>
      </c>
      <c r="L160" s="2" t="str">
        <f t="shared" si="6"/>
        <v>Automne</v>
      </c>
      <c r="M160" s="2" t="str">
        <f t="shared" si="7"/>
        <v>Chauffe</v>
      </c>
      <c r="V160" s="2" t="s">
        <v>174</v>
      </c>
      <c r="W160" s="2" t="s">
        <v>158</v>
      </c>
    </row>
    <row r="161" spans="1:23">
      <c r="A161" s="2" t="s">
        <v>175</v>
      </c>
      <c r="B161" s="2">
        <v>-1262.2270000000001</v>
      </c>
      <c r="C161" s="2">
        <v>1603.289</v>
      </c>
      <c r="D161" s="2">
        <v>2865.5160000000001</v>
      </c>
      <c r="E161" s="2">
        <v>94077.994999999995</v>
      </c>
      <c r="F161" s="2" t="s">
        <v>158</v>
      </c>
      <c r="G161" s="2">
        <v>104596.814</v>
      </c>
      <c r="H161" s="2" t="s">
        <v>2</v>
      </c>
      <c r="I161" s="2" t="s">
        <v>3</v>
      </c>
      <c r="J161" s="2">
        <f>LEFT(A161,4)*1</f>
        <v>2009</v>
      </c>
      <c r="K161" s="2">
        <f>RIGHT(A161,2)*1</f>
        <v>9</v>
      </c>
      <c r="L161" s="2" t="str">
        <f t="shared" si="6"/>
        <v>Automne</v>
      </c>
      <c r="M161" s="2" t="str">
        <f t="shared" si="7"/>
        <v>Hors chauffe</v>
      </c>
      <c r="V161" s="2" t="s">
        <v>2</v>
      </c>
      <c r="W161" s="2" t="s">
        <v>158</v>
      </c>
    </row>
    <row r="162" spans="1:23">
      <c r="A162" s="2" t="s">
        <v>176</v>
      </c>
      <c r="B162" s="2">
        <v>-2074.373</v>
      </c>
      <c r="C162" s="2">
        <v>1372.2470000000001</v>
      </c>
      <c r="D162" s="2">
        <v>3446.62</v>
      </c>
      <c r="E162" s="2">
        <v>92509.186000000002</v>
      </c>
      <c r="F162" s="2" t="s">
        <v>158</v>
      </c>
      <c r="G162" s="2">
        <v>103976.855</v>
      </c>
      <c r="H162" s="2" t="s">
        <v>2</v>
      </c>
      <c r="I162" s="2" t="s">
        <v>3</v>
      </c>
      <c r="J162" s="2">
        <f>LEFT(A162,4)*1</f>
        <v>2009</v>
      </c>
      <c r="K162" s="2">
        <f>RIGHT(A162,2)*1</f>
        <v>8</v>
      </c>
      <c r="L162" s="2" t="str">
        <f t="shared" si="6"/>
        <v>Été</v>
      </c>
      <c r="M162" s="2" t="str">
        <f t="shared" si="7"/>
        <v>Hors chauffe</v>
      </c>
      <c r="V162" s="2" t="s">
        <v>2</v>
      </c>
      <c r="W162" s="2" t="s">
        <v>158</v>
      </c>
    </row>
    <row r="163" spans="1:23">
      <c r="A163" s="2" t="s">
        <v>177</v>
      </c>
      <c r="B163" s="2">
        <v>-1358.2439999999999</v>
      </c>
      <c r="C163" s="2">
        <v>2025.365</v>
      </c>
      <c r="D163" s="2">
        <v>3383.6089999999999</v>
      </c>
      <c r="E163" s="2">
        <v>96602.067999999999</v>
      </c>
      <c r="F163" s="2" t="s">
        <v>158</v>
      </c>
      <c r="G163" s="2">
        <v>105899.999</v>
      </c>
      <c r="H163" s="2" t="s">
        <v>2</v>
      </c>
      <c r="I163" s="2" t="s">
        <v>3</v>
      </c>
      <c r="J163" s="2">
        <f>LEFT(A163,4)*1</f>
        <v>2009</v>
      </c>
      <c r="K163" s="2">
        <f>RIGHT(A163,2)*1</f>
        <v>7</v>
      </c>
      <c r="L163" s="2" t="str">
        <f t="shared" si="6"/>
        <v>Été</v>
      </c>
      <c r="M163" s="2" t="str">
        <f t="shared" si="7"/>
        <v>Hors chauffe</v>
      </c>
      <c r="V163" s="2" t="s">
        <v>2</v>
      </c>
      <c r="W163" s="2" t="s">
        <v>158</v>
      </c>
    </row>
    <row r="164" spans="1:23">
      <c r="A164" s="2" t="s">
        <v>178</v>
      </c>
      <c r="B164" s="2">
        <v>-1950.3510000000001</v>
      </c>
      <c r="C164" s="2">
        <v>1510.2719999999999</v>
      </c>
      <c r="D164" s="2">
        <v>3460.623</v>
      </c>
      <c r="E164" s="2">
        <v>91702.365999999995</v>
      </c>
      <c r="F164" s="2" t="s">
        <v>158</v>
      </c>
      <c r="G164" s="2">
        <v>105465.19899999999</v>
      </c>
      <c r="H164" s="2" t="s">
        <v>2</v>
      </c>
      <c r="I164" s="2" t="s">
        <v>3</v>
      </c>
      <c r="J164" s="2">
        <f>LEFT(A164,4)*1</f>
        <v>2009</v>
      </c>
      <c r="K164" s="2">
        <f>RIGHT(A164,2)*1</f>
        <v>6</v>
      </c>
      <c r="L164" s="2" t="str">
        <f t="shared" si="6"/>
        <v>Été</v>
      </c>
      <c r="M164" s="2" t="str">
        <f t="shared" si="7"/>
        <v>Hors chauffe</v>
      </c>
      <c r="V164" s="2" t="s">
        <v>2</v>
      </c>
      <c r="W164" s="2" t="s">
        <v>158</v>
      </c>
    </row>
    <row r="165" spans="1:23">
      <c r="A165" s="2" t="s">
        <v>179</v>
      </c>
      <c r="B165" s="2">
        <v>-4540.817</v>
      </c>
      <c r="C165" s="2">
        <v>693.125</v>
      </c>
      <c r="D165" s="2">
        <v>5233.942</v>
      </c>
      <c r="E165" s="2">
        <v>98846.35</v>
      </c>
      <c r="F165" s="2" t="s">
        <v>158</v>
      </c>
      <c r="G165" s="2">
        <v>108683.44100000001</v>
      </c>
      <c r="H165" s="2">
        <v>32.4</v>
      </c>
      <c r="I165" s="2">
        <v>0.69199999999999995</v>
      </c>
      <c r="J165" s="2">
        <f>LEFT(A165,4)*1</f>
        <v>2009</v>
      </c>
      <c r="K165" s="2">
        <f>RIGHT(A165,2)*1</f>
        <v>5</v>
      </c>
      <c r="L165" s="2" t="str">
        <f t="shared" si="6"/>
        <v>Printemps</v>
      </c>
      <c r="M165" s="2" t="str">
        <f t="shared" si="7"/>
        <v>Chauffe</v>
      </c>
      <c r="V165" s="2">
        <v>32.4</v>
      </c>
      <c r="W165" s="2" t="s">
        <v>158</v>
      </c>
    </row>
    <row r="166" spans="1:23">
      <c r="A166" s="2" t="s">
        <v>180</v>
      </c>
      <c r="B166" s="2">
        <v>-2783.5010000000002</v>
      </c>
      <c r="C166" s="2">
        <v>1033.1859999999999</v>
      </c>
      <c r="D166" s="2">
        <v>3816.6869999999999</v>
      </c>
      <c r="E166" s="2">
        <v>102968.626</v>
      </c>
      <c r="F166" s="2" t="s">
        <v>158</v>
      </c>
      <c r="G166" s="2">
        <v>108421.89</v>
      </c>
      <c r="H166" s="2">
        <v>94.5</v>
      </c>
      <c r="I166" s="2">
        <v>0.80500000000000005</v>
      </c>
      <c r="J166" s="2">
        <f>LEFT(A166,4)*1</f>
        <v>2009</v>
      </c>
      <c r="K166" s="2">
        <f>RIGHT(A166,2)*1</f>
        <v>4</v>
      </c>
      <c r="L166" s="2" t="str">
        <f t="shared" si="6"/>
        <v>Printemps</v>
      </c>
      <c r="M166" s="2" t="str">
        <f t="shared" si="7"/>
        <v>Chauffe</v>
      </c>
      <c r="V166" s="2">
        <v>94.5</v>
      </c>
      <c r="W166" s="2" t="s">
        <v>158</v>
      </c>
    </row>
    <row r="167" spans="1:23">
      <c r="A167" s="2" t="s">
        <v>181</v>
      </c>
      <c r="B167" s="2">
        <v>-4449.8010000000004</v>
      </c>
      <c r="C167" s="2">
        <v>827.149</v>
      </c>
      <c r="D167" s="2">
        <v>5276.95</v>
      </c>
      <c r="E167" s="2">
        <v>116954.23</v>
      </c>
      <c r="F167" s="2" t="s">
        <v>158</v>
      </c>
      <c r="G167" s="2">
        <v>108972.999</v>
      </c>
      <c r="H167" s="2">
        <v>224.9</v>
      </c>
      <c r="I167" s="2">
        <v>1.121</v>
      </c>
      <c r="J167" s="2">
        <f>LEFT(A167,4)*1</f>
        <v>2009</v>
      </c>
      <c r="K167" s="2">
        <f>RIGHT(A167,2)*1</f>
        <v>3</v>
      </c>
      <c r="L167" s="2" t="str">
        <f t="shared" si="6"/>
        <v>Printemps</v>
      </c>
      <c r="M167" s="2" t="str">
        <f t="shared" si="7"/>
        <v>Chauffe</v>
      </c>
      <c r="V167" s="2">
        <v>224.9</v>
      </c>
      <c r="W167" s="2" t="s">
        <v>158</v>
      </c>
    </row>
    <row r="168" spans="1:23">
      <c r="A168" s="2" t="s">
        <v>182</v>
      </c>
      <c r="B168" s="2">
        <v>-3328.5990000000002</v>
      </c>
      <c r="C168" s="2">
        <v>982.17700000000002</v>
      </c>
      <c r="D168" s="2">
        <v>4310.7759999999998</v>
      </c>
      <c r="E168" s="2">
        <v>120325.284</v>
      </c>
      <c r="F168" s="2" t="s">
        <v>158</v>
      </c>
      <c r="G168" s="2">
        <v>111904.909</v>
      </c>
      <c r="H168" s="2">
        <v>292.60000000000002</v>
      </c>
      <c r="I168" s="2">
        <v>1.135</v>
      </c>
      <c r="J168" s="2">
        <f>LEFT(A168,4)*1</f>
        <v>2009</v>
      </c>
      <c r="K168" s="2">
        <f>RIGHT(A168,2)*1</f>
        <v>2</v>
      </c>
      <c r="L168" s="2" t="str">
        <f t="shared" si="6"/>
        <v>Hiver</v>
      </c>
      <c r="M168" s="2" t="str">
        <f t="shared" si="7"/>
        <v>Chauffe</v>
      </c>
      <c r="V168" s="2">
        <v>292.60000000000002</v>
      </c>
      <c r="W168" s="2" t="s">
        <v>158</v>
      </c>
    </row>
    <row r="169" spans="1:23">
      <c r="A169" s="2" t="s">
        <v>183</v>
      </c>
      <c r="B169" s="2">
        <v>-2718.489</v>
      </c>
      <c r="C169" s="2">
        <v>1569.2819999999999</v>
      </c>
      <c r="D169" s="2">
        <v>4287.7719999999999</v>
      </c>
      <c r="E169" s="2">
        <v>140637.698</v>
      </c>
      <c r="F169" s="2" t="s">
        <v>158</v>
      </c>
      <c r="G169" s="2">
        <v>114694.136</v>
      </c>
      <c r="H169" s="2">
        <v>391.8</v>
      </c>
      <c r="I169" s="2">
        <v>1.256</v>
      </c>
      <c r="J169" s="2">
        <f>LEFT(A169,4)*1</f>
        <v>2009</v>
      </c>
      <c r="K169" s="2">
        <f>RIGHT(A169,2)*1</f>
        <v>1</v>
      </c>
      <c r="L169" s="2" t="str">
        <f t="shared" si="6"/>
        <v>Hiver</v>
      </c>
      <c r="M169" s="2" t="str">
        <f t="shared" si="7"/>
        <v>Chauffe</v>
      </c>
      <c r="V169" s="2">
        <v>391.8</v>
      </c>
      <c r="W169" s="2" t="s">
        <v>158</v>
      </c>
    </row>
    <row r="170" spans="1:23">
      <c r="A170" s="2" t="s">
        <v>184</v>
      </c>
      <c r="B170" s="2">
        <v>-2868.5160000000001</v>
      </c>
      <c r="C170" s="2">
        <v>1395.251</v>
      </c>
      <c r="D170" s="2">
        <v>4263.7669999999998</v>
      </c>
      <c r="E170" s="2">
        <v>134600.02499999999</v>
      </c>
      <c r="F170" s="2" t="s">
        <v>158</v>
      </c>
      <c r="G170" s="2">
        <v>114380.36599999999</v>
      </c>
      <c r="H170" s="2">
        <v>346.8</v>
      </c>
      <c r="I170" s="2">
        <v>1.2070000000000001</v>
      </c>
      <c r="J170" s="2">
        <f>LEFT(A170,4)*1</f>
        <v>2008</v>
      </c>
      <c r="K170" s="2">
        <f>RIGHT(A170,2)*1</f>
        <v>12</v>
      </c>
      <c r="L170" s="2" t="str">
        <f t="shared" si="6"/>
        <v>Hiver</v>
      </c>
      <c r="M170" s="2" t="str">
        <f t="shared" si="7"/>
        <v>Chauffe</v>
      </c>
      <c r="V170" s="2">
        <v>346.8</v>
      </c>
      <c r="W170" s="2" t="s">
        <v>158</v>
      </c>
    </row>
    <row r="171" spans="1:23">
      <c r="A171" s="2" t="s">
        <v>185</v>
      </c>
      <c r="B171" s="2">
        <v>-3428.6170000000002</v>
      </c>
      <c r="C171" s="2">
        <v>940.16899999999998</v>
      </c>
      <c r="D171" s="2">
        <v>4368.7860000000001</v>
      </c>
      <c r="E171" s="2">
        <v>117118.58500000001</v>
      </c>
      <c r="F171" s="2" t="s">
        <v>158</v>
      </c>
      <c r="G171" s="2">
        <v>114202.05499999999</v>
      </c>
      <c r="H171" s="2">
        <v>212.9</v>
      </c>
      <c r="I171" s="2">
        <v>1.087</v>
      </c>
      <c r="J171" s="2">
        <f>LEFT(A171,4)*1</f>
        <v>2008</v>
      </c>
      <c r="K171" s="2">
        <f>RIGHT(A171,2)*1</f>
        <v>11</v>
      </c>
      <c r="L171" s="2" t="str">
        <f t="shared" si="6"/>
        <v>Automne</v>
      </c>
      <c r="M171" s="2" t="str">
        <f t="shared" si="7"/>
        <v>Chauffe</v>
      </c>
      <c r="V171" s="2">
        <v>212.9</v>
      </c>
      <c r="W171" s="2" t="s">
        <v>158</v>
      </c>
    </row>
    <row r="172" spans="1:23">
      <c r="A172" s="2" t="s">
        <v>186</v>
      </c>
      <c r="B172" s="2">
        <v>-1480.2660000000001</v>
      </c>
      <c r="C172" s="2">
        <v>1577.2840000000001</v>
      </c>
      <c r="D172" s="2">
        <v>3057.55</v>
      </c>
      <c r="E172" s="2">
        <v>110863.045</v>
      </c>
      <c r="F172" s="2" t="s">
        <v>158</v>
      </c>
      <c r="G172" s="2">
        <v>111674.61500000001</v>
      </c>
      <c r="H172" s="2">
        <v>109.9</v>
      </c>
      <c r="I172" s="2">
        <v>1.4810000000000001</v>
      </c>
      <c r="J172" s="2">
        <f>LEFT(A172,4)*1</f>
        <v>2008</v>
      </c>
      <c r="K172" s="2">
        <f>RIGHT(A172,2)*1</f>
        <v>10</v>
      </c>
      <c r="L172" s="2" t="str">
        <f t="shared" si="6"/>
        <v>Automne</v>
      </c>
      <c r="M172" s="2" t="str">
        <f t="shared" si="7"/>
        <v>Chauffe</v>
      </c>
      <c r="V172" s="2">
        <v>109.9</v>
      </c>
      <c r="W172" s="2" t="s">
        <v>158</v>
      </c>
    </row>
    <row r="173" spans="1:23">
      <c r="A173" s="2" t="s">
        <v>187</v>
      </c>
      <c r="B173" s="2">
        <v>-3689.6640000000002</v>
      </c>
      <c r="C173" s="2">
        <v>878.15800000000002</v>
      </c>
      <c r="D173" s="2">
        <v>4567.8220000000001</v>
      </c>
      <c r="E173" s="2">
        <v>101280.71</v>
      </c>
      <c r="F173" s="2" t="s">
        <v>158</v>
      </c>
      <c r="G173" s="2">
        <v>111196.348</v>
      </c>
      <c r="H173" s="2" t="s">
        <v>2</v>
      </c>
      <c r="I173" s="2" t="s">
        <v>3</v>
      </c>
      <c r="J173" s="2">
        <f>LEFT(A173,4)*1</f>
        <v>2008</v>
      </c>
      <c r="K173" s="2">
        <f>RIGHT(A173,2)*1</f>
        <v>9</v>
      </c>
      <c r="L173" s="2" t="str">
        <f t="shared" si="6"/>
        <v>Automne</v>
      </c>
      <c r="M173" s="2" t="str">
        <f t="shared" si="7"/>
        <v>Hors chauffe</v>
      </c>
      <c r="V173" s="2" t="s">
        <v>2</v>
      </c>
      <c r="W173" s="2" t="s">
        <v>158</v>
      </c>
    </row>
    <row r="174" spans="1:23">
      <c r="A174" s="2" t="s">
        <v>188</v>
      </c>
      <c r="B174" s="2">
        <v>-5184.933</v>
      </c>
      <c r="C174" s="2">
        <v>876.15800000000002</v>
      </c>
      <c r="D174" s="2">
        <v>6061.0910000000003</v>
      </c>
      <c r="E174" s="2">
        <v>102012.065</v>
      </c>
      <c r="F174" s="2" t="s">
        <v>158</v>
      </c>
      <c r="G174" s="2">
        <v>114047.44100000001</v>
      </c>
      <c r="H174" s="2" t="s">
        <v>2</v>
      </c>
      <c r="I174" s="2" t="s">
        <v>3</v>
      </c>
      <c r="J174" s="2">
        <f>LEFT(A174,4)*1</f>
        <v>2008</v>
      </c>
      <c r="K174" s="2">
        <f>RIGHT(A174,2)*1</f>
        <v>8</v>
      </c>
      <c r="L174" s="2" t="str">
        <f t="shared" si="6"/>
        <v>Été</v>
      </c>
      <c r="M174" s="2" t="str">
        <f t="shared" si="7"/>
        <v>Hors chauffe</v>
      </c>
      <c r="V174" s="2" t="s">
        <v>2</v>
      </c>
      <c r="W174" s="2" t="s">
        <v>158</v>
      </c>
    </row>
    <row r="175" spans="1:23">
      <c r="A175" s="2" t="s">
        <v>189</v>
      </c>
      <c r="B175" s="2">
        <v>-4782.8609999999999</v>
      </c>
      <c r="C175" s="2">
        <v>642.11599999999999</v>
      </c>
      <c r="D175" s="2">
        <v>5424.9759999999997</v>
      </c>
      <c r="E175" s="2">
        <v>103509.322</v>
      </c>
      <c r="F175" s="2" t="s">
        <v>158</v>
      </c>
      <c r="G175" s="2">
        <v>112917.77800000001</v>
      </c>
      <c r="H175" s="2" t="s">
        <v>2</v>
      </c>
      <c r="I175" s="2" t="s">
        <v>3</v>
      </c>
      <c r="J175" s="2">
        <f>LEFT(A175,4)*1</f>
        <v>2008</v>
      </c>
      <c r="K175" s="2">
        <f>RIGHT(A175,2)*1</f>
        <v>7</v>
      </c>
      <c r="L175" s="2" t="str">
        <f t="shared" si="6"/>
        <v>Été</v>
      </c>
      <c r="M175" s="2" t="str">
        <f t="shared" si="7"/>
        <v>Hors chauffe</v>
      </c>
      <c r="V175" s="2" t="s">
        <v>2</v>
      </c>
      <c r="W175" s="2" t="s">
        <v>158</v>
      </c>
    </row>
    <row r="176" spans="1:23">
      <c r="A176" s="2" t="s">
        <v>190</v>
      </c>
      <c r="B176" s="2">
        <v>-5179.9319999999998</v>
      </c>
      <c r="C176" s="2">
        <v>446.08</v>
      </c>
      <c r="D176" s="2">
        <v>5626.0129999999999</v>
      </c>
      <c r="E176" s="2">
        <v>95006.520999999993</v>
      </c>
      <c r="F176" s="2" t="s">
        <v>158</v>
      </c>
      <c r="G176" s="2">
        <v>108109.689</v>
      </c>
      <c r="H176" s="2" t="s">
        <v>2</v>
      </c>
      <c r="I176" s="2" t="s">
        <v>3</v>
      </c>
      <c r="J176" s="2">
        <f>LEFT(A176,4)*1</f>
        <v>2008</v>
      </c>
      <c r="K176" s="2">
        <f>RIGHT(A176,2)*1</f>
        <v>6</v>
      </c>
      <c r="L176" s="2" t="str">
        <f t="shared" si="6"/>
        <v>Été</v>
      </c>
      <c r="M176" s="2" t="str">
        <f t="shared" si="7"/>
        <v>Hors chauffe</v>
      </c>
      <c r="V176" s="2" t="s">
        <v>2</v>
      </c>
      <c r="W176" s="2" t="s">
        <v>158</v>
      </c>
    </row>
    <row r="177" spans="1:23">
      <c r="A177" s="2" t="s">
        <v>191</v>
      </c>
      <c r="B177" s="2">
        <v>-5818.0469999999996</v>
      </c>
      <c r="C177" s="2">
        <v>314.05700000000002</v>
      </c>
      <c r="D177" s="2">
        <v>6132.1040000000003</v>
      </c>
      <c r="E177" s="2">
        <v>103824.772</v>
      </c>
      <c r="F177" s="2" t="s">
        <v>158</v>
      </c>
      <c r="G177" s="2">
        <v>112831.254</v>
      </c>
      <c r="H177" s="2">
        <v>19.3</v>
      </c>
      <c r="I177" s="2">
        <v>0.41199999999999998</v>
      </c>
      <c r="J177" s="2">
        <f>LEFT(A177,4)*1</f>
        <v>2008</v>
      </c>
      <c r="K177" s="2">
        <f>RIGHT(A177,2)*1</f>
        <v>5</v>
      </c>
      <c r="L177" s="2" t="str">
        <f t="shared" si="6"/>
        <v>Printemps</v>
      </c>
      <c r="M177" s="2" t="str">
        <f t="shared" si="7"/>
        <v>Chauffe</v>
      </c>
      <c r="V177" s="2">
        <v>19.3</v>
      </c>
      <c r="W177" s="2" t="s">
        <v>158</v>
      </c>
    </row>
    <row r="178" spans="1:23">
      <c r="A178" s="2" t="s">
        <v>192</v>
      </c>
      <c r="B178" s="2">
        <v>-3797.683</v>
      </c>
      <c r="C178" s="2">
        <v>594.10699999999997</v>
      </c>
      <c r="D178" s="2">
        <v>4391.79</v>
      </c>
      <c r="E178" s="2">
        <v>112862.913</v>
      </c>
      <c r="F178" s="2" t="s">
        <v>158</v>
      </c>
      <c r="G178" s="2">
        <v>115986.848</v>
      </c>
      <c r="H178" s="2">
        <v>148.19999999999999</v>
      </c>
      <c r="I178" s="2">
        <v>1.2629999999999999</v>
      </c>
      <c r="J178" s="2">
        <f>LEFT(A178,4)*1</f>
        <v>2008</v>
      </c>
      <c r="K178" s="2">
        <f>RIGHT(A178,2)*1</f>
        <v>4</v>
      </c>
      <c r="L178" s="2" t="str">
        <f t="shared" si="6"/>
        <v>Printemps</v>
      </c>
      <c r="M178" s="2" t="str">
        <f t="shared" si="7"/>
        <v>Chauffe</v>
      </c>
      <c r="V178" s="2">
        <v>148.19999999999999</v>
      </c>
      <c r="W178" s="2" t="s">
        <v>158</v>
      </c>
    </row>
    <row r="179" spans="1:23">
      <c r="A179" s="2" t="s">
        <v>193</v>
      </c>
      <c r="B179" s="2">
        <v>-3074.5529999999999</v>
      </c>
      <c r="C179" s="2">
        <v>915.16499999999996</v>
      </c>
      <c r="D179" s="2">
        <v>3989.7179999999998</v>
      </c>
      <c r="E179" s="2">
        <v>121577.323</v>
      </c>
      <c r="F179" s="2" t="s">
        <v>158</v>
      </c>
      <c r="G179" s="2">
        <v>114711.617</v>
      </c>
      <c r="H179" s="2" t="s">
        <v>194</v>
      </c>
      <c r="I179" s="2">
        <v>1.157</v>
      </c>
      <c r="J179" s="2">
        <f>LEFT(A179,4)*1</f>
        <v>2008</v>
      </c>
      <c r="K179" s="2">
        <f>RIGHT(A179,2)*1</f>
        <v>3</v>
      </c>
      <c r="L179" s="2" t="str">
        <f t="shared" si="6"/>
        <v>Printemps</v>
      </c>
      <c r="M179" s="2" t="str">
        <f t="shared" si="7"/>
        <v>Chauffe</v>
      </c>
      <c r="V179" s="2" t="s">
        <v>194</v>
      </c>
      <c r="W179" s="2" t="s">
        <v>158</v>
      </c>
    </row>
    <row r="180" spans="1:23">
      <c r="A180" s="2" t="s">
        <v>195</v>
      </c>
      <c r="B180" s="2">
        <v>-4344.7820000000002</v>
      </c>
      <c r="C180" s="2">
        <v>520.09400000000005</v>
      </c>
      <c r="D180" s="2">
        <v>4864.8760000000002</v>
      </c>
      <c r="E180" s="2">
        <v>123957.776</v>
      </c>
      <c r="F180" s="2" t="s">
        <v>158</v>
      </c>
      <c r="G180" s="2">
        <v>115156.59299999999</v>
      </c>
      <c r="H180" s="2">
        <v>230.9</v>
      </c>
      <c r="I180" s="2">
        <v>0.89600000000000002</v>
      </c>
      <c r="J180" s="2">
        <f>LEFT(A180,4)*1</f>
        <v>2008</v>
      </c>
      <c r="K180" s="2">
        <f>RIGHT(A180,2)*1</f>
        <v>2</v>
      </c>
      <c r="L180" s="2" t="str">
        <f t="shared" si="6"/>
        <v>Hiver</v>
      </c>
      <c r="M180" s="2" t="str">
        <f t="shared" si="7"/>
        <v>Chauffe</v>
      </c>
      <c r="V180" s="2">
        <v>230.9</v>
      </c>
      <c r="W180" s="2" t="s">
        <v>158</v>
      </c>
    </row>
    <row r="181" spans="1:23">
      <c r="A181" s="2" t="s">
        <v>196</v>
      </c>
      <c r="B181" s="2">
        <v>-4339.7809999999999</v>
      </c>
      <c r="C181" s="2">
        <v>798.14400000000001</v>
      </c>
      <c r="D181" s="2">
        <v>5137.9250000000002</v>
      </c>
      <c r="E181" s="2">
        <v>132330.242</v>
      </c>
      <c r="F181" s="2" t="s">
        <v>158</v>
      </c>
      <c r="G181" s="2">
        <v>110801.045</v>
      </c>
      <c r="H181" s="2">
        <v>257.89999999999998</v>
      </c>
      <c r="I181" s="2">
        <v>0.82699999999999996</v>
      </c>
      <c r="J181" s="2">
        <f>LEFT(A181,4)*1</f>
        <v>2008</v>
      </c>
      <c r="K181" s="2">
        <f>RIGHT(A181,2)*1</f>
        <v>1</v>
      </c>
      <c r="L181" s="2" t="str">
        <f t="shared" si="6"/>
        <v>Hiver</v>
      </c>
      <c r="M181" s="2" t="str">
        <f t="shared" si="7"/>
        <v>Chauffe</v>
      </c>
      <c r="V181" s="2">
        <v>257.89999999999998</v>
      </c>
      <c r="W181" s="2" t="s">
        <v>158</v>
      </c>
    </row>
    <row r="182" spans="1:23">
      <c r="A182" s="2" t="s">
        <v>197</v>
      </c>
      <c r="B182" s="2">
        <v>-1708.307</v>
      </c>
      <c r="C182" s="2">
        <v>1809.326</v>
      </c>
      <c r="D182" s="2">
        <v>3517.6329999999998</v>
      </c>
      <c r="E182" s="2">
        <v>130480.927</v>
      </c>
      <c r="F182" s="2" t="s">
        <v>158</v>
      </c>
      <c r="G182" s="2">
        <v>111663.666</v>
      </c>
      <c r="H182" s="2" t="s">
        <v>198</v>
      </c>
      <c r="I182" s="2">
        <v>1.1240000000000001</v>
      </c>
      <c r="J182" s="2">
        <f>LEFT(A182,4)*1</f>
        <v>2007</v>
      </c>
      <c r="K182" s="2">
        <f>RIGHT(A182,2)*1</f>
        <v>12</v>
      </c>
      <c r="L182" s="2" t="str">
        <f t="shared" si="6"/>
        <v>Hiver</v>
      </c>
      <c r="M182" s="2" t="str">
        <f t="shared" si="7"/>
        <v>Chauffe</v>
      </c>
      <c r="V182" s="2" t="s">
        <v>198</v>
      </c>
      <c r="W182" s="2" t="s">
        <v>158</v>
      </c>
    </row>
    <row r="183" spans="1:23">
      <c r="A183" s="2" t="s">
        <v>199</v>
      </c>
      <c r="B183" s="2">
        <v>-637.11500000000001</v>
      </c>
      <c r="C183" s="2">
        <v>2173.3910000000001</v>
      </c>
      <c r="D183" s="2">
        <v>2810.5059999999999</v>
      </c>
      <c r="E183" s="2">
        <v>117273.587</v>
      </c>
      <c r="F183" s="2" t="s">
        <v>158</v>
      </c>
      <c r="G183" s="2">
        <v>111688.958</v>
      </c>
      <c r="H183" s="2">
        <v>240.3</v>
      </c>
      <c r="I183" s="2">
        <v>1.2270000000000001</v>
      </c>
      <c r="J183" s="2">
        <f>LEFT(A183,4)*1</f>
        <v>2007</v>
      </c>
      <c r="K183" s="2">
        <f>RIGHT(A183,2)*1</f>
        <v>11</v>
      </c>
      <c r="L183" s="2" t="str">
        <f t="shared" si="6"/>
        <v>Automne</v>
      </c>
      <c r="M183" s="2" t="str">
        <f t="shared" si="7"/>
        <v>Chauffe</v>
      </c>
      <c r="V183" s="2">
        <v>240.3</v>
      </c>
      <c r="W183" s="2" t="s">
        <v>158</v>
      </c>
    </row>
    <row r="184" spans="1:23">
      <c r="A184" s="2" t="s">
        <v>200</v>
      </c>
      <c r="B184" s="2">
        <v>-3947.71</v>
      </c>
      <c r="C184" s="2">
        <v>929.16700000000003</v>
      </c>
      <c r="D184" s="2">
        <v>4876.8779999999997</v>
      </c>
      <c r="E184" s="2">
        <v>117575.014</v>
      </c>
      <c r="F184" s="2" t="s">
        <v>158</v>
      </c>
      <c r="G184" s="2">
        <v>117735.175</v>
      </c>
      <c r="H184" s="2">
        <v>111.7</v>
      </c>
      <c r="I184" s="2">
        <v>1.506</v>
      </c>
      <c r="J184" s="2">
        <f>LEFT(A184,4)*1</f>
        <v>2007</v>
      </c>
      <c r="K184" s="2">
        <f>RIGHT(A184,2)*1</f>
        <v>10</v>
      </c>
      <c r="L184" s="2" t="str">
        <f t="shared" si="6"/>
        <v>Automne</v>
      </c>
      <c r="M184" s="2" t="str">
        <f t="shared" si="7"/>
        <v>Chauffe</v>
      </c>
      <c r="V184" s="2">
        <v>111.7</v>
      </c>
      <c r="W184" s="2" t="s">
        <v>158</v>
      </c>
    </row>
    <row r="185" spans="1:23">
      <c r="A185" s="2" t="s">
        <v>201</v>
      </c>
      <c r="B185" s="2">
        <v>-5305.9549999999999</v>
      </c>
      <c r="C185" s="2">
        <v>541.09699999999998</v>
      </c>
      <c r="D185" s="2">
        <v>5847.0519999999997</v>
      </c>
      <c r="E185" s="2">
        <v>105211.071</v>
      </c>
      <c r="F185" s="2" t="s">
        <v>158</v>
      </c>
      <c r="G185" s="2">
        <v>115720.22900000001</v>
      </c>
      <c r="H185" s="2" t="s">
        <v>2</v>
      </c>
      <c r="I185" s="2" t="s">
        <v>3</v>
      </c>
      <c r="J185" s="2">
        <f>LEFT(A185,4)*1</f>
        <v>2007</v>
      </c>
      <c r="K185" s="2">
        <f>RIGHT(A185,2)*1</f>
        <v>9</v>
      </c>
      <c r="L185" s="2" t="str">
        <f t="shared" si="6"/>
        <v>Automne</v>
      </c>
      <c r="M185" s="2" t="str">
        <f t="shared" si="7"/>
        <v>Hors chauffe</v>
      </c>
      <c r="V185" s="2" t="s">
        <v>2</v>
      </c>
      <c r="W185" s="2" t="s">
        <v>158</v>
      </c>
    </row>
    <row r="186" spans="1:23">
      <c r="A186" s="2" t="s">
        <v>202</v>
      </c>
      <c r="B186" s="2">
        <v>-7068.2719999999999</v>
      </c>
      <c r="C186" s="2">
        <v>422.07600000000002</v>
      </c>
      <c r="D186" s="2">
        <v>7490.348</v>
      </c>
      <c r="E186" s="2">
        <v>102538.84299999999</v>
      </c>
      <c r="F186" s="2" t="s">
        <v>158</v>
      </c>
      <c r="G186" s="2">
        <v>113818.15</v>
      </c>
      <c r="H186" s="2" t="s">
        <v>2</v>
      </c>
      <c r="I186" s="2" t="s">
        <v>3</v>
      </c>
      <c r="J186" s="2">
        <f>LEFT(A186,4)*1</f>
        <v>2007</v>
      </c>
      <c r="K186" s="2">
        <f>RIGHT(A186,2)*1</f>
        <v>8</v>
      </c>
      <c r="L186" s="2" t="str">
        <f t="shared" si="6"/>
        <v>Été</v>
      </c>
      <c r="M186" s="2" t="str">
        <f t="shared" si="7"/>
        <v>Hors chauffe</v>
      </c>
      <c r="V186" s="2" t="s">
        <v>2</v>
      </c>
      <c r="W186" s="2" t="s">
        <v>158</v>
      </c>
    </row>
    <row r="187" spans="1:23">
      <c r="A187" s="2" t="s">
        <v>203</v>
      </c>
      <c r="B187" s="2">
        <v>-5740.0330000000004</v>
      </c>
      <c r="C187" s="2">
        <v>621.11199999999997</v>
      </c>
      <c r="D187" s="2">
        <v>6361.1450000000004</v>
      </c>
      <c r="E187" s="2">
        <v>102486.791</v>
      </c>
      <c r="F187" s="2" t="s">
        <v>158</v>
      </c>
      <c r="G187" s="2">
        <v>111908.00900000001</v>
      </c>
      <c r="H187" s="2" t="s">
        <v>2</v>
      </c>
      <c r="I187" s="2" t="s">
        <v>3</v>
      </c>
      <c r="J187" s="2">
        <f>LEFT(A187,4)*1</f>
        <v>2007</v>
      </c>
      <c r="K187" s="2">
        <f>RIGHT(A187,2)*1</f>
        <v>7</v>
      </c>
      <c r="L187" s="2" t="str">
        <f t="shared" si="6"/>
        <v>Été</v>
      </c>
      <c r="M187" s="2" t="str">
        <f t="shared" si="7"/>
        <v>Hors chauffe</v>
      </c>
      <c r="V187" s="2" t="s">
        <v>2</v>
      </c>
      <c r="W187" s="2" t="s">
        <v>158</v>
      </c>
    </row>
    <row r="188" spans="1:23">
      <c r="A188" s="2" t="s">
        <v>204</v>
      </c>
      <c r="B188" s="2">
        <v>-6753.2150000000001</v>
      </c>
      <c r="C188" s="2">
        <v>227.041</v>
      </c>
      <c r="D188" s="2">
        <v>6980.2560000000003</v>
      </c>
      <c r="E188" s="2">
        <v>99372.398000000001</v>
      </c>
      <c r="F188" s="2" t="s">
        <v>158</v>
      </c>
      <c r="G188" s="2">
        <v>111868.215</v>
      </c>
      <c r="H188" s="2" t="s">
        <v>2</v>
      </c>
      <c r="I188" s="2" t="s">
        <v>3</v>
      </c>
      <c r="J188" s="2">
        <f>LEFT(A188,4)*1</f>
        <v>2007</v>
      </c>
      <c r="K188" s="2">
        <f>RIGHT(A188,2)*1</f>
        <v>6</v>
      </c>
      <c r="L188" s="2" t="str">
        <f t="shared" si="6"/>
        <v>Été</v>
      </c>
      <c r="M188" s="2" t="str">
        <f t="shared" si="7"/>
        <v>Hors chauffe</v>
      </c>
      <c r="V188" s="2" t="s">
        <v>2</v>
      </c>
      <c r="W188" s="2" t="s">
        <v>158</v>
      </c>
    </row>
    <row r="189" spans="1:23">
      <c r="A189" s="2" t="s">
        <v>205</v>
      </c>
      <c r="B189" s="2">
        <v>-5659.018</v>
      </c>
      <c r="C189" s="2">
        <v>393.07100000000003</v>
      </c>
      <c r="D189" s="2">
        <v>6052.0889999999999</v>
      </c>
      <c r="E189" s="2">
        <v>102468.624</v>
      </c>
      <c r="F189" s="2" t="s">
        <v>158</v>
      </c>
      <c r="G189" s="2">
        <v>111137.204</v>
      </c>
      <c r="H189" s="2">
        <v>34.5</v>
      </c>
      <c r="I189" s="2">
        <v>0.73699999999999999</v>
      </c>
      <c r="J189" s="2">
        <f>LEFT(A189,4)*1</f>
        <v>2007</v>
      </c>
      <c r="K189" s="2">
        <f>RIGHT(A189,2)*1</f>
        <v>5</v>
      </c>
      <c r="L189" s="2" t="str">
        <f t="shared" si="6"/>
        <v>Printemps</v>
      </c>
      <c r="M189" s="2" t="str">
        <f t="shared" si="7"/>
        <v>Chauffe</v>
      </c>
      <c r="V189" s="2">
        <v>34.5</v>
      </c>
      <c r="W189" s="2" t="s">
        <v>158</v>
      </c>
    </row>
    <row r="190" spans="1:23">
      <c r="A190" s="2" t="s">
        <v>206</v>
      </c>
      <c r="B190" s="2">
        <v>-4643.8360000000002</v>
      </c>
      <c r="C190" s="2">
        <v>675.12199999999996</v>
      </c>
      <c r="D190" s="2">
        <v>5318.9570000000003</v>
      </c>
      <c r="E190" s="2">
        <v>102336.572</v>
      </c>
      <c r="F190" s="2" t="s">
        <v>158</v>
      </c>
      <c r="G190" s="2">
        <v>110151.442</v>
      </c>
      <c r="H190" s="2">
        <v>54.9</v>
      </c>
      <c r="I190" s="2">
        <v>0.46800000000000003</v>
      </c>
      <c r="J190" s="2">
        <f>LEFT(A190,4)*1</f>
        <v>2007</v>
      </c>
      <c r="K190" s="2">
        <f>RIGHT(A190,2)*1</f>
        <v>4</v>
      </c>
      <c r="L190" s="2" t="str">
        <f t="shared" si="6"/>
        <v>Printemps</v>
      </c>
      <c r="M190" s="2" t="str">
        <f t="shared" si="7"/>
        <v>Chauffe</v>
      </c>
      <c r="V190" s="2">
        <v>54.9</v>
      </c>
      <c r="W190" s="2" t="s">
        <v>158</v>
      </c>
    </row>
    <row r="191" spans="1:23">
      <c r="A191" s="2" t="s">
        <v>207</v>
      </c>
      <c r="B191" s="2">
        <v>-5606.009</v>
      </c>
      <c r="C191" s="2">
        <v>552.09900000000005</v>
      </c>
      <c r="D191" s="2">
        <v>6158.1080000000002</v>
      </c>
      <c r="E191" s="2">
        <v>118477.405</v>
      </c>
      <c r="F191" s="2" t="s">
        <v>158</v>
      </c>
      <c r="G191" s="2">
        <v>112407.77800000001</v>
      </c>
      <c r="H191" s="2">
        <v>212.2</v>
      </c>
      <c r="I191" s="2">
        <v>1.0580000000000001</v>
      </c>
      <c r="J191" s="2">
        <f>LEFT(A191,4)*1</f>
        <v>2007</v>
      </c>
      <c r="K191" s="2">
        <f>RIGHT(A191,2)*1</f>
        <v>3</v>
      </c>
      <c r="L191" s="2" t="str">
        <f t="shared" si="6"/>
        <v>Printemps</v>
      </c>
      <c r="M191" s="2" t="str">
        <f t="shared" si="7"/>
        <v>Chauffe</v>
      </c>
      <c r="V191" s="2">
        <v>212.2</v>
      </c>
      <c r="W191" s="2" t="s">
        <v>158</v>
      </c>
    </row>
    <row r="192" spans="1:23">
      <c r="A192" s="2" t="s">
        <v>208</v>
      </c>
      <c r="B192" s="2">
        <v>-5138.9250000000002</v>
      </c>
      <c r="C192" s="2">
        <v>534.096</v>
      </c>
      <c r="D192" s="2">
        <v>5673.0209999999997</v>
      </c>
      <c r="E192" s="2">
        <v>115578.93700000001</v>
      </c>
      <c r="F192" s="2" t="s">
        <v>158</v>
      </c>
      <c r="G192" s="2">
        <v>112386.17600000001</v>
      </c>
      <c r="H192" s="2" t="s">
        <v>41</v>
      </c>
      <c r="I192" s="2">
        <v>0.75600000000000001</v>
      </c>
      <c r="J192" s="2">
        <f>LEFT(A192,4)*1</f>
        <v>2007</v>
      </c>
      <c r="K192" s="2">
        <f>RIGHT(A192,2)*1</f>
        <v>2</v>
      </c>
      <c r="L192" s="2" t="str">
        <f t="shared" si="6"/>
        <v>Hiver</v>
      </c>
      <c r="M192" s="2" t="str">
        <f t="shared" si="7"/>
        <v>Chauffe</v>
      </c>
      <c r="V192" s="2" t="s">
        <v>41</v>
      </c>
      <c r="W192" s="2" t="s">
        <v>158</v>
      </c>
    </row>
    <row r="193" spans="1:23">
      <c r="A193" s="2" t="s">
        <v>209</v>
      </c>
      <c r="B193" s="2">
        <v>-4837.8710000000001</v>
      </c>
      <c r="C193" s="2">
        <v>841.15099999999995</v>
      </c>
      <c r="D193" s="2">
        <v>5679.0219999999999</v>
      </c>
      <c r="E193" s="2">
        <v>130794.83100000001</v>
      </c>
      <c r="F193" s="2" t="s">
        <v>158</v>
      </c>
      <c r="G193" s="2">
        <v>110731.955</v>
      </c>
      <c r="H193" s="2">
        <v>244.1</v>
      </c>
      <c r="I193" s="2">
        <v>0.78300000000000003</v>
      </c>
      <c r="J193" s="2">
        <f>LEFT(A193,4)*1</f>
        <v>2007</v>
      </c>
      <c r="K193" s="2">
        <f>RIGHT(A193,2)*1</f>
        <v>1</v>
      </c>
      <c r="L193" s="2" t="str">
        <f t="shared" si="6"/>
        <v>Hiver</v>
      </c>
      <c r="M193" s="2" t="str">
        <f t="shared" si="7"/>
        <v>Chauffe</v>
      </c>
      <c r="V193" s="2">
        <v>244.1</v>
      </c>
      <c r="W193" s="2" t="s">
        <v>158</v>
      </c>
    </row>
    <row r="194" spans="1:23">
      <c r="A194" s="2" t="s">
        <v>210</v>
      </c>
      <c r="B194" s="2">
        <v>-3941.7089999999998</v>
      </c>
      <c r="C194" s="2">
        <v>1126.203</v>
      </c>
      <c r="D194" s="2">
        <v>5067.9120000000003</v>
      </c>
      <c r="E194" s="2">
        <v>129857.194</v>
      </c>
      <c r="F194" s="2" t="s">
        <v>158</v>
      </c>
      <c r="G194" s="2">
        <v>112100.511</v>
      </c>
      <c r="H194" s="2">
        <v>287.8</v>
      </c>
      <c r="I194" s="2">
        <v>1.002</v>
      </c>
      <c r="J194" s="2">
        <f>LEFT(A194,4)*1</f>
        <v>2006</v>
      </c>
      <c r="K194" s="2">
        <f>RIGHT(A194,2)*1</f>
        <v>12</v>
      </c>
      <c r="L194" s="2" t="str">
        <f t="shared" si="6"/>
        <v>Hiver</v>
      </c>
      <c r="M194" s="2" t="str">
        <f t="shared" si="7"/>
        <v>Chauffe</v>
      </c>
      <c r="V194" s="2">
        <v>287.8</v>
      </c>
      <c r="W194" s="2" t="s">
        <v>158</v>
      </c>
    </row>
    <row r="195" spans="1:23">
      <c r="A195" s="2" t="s">
        <v>211</v>
      </c>
      <c r="B195" s="2">
        <v>-6501.17</v>
      </c>
      <c r="C195" s="2">
        <v>414.07499999999999</v>
      </c>
      <c r="D195" s="2">
        <v>6915.2449999999999</v>
      </c>
      <c r="E195" s="2">
        <v>116419.791</v>
      </c>
      <c r="F195" s="2" t="s">
        <v>158</v>
      </c>
      <c r="G195" s="2">
        <v>113128.495</v>
      </c>
      <c r="H195" s="2">
        <v>152.5</v>
      </c>
      <c r="I195" s="2">
        <v>0.77900000000000003</v>
      </c>
      <c r="J195" s="2">
        <f>LEFT(A195,4)*1</f>
        <v>2006</v>
      </c>
      <c r="K195" s="2">
        <f>RIGHT(A195,2)*1</f>
        <v>11</v>
      </c>
      <c r="L195" s="2" t="str">
        <f t="shared" si="6"/>
        <v>Automne</v>
      </c>
      <c r="M195" s="2" t="str">
        <f t="shared" si="7"/>
        <v>Chauffe</v>
      </c>
      <c r="V195" s="2">
        <v>152.5</v>
      </c>
      <c r="W195" s="2" t="s">
        <v>158</v>
      </c>
    </row>
    <row r="196" spans="1:23">
      <c r="A196" s="2" t="s">
        <v>212</v>
      </c>
      <c r="B196" s="2">
        <v>-7320.317</v>
      </c>
      <c r="C196" s="2">
        <v>227.041</v>
      </c>
      <c r="D196" s="2">
        <v>7547.3580000000002</v>
      </c>
      <c r="E196" s="2">
        <v>111694.87300000001</v>
      </c>
      <c r="F196" s="2" t="s">
        <v>158</v>
      </c>
      <c r="G196" s="2">
        <v>113564.95600000001</v>
      </c>
      <c r="H196" s="2">
        <v>23.8</v>
      </c>
      <c r="I196" s="2">
        <v>0.32100000000000001</v>
      </c>
      <c r="J196" s="2">
        <f>LEFT(A196,4)*1</f>
        <v>2006</v>
      </c>
      <c r="K196" s="2">
        <f>RIGHT(A196,2)*1</f>
        <v>10</v>
      </c>
      <c r="L196" s="2" t="str">
        <f t="shared" si="6"/>
        <v>Automne</v>
      </c>
      <c r="M196" s="2" t="str">
        <f t="shared" si="7"/>
        <v>Chauffe</v>
      </c>
      <c r="V196" s="2">
        <v>23.8</v>
      </c>
      <c r="W196" s="2" t="s">
        <v>158</v>
      </c>
    </row>
    <row r="197" spans="1:23">
      <c r="A197" s="2" t="s">
        <v>213</v>
      </c>
      <c r="B197" s="2">
        <v>-6982.2569999999996</v>
      </c>
      <c r="C197" s="2">
        <v>229.041</v>
      </c>
      <c r="D197" s="2">
        <v>7211.2979999999998</v>
      </c>
      <c r="E197" s="2">
        <v>105368.041</v>
      </c>
      <c r="F197" s="2" t="s">
        <v>158</v>
      </c>
      <c r="G197" s="2">
        <v>115139.49099999999</v>
      </c>
      <c r="H197" s="2" t="s">
        <v>2</v>
      </c>
      <c r="I197" s="2" t="s">
        <v>3</v>
      </c>
      <c r="J197" s="2">
        <f>LEFT(A197,4)*1</f>
        <v>2006</v>
      </c>
      <c r="K197" s="2">
        <f>RIGHT(A197,2)*1</f>
        <v>9</v>
      </c>
      <c r="L197" s="2" t="str">
        <f t="shared" si="6"/>
        <v>Automne</v>
      </c>
      <c r="M197" s="2" t="str">
        <f t="shared" si="7"/>
        <v>Hors chauffe</v>
      </c>
      <c r="V197" s="2" t="s">
        <v>2</v>
      </c>
      <c r="W197" s="2" t="s">
        <v>158</v>
      </c>
    </row>
    <row r="198" spans="1:23">
      <c r="A198" s="2" t="s">
        <v>214</v>
      </c>
      <c r="B198" s="2">
        <v>-7112.28</v>
      </c>
      <c r="C198" s="2">
        <v>122.02200000000001</v>
      </c>
      <c r="D198" s="2">
        <v>7234.3019999999997</v>
      </c>
      <c r="E198" s="2">
        <v>101691.63499999999</v>
      </c>
      <c r="F198" s="2" t="s">
        <v>158</v>
      </c>
      <c r="G198" s="2">
        <v>113398.849</v>
      </c>
      <c r="H198" s="2" t="s">
        <v>2</v>
      </c>
      <c r="I198" s="2" t="s">
        <v>3</v>
      </c>
      <c r="J198" s="2">
        <f>LEFT(A198,4)*1</f>
        <v>2006</v>
      </c>
      <c r="K198" s="2">
        <f>RIGHT(A198,2)*1</f>
        <v>8</v>
      </c>
      <c r="L198" s="2" t="str">
        <f t="shared" si="6"/>
        <v>Été</v>
      </c>
      <c r="M198" s="2" t="str">
        <f t="shared" si="7"/>
        <v>Hors chauffe</v>
      </c>
      <c r="V198" s="2" t="s">
        <v>2</v>
      </c>
      <c r="W198" s="2" t="s">
        <v>158</v>
      </c>
    </row>
    <row r="199" spans="1:23">
      <c r="A199" s="2" t="s">
        <v>215</v>
      </c>
      <c r="B199" s="2">
        <v>-4966.8940000000002</v>
      </c>
      <c r="C199" s="2">
        <v>623.11199999999997</v>
      </c>
      <c r="D199" s="2">
        <v>5590.0060000000003</v>
      </c>
      <c r="E199" s="2">
        <v>104753.466</v>
      </c>
      <c r="F199" s="2" t="s">
        <v>158</v>
      </c>
      <c r="G199" s="2">
        <v>114948.46</v>
      </c>
      <c r="H199" s="2" t="s">
        <v>2</v>
      </c>
      <c r="I199" s="2" t="s">
        <v>3</v>
      </c>
      <c r="J199" s="2">
        <f>LEFT(A199,4)*1</f>
        <v>2006</v>
      </c>
      <c r="K199" s="2">
        <f>RIGHT(A199,2)*1</f>
        <v>7</v>
      </c>
      <c r="L199" s="2" t="str">
        <f t="shared" si="6"/>
        <v>Été</v>
      </c>
      <c r="M199" s="2" t="str">
        <f t="shared" si="7"/>
        <v>Hors chauffe</v>
      </c>
      <c r="V199" s="2" t="s">
        <v>2</v>
      </c>
      <c r="W199" s="2" t="s">
        <v>158</v>
      </c>
    </row>
    <row r="200" spans="1:23">
      <c r="A200" s="2" t="s">
        <v>216</v>
      </c>
      <c r="B200" s="2">
        <v>-5946.07</v>
      </c>
      <c r="C200" s="2">
        <v>233.042</v>
      </c>
      <c r="D200" s="2">
        <v>6179.1120000000001</v>
      </c>
      <c r="E200" s="2">
        <v>104111.992</v>
      </c>
      <c r="F200" s="2" t="s">
        <v>158</v>
      </c>
      <c r="G200" s="2">
        <v>116101.98</v>
      </c>
      <c r="H200" s="2" t="s">
        <v>2</v>
      </c>
      <c r="I200" s="2" t="s">
        <v>3</v>
      </c>
      <c r="J200" s="2">
        <f>LEFT(A200,4)*1</f>
        <v>2006</v>
      </c>
      <c r="K200" s="2">
        <f>RIGHT(A200,2)*1</f>
        <v>6</v>
      </c>
      <c r="L200" s="2" t="str">
        <f t="shared" si="6"/>
        <v>Été</v>
      </c>
      <c r="M200" s="2" t="str">
        <f t="shared" si="7"/>
        <v>Hors chauffe</v>
      </c>
      <c r="V200" s="2" t="s">
        <v>2</v>
      </c>
      <c r="W200" s="2" t="s">
        <v>158</v>
      </c>
    </row>
    <row r="201" spans="1:23">
      <c r="A201" s="2" t="s">
        <v>217</v>
      </c>
      <c r="B201" s="2">
        <v>-7239.3029999999999</v>
      </c>
      <c r="C201" s="2">
        <v>71.013000000000005</v>
      </c>
      <c r="D201" s="2">
        <v>7310.3159999999998</v>
      </c>
      <c r="E201" s="2">
        <v>108053.89200000001</v>
      </c>
      <c r="F201" s="2" t="s">
        <v>158</v>
      </c>
      <c r="G201" s="2">
        <v>115919.25900000001</v>
      </c>
      <c r="H201" s="2">
        <v>43.1</v>
      </c>
      <c r="I201" s="2">
        <v>0.92</v>
      </c>
      <c r="J201" s="2">
        <f>LEFT(A201,4)*1</f>
        <v>2006</v>
      </c>
      <c r="K201" s="2">
        <f>RIGHT(A201,2)*1</f>
        <v>5</v>
      </c>
      <c r="L201" s="2" t="str">
        <f t="shared" si="6"/>
        <v>Printemps</v>
      </c>
      <c r="M201" s="2" t="str">
        <f t="shared" si="7"/>
        <v>Chauffe</v>
      </c>
      <c r="V201" s="2">
        <v>43.1</v>
      </c>
      <c r="W201" s="2" t="s">
        <v>158</v>
      </c>
    </row>
    <row r="202" spans="1:23">
      <c r="A202" s="2" t="s">
        <v>218</v>
      </c>
      <c r="B202" s="2">
        <v>-7249.3050000000003</v>
      </c>
      <c r="C202" s="2">
        <v>110.02</v>
      </c>
      <c r="D202" s="2">
        <v>7359.3239999999996</v>
      </c>
      <c r="E202" s="2">
        <v>114247.929</v>
      </c>
      <c r="F202" s="2" t="s">
        <v>158</v>
      </c>
      <c r="G202" s="2">
        <v>119291.27099999999</v>
      </c>
      <c r="H202" s="2">
        <v>128.4</v>
      </c>
      <c r="I202" s="2">
        <v>1.0940000000000001</v>
      </c>
      <c r="J202" s="2">
        <f>LEFT(A202,4)*1</f>
        <v>2006</v>
      </c>
      <c r="K202" s="2">
        <f>RIGHT(A202,2)*1</f>
        <v>4</v>
      </c>
      <c r="L202" s="2" t="str">
        <f t="shared" si="6"/>
        <v>Printemps</v>
      </c>
      <c r="M202" s="2" t="str">
        <f t="shared" si="7"/>
        <v>Chauffe</v>
      </c>
      <c r="V202" s="2">
        <v>128.4</v>
      </c>
      <c r="W202" s="2" t="s">
        <v>158</v>
      </c>
    </row>
    <row r="203" spans="1:23">
      <c r="A203" s="2" t="s">
        <v>219</v>
      </c>
      <c r="B203" s="2">
        <v>-2590.4659999999999</v>
      </c>
      <c r="C203" s="2">
        <v>1427.2570000000001</v>
      </c>
      <c r="D203" s="2">
        <v>4017.723</v>
      </c>
      <c r="E203" s="2">
        <v>116731.564</v>
      </c>
      <c r="F203" s="2" t="s">
        <v>158</v>
      </c>
      <c r="G203" s="2">
        <v>108640.348</v>
      </c>
      <c r="H203" s="2">
        <v>248.4</v>
      </c>
      <c r="I203" s="2">
        <v>1.2390000000000001</v>
      </c>
      <c r="J203" s="2">
        <f>LEFT(A203,4)*1</f>
        <v>2006</v>
      </c>
      <c r="K203" s="2">
        <f>RIGHT(A203,2)*1</f>
        <v>3</v>
      </c>
      <c r="L203" s="2" t="str">
        <f t="shared" si="6"/>
        <v>Printemps</v>
      </c>
      <c r="M203" s="2" t="str">
        <f t="shared" si="7"/>
        <v>Chauffe</v>
      </c>
      <c r="V203" s="2">
        <v>248.4</v>
      </c>
      <c r="W203" s="2" t="s">
        <v>158</v>
      </c>
    </row>
    <row r="204" spans="1:23">
      <c r="A204" s="2" t="s">
        <v>220</v>
      </c>
      <c r="B204" s="2">
        <v>-955.17200000000003</v>
      </c>
      <c r="C204" s="2">
        <v>1824.328</v>
      </c>
      <c r="D204" s="2">
        <v>2779.5</v>
      </c>
      <c r="E204" s="2">
        <v>115265.792</v>
      </c>
      <c r="F204" s="2" t="s">
        <v>158</v>
      </c>
      <c r="G204" s="2">
        <v>108790.164</v>
      </c>
      <c r="H204" s="2">
        <v>318.39999999999998</v>
      </c>
      <c r="I204" s="2">
        <v>1.2350000000000001</v>
      </c>
      <c r="J204" s="2">
        <f>LEFT(A204,4)*1</f>
        <v>2006</v>
      </c>
      <c r="K204" s="2">
        <f>RIGHT(A204,2)*1</f>
        <v>2</v>
      </c>
      <c r="L204" s="2" t="str">
        <f t="shared" si="6"/>
        <v>Hiver</v>
      </c>
      <c r="M204" s="2" t="str">
        <f t="shared" si="7"/>
        <v>Chauffe</v>
      </c>
      <c r="V204" s="2">
        <v>318.39999999999998</v>
      </c>
      <c r="W204" s="2" t="s">
        <v>158</v>
      </c>
    </row>
    <row r="205" spans="1:23">
      <c r="A205" s="2" t="s">
        <v>221</v>
      </c>
      <c r="B205" s="2">
        <v>-2807.5050000000001</v>
      </c>
      <c r="C205" s="2">
        <v>1167.21</v>
      </c>
      <c r="D205" s="2">
        <v>3974.7150000000001</v>
      </c>
      <c r="E205" s="2">
        <v>137207.19099999999</v>
      </c>
      <c r="F205" s="2" t="s">
        <v>158</v>
      </c>
      <c r="G205" s="2">
        <v>114376.22100000001</v>
      </c>
      <c r="H205" s="2" t="s">
        <v>222</v>
      </c>
      <c r="I205" s="2">
        <v>1.167</v>
      </c>
      <c r="J205" s="2">
        <f>LEFT(A205,4)*1</f>
        <v>2006</v>
      </c>
      <c r="K205" s="2">
        <f>RIGHT(A205,2)*1</f>
        <v>1</v>
      </c>
      <c r="L205" s="2" t="str">
        <f t="shared" si="6"/>
        <v>Hiver</v>
      </c>
      <c r="M205" s="2" t="str">
        <f t="shared" si="7"/>
        <v>Chauffe</v>
      </c>
      <c r="V205" s="2" t="s">
        <v>222</v>
      </c>
      <c r="W205" s="2" t="s">
        <v>158</v>
      </c>
    </row>
    <row r="206" spans="1:23">
      <c r="A206" s="20"/>
      <c r="B206" s="20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V206" s="19"/>
      <c r="W206" s="19"/>
    </row>
    <row r="207" spans="1:23">
      <c r="A207" s="20"/>
      <c r="B207" s="20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V207" s="19"/>
      <c r="W207" s="19"/>
    </row>
    <row r="208" spans="1:23">
      <c r="A208" s="20"/>
      <c r="B208" s="20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V208" s="19"/>
      <c r="W208" s="19"/>
    </row>
    <row r="209" spans="1:23">
      <c r="A209" s="20"/>
      <c r="B209" s="20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V209" s="19"/>
      <c r="W209" s="19"/>
    </row>
    <row r="210" spans="1:23">
      <c r="A210" s="20"/>
      <c r="B210" s="20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V210" s="19"/>
      <c r="W210" s="19"/>
    </row>
    <row r="211" spans="1:23">
      <c r="A211" s="20"/>
      <c r="B211" s="20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V211" s="19"/>
      <c r="W211" s="19"/>
    </row>
    <row r="212" spans="1:23">
      <c r="A212" s="20"/>
      <c r="B212" s="20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V212" s="19"/>
      <c r="W212" s="19"/>
    </row>
    <row r="213" spans="1:23">
      <c r="A213" s="20"/>
      <c r="B213" s="20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V213" s="19"/>
      <c r="W213" s="19"/>
    </row>
    <row r="214" spans="1:23">
      <c r="A214" s="20"/>
      <c r="B214" s="20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V214" s="19"/>
      <c r="W214" s="19"/>
    </row>
    <row r="215" spans="1:23">
      <c r="A215" s="20"/>
      <c r="B215" s="20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V215" s="19"/>
      <c r="W215" s="19"/>
    </row>
    <row r="216" spans="1:23">
      <c r="A216" s="20"/>
      <c r="B216" s="20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V216" s="19"/>
      <c r="W216" s="19"/>
    </row>
    <row r="217" spans="1:23">
      <c r="A217" s="20"/>
      <c r="B217" s="20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V217" s="19"/>
      <c r="W217" s="19"/>
    </row>
    <row r="218" spans="1:23">
      <c r="A218" s="20"/>
      <c r="B218" s="20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V218" s="19"/>
      <c r="W218" s="19"/>
    </row>
    <row r="219" spans="1:23">
      <c r="A219" s="20"/>
      <c r="B219" s="20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V219" s="19"/>
      <c r="W219" s="19"/>
    </row>
    <row r="220" spans="1:23">
      <c r="A220" s="20"/>
      <c r="B220" s="20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V220" s="19"/>
      <c r="W220" s="19"/>
    </row>
    <row r="221" spans="1:23">
      <c r="A221" s="20"/>
      <c r="B221" s="20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V221" s="19"/>
      <c r="W221" s="19"/>
    </row>
    <row r="222" spans="1:23">
      <c r="A222" s="20"/>
      <c r="B222" s="20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V222" s="19"/>
      <c r="W222" s="19"/>
    </row>
    <row r="223" spans="1:23">
      <c r="A223" s="20"/>
      <c r="B223" s="20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V223" s="19"/>
      <c r="W223" s="19"/>
    </row>
    <row r="224" spans="1:23">
      <c r="A224" s="20"/>
      <c r="B224" s="20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V224" s="19"/>
      <c r="W224" s="19"/>
    </row>
    <row r="225" spans="1:23">
      <c r="A225" s="20"/>
      <c r="B225" s="20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V225" s="19"/>
      <c r="W225" s="19"/>
    </row>
    <row r="226" spans="1:23">
      <c r="A226" s="20"/>
      <c r="B226" s="20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V226" s="19"/>
      <c r="W226" s="19"/>
    </row>
    <row r="227" spans="1:23">
      <c r="A227" s="20"/>
      <c r="B227" s="20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V227" s="19"/>
      <c r="W227" s="19"/>
    </row>
    <row r="228" spans="1:23">
      <c r="A228" s="20"/>
      <c r="B228" s="20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V228" s="19"/>
      <c r="W228" s="19"/>
    </row>
    <row r="229" spans="1:23">
      <c r="A229" s="20"/>
      <c r="B229" s="20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V229" s="19"/>
      <c r="W229" s="19"/>
    </row>
    <row r="230" spans="1:23">
      <c r="A230" s="20"/>
      <c r="B230" s="20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V230" s="19"/>
      <c r="W230" s="19"/>
    </row>
    <row r="231" spans="1:23">
      <c r="A231" s="20"/>
      <c r="B231" s="20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V231" s="19"/>
      <c r="W231" s="19"/>
    </row>
    <row r="232" spans="1:23">
      <c r="A232" s="20"/>
      <c r="B232" s="20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V232" s="19"/>
      <c r="W232" s="19"/>
    </row>
    <row r="233" spans="1:23">
      <c r="A233" s="20"/>
      <c r="B233" s="20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V233" s="19"/>
      <c r="W233" s="19"/>
    </row>
    <row r="234" spans="1:23">
      <c r="A234" s="20"/>
      <c r="B234" s="20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V234" s="19"/>
      <c r="W234" s="19"/>
    </row>
    <row r="235" spans="1:23">
      <c r="A235" s="20"/>
      <c r="B235" s="20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V235" s="19"/>
      <c r="W235" s="19"/>
    </row>
    <row r="236" spans="1:23">
      <c r="A236" s="20"/>
      <c r="B236" s="20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V236" s="19"/>
      <c r="W236" s="19"/>
    </row>
    <row r="237" spans="1:23">
      <c r="A237" s="20"/>
      <c r="B237" s="20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V237" s="19"/>
      <c r="W237" s="19"/>
    </row>
    <row r="238" spans="1:23">
      <c r="A238" s="20"/>
      <c r="B238" s="20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V238" s="19"/>
      <c r="W238" s="19"/>
    </row>
    <row r="239" spans="1:23">
      <c r="A239" s="20"/>
      <c r="B239" s="20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V239" s="19"/>
      <c r="W239" s="19"/>
    </row>
    <row r="240" spans="1:23">
      <c r="A240" s="20"/>
      <c r="B240" s="20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V240" s="19"/>
      <c r="W240" s="19"/>
    </row>
    <row r="241" spans="1:23">
      <c r="A241" s="20"/>
      <c r="B241" s="20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V241" s="19"/>
      <c r="W241" s="19"/>
    </row>
    <row r="242" spans="1:23">
      <c r="A242" s="20"/>
      <c r="B242" s="20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V242" s="19"/>
      <c r="W242" s="19"/>
    </row>
    <row r="243" spans="1:23">
      <c r="A243" s="20"/>
      <c r="B243" s="20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V243" s="19"/>
      <c r="W243" s="19"/>
    </row>
    <row r="244" spans="1:23">
      <c r="A244" s="20"/>
      <c r="B244" s="20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V244" s="19"/>
      <c r="W244" s="19"/>
    </row>
    <row r="245" spans="1:23">
      <c r="A245" s="20"/>
      <c r="B245" s="20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V245" s="19"/>
      <c r="W245" s="19"/>
    </row>
    <row r="246" spans="1:23">
      <c r="A246" s="20"/>
      <c r="B246" s="20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V246" s="19"/>
      <c r="W246" s="19"/>
    </row>
    <row r="247" spans="1:23">
      <c r="A247" s="20"/>
      <c r="B247" s="20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V247" s="19"/>
      <c r="W247" s="19"/>
    </row>
    <row r="248" spans="1:23">
      <c r="A248" s="20"/>
      <c r="B248" s="20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V248" s="19"/>
      <c r="W248" s="19"/>
    </row>
    <row r="249" spans="1:23">
      <c r="A249" s="20"/>
      <c r="B249" s="20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V249" s="19"/>
      <c r="W249" s="19"/>
    </row>
    <row r="250" spans="1:23">
      <c r="A250" s="20"/>
      <c r="B250" s="20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V250" s="19"/>
      <c r="W250" s="19"/>
    </row>
    <row r="251" spans="1:23">
      <c r="A251" s="20"/>
      <c r="B251" s="20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V251" s="19"/>
      <c r="W251" s="19"/>
    </row>
    <row r="252" spans="1:23">
      <c r="A252" s="20"/>
      <c r="B252" s="20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V252" s="19"/>
      <c r="W252" s="19"/>
    </row>
    <row r="253" spans="1:23">
      <c r="A253" s="20"/>
      <c r="B253" s="20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V253" s="19"/>
      <c r="W253" s="19"/>
    </row>
    <row r="254" spans="1:23">
      <c r="A254" s="20"/>
      <c r="B254" s="20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V254" s="19"/>
      <c r="W254" s="19"/>
    </row>
    <row r="255" spans="1:23">
      <c r="A255" s="20"/>
      <c r="B255" s="20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V255" s="19"/>
      <c r="W255" s="19"/>
    </row>
    <row r="256" spans="1:23">
      <c r="A256" s="20"/>
      <c r="B256" s="20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V256" s="19"/>
      <c r="W256" s="19"/>
    </row>
    <row r="257" spans="1:23">
      <c r="A257" s="20"/>
      <c r="B257" s="20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V257" s="19"/>
      <c r="W257" s="19"/>
    </row>
    <row r="258" spans="1:23">
      <c r="A258" s="20"/>
      <c r="B258" s="20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V258" s="19"/>
      <c r="W258" s="19"/>
    </row>
    <row r="259" spans="1:23">
      <c r="A259" s="20"/>
      <c r="B259" s="20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V259" s="19"/>
      <c r="W259" s="19"/>
    </row>
    <row r="260" spans="1:23">
      <c r="A260" s="20"/>
      <c r="B260" s="20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V260" s="19"/>
      <c r="W260" s="19"/>
    </row>
    <row r="261" spans="1:23">
      <c r="A261" s="20"/>
      <c r="B261" s="20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V261" s="19"/>
      <c r="W261" s="19"/>
    </row>
    <row r="262" spans="1:23">
      <c r="A262" s="20"/>
      <c r="B262" s="20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V262" s="19"/>
      <c r="W262" s="19"/>
    </row>
    <row r="263" spans="1:23">
      <c r="A263" s="20"/>
      <c r="B263" s="20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V263" s="19"/>
      <c r="W263" s="19"/>
    </row>
    <row r="264" spans="1:23">
      <c r="A264" s="20"/>
      <c r="B264" s="20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V264" s="19"/>
      <c r="W264" s="19"/>
    </row>
    <row r="265" spans="1:23">
      <c r="A265" s="20"/>
      <c r="B265" s="20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V265" s="19"/>
      <c r="W265" s="19"/>
    </row>
    <row r="266" spans="1:23">
      <c r="A266" s="20"/>
      <c r="B266" s="20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V266" s="19"/>
      <c r="W266" s="19"/>
    </row>
    <row r="267" spans="1:23">
      <c r="A267" s="20"/>
      <c r="B267" s="20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V267" s="19"/>
      <c r="W267" s="19"/>
    </row>
    <row r="268" spans="1:23">
      <c r="A268" s="20"/>
      <c r="B268" s="20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V268" s="19"/>
      <c r="W268" s="19"/>
    </row>
    <row r="269" spans="1:23">
      <c r="A269" s="20"/>
      <c r="B269" s="20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V269" s="19"/>
      <c r="W269" s="19"/>
    </row>
    <row r="270" spans="1:23">
      <c r="A270" s="20"/>
      <c r="B270" s="20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V270" s="19"/>
      <c r="W270" s="19"/>
    </row>
    <row r="271" spans="1:23">
      <c r="A271" s="20"/>
      <c r="B271" s="20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V271" s="19"/>
      <c r="W271" s="19"/>
    </row>
    <row r="272" spans="1:23">
      <c r="A272" s="20"/>
      <c r="B272" s="20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V272" s="19"/>
      <c r="W272" s="19"/>
    </row>
    <row r="273" spans="1:23">
      <c r="A273" s="20"/>
      <c r="B273" s="20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V273" s="19"/>
      <c r="W273" s="19"/>
    </row>
    <row r="274" spans="1:23">
      <c r="A274" s="20"/>
      <c r="B274" s="20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V274" s="19"/>
      <c r="W274" s="19"/>
    </row>
    <row r="275" spans="1:23">
      <c r="A275" s="20"/>
      <c r="B275" s="20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V275" s="19"/>
      <c r="W275" s="19"/>
    </row>
    <row r="276" spans="1:23">
      <c r="A276" s="20"/>
      <c r="B276" s="20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V276" s="19"/>
      <c r="W276" s="19"/>
    </row>
    <row r="277" spans="1:23">
      <c r="A277" s="20"/>
      <c r="B277" s="20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V277" s="19"/>
      <c r="W277" s="19"/>
    </row>
    <row r="278" spans="1:23">
      <c r="A278" s="20"/>
      <c r="B278" s="20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V278" s="19"/>
      <c r="W278" s="19"/>
    </row>
    <row r="279" spans="1:23">
      <c r="A279" s="20"/>
      <c r="B279" s="20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V279" s="19"/>
      <c r="W279" s="19"/>
    </row>
    <row r="280" spans="1:23">
      <c r="A280" s="20"/>
      <c r="B280" s="20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V280" s="19"/>
      <c r="W280" s="19"/>
    </row>
    <row r="281" spans="1:23">
      <c r="A281" s="20"/>
      <c r="B281" s="20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V281" s="19"/>
      <c r="W281" s="19"/>
    </row>
    <row r="282" spans="1:23">
      <c r="A282" s="20"/>
      <c r="B282" s="20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V282" s="19"/>
      <c r="W282" s="19"/>
    </row>
    <row r="283" spans="1:23">
      <c r="A283" s="20"/>
      <c r="B283" s="20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V283" s="19"/>
      <c r="W283" s="19"/>
    </row>
    <row r="284" spans="1:23">
      <c r="A284" s="20"/>
      <c r="B284" s="20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V284" s="19"/>
      <c r="W284" s="19"/>
    </row>
    <row r="285" spans="1:23">
      <c r="A285" s="20"/>
      <c r="B285" s="20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V285" s="19"/>
      <c r="W285" s="19"/>
    </row>
    <row r="286" spans="1:23">
      <c r="A286" s="20"/>
      <c r="B286" s="20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V286" s="19"/>
      <c r="W286" s="19"/>
    </row>
    <row r="287" spans="1:23">
      <c r="A287" s="20"/>
      <c r="B287" s="20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V287" s="19"/>
      <c r="W287" s="19"/>
    </row>
    <row r="288" spans="1:23">
      <c r="A288" s="20"/>
      <c r="B288" s="20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V288" s="19"/>
      <c r="W288" s="19"/>
    </row>
    <row r="289" spans="1:23">
      <c r="A289" s="20"/>
      <c r="B289" s="20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V289" s="19"/>
      <c r="W289" s="19"/>
    </row>
    <row r="290" spans="1:23">
      <c r="A290" s="20"/>
      <c r="B290" s="20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V290" s="19"/>
      <c r="W290" s="19"/>
    </row>
    <row r="291" spans="1:23">
      <c r="A291" s="20"/>
      <c r="B291" s="20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V291" s="19"/>
      <c r="W291" s="19"/>
    </row>
    <row r="292" spans="1:23">
      <c r="A292" s="20"/>
      <c r="B292" s="20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V292" s="19"/>
      <c r="W292" s="19"/>
    </row>
    <row r="293" spans="1:23">
      <c r="A293" s="20"/>
      <c r="B293" s="20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V293" s="19"/>
      <c r="W293" s="19"/>
    </row>
    <row r="294" spans="1:23">
      <c r="A294" s="20"/>
      <c r="B294" s="20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V294" s="19"/>
      <c r="W294" s="19"/>
    </row>
    <row r="295" spans="1:23">
      <c r="A295" s="20"/>
      <c r="B295" s="20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V295" s="19"/>
      <c r="W295" s="19"/>
    </row>
    <row r="296" spans="1:23">
      <c r="A296" s="20"/>
      <c r="B296" s="20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V296" s="19"/>
      <c r="W296" s="19"/>
    </row>
    <row r="297" spans="1:23">
      <c r="A297" s="20"/>
      <c r="B297" s="20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V297" s="19"/>
      <c r="W297" s="19"/>
    </row>
    <row r="298" spans="1:23">
      <c r="A298" s="20"/>
      <c r="B298" s="20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V298" s="19"/>
      <c r="W298" s="19"/>
    </row>
    <row r="299" spans="1:23">
      <c r="A299" s="20"/>
      <c r="B299" s="20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V299" s="19"/>
      <c r="W299" s="19"/>
    </row>
    <row r="300" spans="1:23">
      <c r="A300" s="20"/>
      <c r="B300" s="20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V300" s="19"/>
      <c r="W300" s="19"/>
    </row>
    <row r="301" spans="1:23">
      <c r="A301" s="20"/>
      <c r="B301" s="20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V301" s="19"/>
      <c r="W301" s="19"/>
    </row>
    <row r="302" spans="1:23">
      <c r="A302" s="20"/>
      <c r="B302" s="20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V302" s="19"/>
      <c r="W302" s="19"/>
    </row>
    <row r="303" spans="1:23">
      <c r="A303" s="20"/>
      <c r="B303" s="20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V303" s="19"/>
      <c r="W303" s="19"/>
    </row>
    <row r="304" spans="1:23">
      <c r="A304" s="20"/>
      <c r="B304" s="20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V304" s="19"/>
      <c r="W304" s="19"/>
    </row>
    <row r="305" spans="1:23">
      <c r="A305" s="20"/>
      <c r="B305" s="20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V305" s="19"/>
      <c r="W305" s="19"/>
    </row>
    <row r="306" spans="1:23">
      <c r="A306" s="20"/>
      <c r="B306" s="20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V306" s="19"/>
      <c r="W306" s="19"/>
    </row>
    <row r="307" spans="1:23">
      <c r="A307" s="20"/>
      <c r="B307" s="20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V307" s="19"/>
      <c r="W307" s="19"/>
    </row>
    <row r="308" spans="1:23">
      <c r="A308" s="20"/>
      <c r="B308" s="20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V308" s="19"/>
      <c r="W308" s="19"/>
    </row>
    <row r="309" spans="1:23">
      <c r="A309" s="20"/>
      <c r="B309" s="20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V309" s="19"/>
      <c r="W309" s="19"/>
    </row>
    <row r="310" spans="1:23">
      <c r="A310" s="20"/>
      <c r="B310" s="20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V310" s="19"/>
      <c r="W310" s="19"/>
    </row>
    <row r="311" spans="1:23">
      <c r="A311" s="20"/>
      <c r="B311" s="20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V311" s="19"/>
      <c r="W311" s="19"/>
    </row>
    <row r="312" spans="1:23">
      <c r="A312" s="20"/>
      <c r="B312" s="20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V312" s="19"/>
      <c r="W312" s="19"/>
    </row>
    <row r="313" spans="1:23">
      <c r="A313" s="20"/>
      <c r="B313" s="20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V313" s="19"/>
      <c r="W313" s="19"/>
    </row>
    <row r="314" spans="1:23">
      <c r="A314" s="20"/>
      <c r="B314" s="20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V314" s="19"/>
      <c r="W314" s="19"/>
    </row>
    <row r="315" spans="1:23">
      <c r="A315" s="20"/>
      <c r="B315" s="20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V315" s="19"/>
      <c r="W315" s="19"/>
    </row>
    <row r="316" spans="1:23">
      <c r="A316" s="20"/>
      <c r="B316" s="20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V316" s="19"/>
      <c r="W316" s="19"/>
    </row>
    <row r="317" spans="1:23">
      <c r="A317" s="20"/>
      <c r="B317" s="20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V317" s="19"/>
      <c r="W317" s="19"/>
    </row>
    <row r="318" spans="1:23">
      <c r="A318" s="20"/>
      <c r="B318" s="20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V318" s="19"/>
      <c r="W318" s="19"/>
    </row>
    <row r="319" spans="1:23">
      <c r="A319" s="20"/>
      <c r="B319" s="20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V319" s="19"/>
      <c r="W319" s="19"/>
    </row>
    <row r="320" spans="1:23">
      <c r="A320" s="20"/>
      <c r="B320" s="20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V320" s="19"/>
      <c r="W320" s="19"/>
    </row>
    <row r="321" spans="1:23">
      <c r="A321" s="20"/>
      <c r="B321" s="20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V321" s="19"/>
      <c r="W321" s="19"/>
    </row>
    <row r="322" spans="1:23">
      <c r="A322" s="20"/>
      <c r="B322" s="20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V322" s="19"/>
      <c r="W322" s="19"/>
    </row>
    <row r="323" spans="1:23">
      <c r="A323" s="20"/>
      <c r="B323" s="20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V323" s="19"/>
      <c r="W323" s="19"/>
    </row>
    <row r="324" spans="1:23">
      <c r="A324" s="20"/>
      <c r="B324" s="20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V324" s="19"/>
      <c r="W324" s="19"/>
    </row>
    <row r="325" spans="1:23">
      <c r="A325" s="20"/>
      <c r="B325" s="20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V325" s="19"/>
      <c r="W325" s="19"/>
    </row>
    <row r="326" spans="1:23">
      <c r="A326" s="20"/>
      <c r="B326" s="20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V326" s="19"/>
      <c r="W326" s="19"/>
    </row>
    <row r="327" spans="1:23">
      <c r="A327" s="20"/>
      <c r="B327" s="20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V327" s="19"/>
      <c r="W327" s="19"/>
    </row>
    <row r="328" spans="1:23">
      <c r="A328" s="20"/>
      <c r="B328" s="20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V328" s="19"/>
      <c r="W328" s="19"/>
    </row>
    <row r="329" spans="1:23">
      <c r="A329" s="20"/>
      <c r="B329" s="20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V329" s="19"/>
      <c r="W329" s="19"/>
    </row>
    <row r="330" spans="1:23">
      <c r="A330" s="20"/>
      <c r="B330" s="20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V330" s="19"/>
      <c r="W330" s="19"/>
    </row>
    <row r="331" spans="1:23">
      <c r="A331" s="20"/>
      <c r="B331" s="20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V331" s="19"/>
      <c r="W331" s="19"/>
    </row>
    <row r="332" spans="1:23">
      <c r="A332" s="20"/>
      <c r="B332" s="20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V332" s="19"/>
      <c r="W332" s="19"/>
    </row>
    <row r="333" spans="1:23">
      <c r="A333" s="20"/>
      <c r="B333" s="20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V333" s="19"/>
      <c r="W333" s="19"/>
    </row>
    <row r="334" spans="1:23">
      <c r="A334" s="20"/>
      <c r="B334" s="20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V334" s="19"/>
      <c r="W334" s="19"/>
    </row>
    <row r="335" spans="1:23">
      <c r="A335" s="20"/>
      <c r="B335" s="20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V335" s="19"/>
      <c r="W335" s="19"/>
    </row>
    <row r="336" spans="1:23">
      <c r="A336" s="20"/>
      <c r="B336" s="20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V336" s="19"/>
      <c r="W336" s="19"/>
    </row>
    <row r="337" spans="1:23">
      <c r="A337" s="20"/>
      <c r="B337" s="20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V337" s="19"/>
      <c r="W337" s="19"/>
    </row>
    <row r="338" spans="1:23">
      <c r="A338" s="20"/>
      <c r="B338" s="20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V338" s="19"/>
      <c r="W338" s="19"/>
    </row>
    <row r="339" spans="1:23">
      <c r="A339" s="20"/>
      <c r="B339" s="20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V339" s="19"/>
      <c r="W339" s="19"/>
    </row>
    <row r="340" spans="1:23">
      <c r="A340" s="20"/>
      <c r="B340" s="20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V340" s="19"/>
      <c r="W340" s="19"/>
    </row>
    <row r="341" spans="1:23">
      <c r="A341" s="20"/>
      <c r="B341" s="20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V341" s="19"/>
      <c r="W341" s="19"/>
    </row>
    <row r="342" spans="1:23">
      <c r="A342" s="20"/>
      <c r="B342" s="20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V342" s="19"/>
      <c r="W342" s="19"/>
    </row>
    <row r="343" spans="1:23">
      <c r="A343" s="20"/>
      <c r="B343" s="20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V343" s="19"/>
      <c r="W343" s="19"/>
    </row>
    <row r="344" spans="1:23">
      <c r="A344" s="20"/>
      <c r="B344" s="20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V344" s="19"/>
      <c r="W344" s="19"/>
    </row>
    <row r="345" spans="1:23">
      <c r="A345" s="20"/>
      <c r="B345" s="20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V345" s="19"/>
      <c r="W345" s="19"/>
    </row>
    <row r="346" spans="1:23">
      <c r="A346" s="20"/>
      <c r="B346" s="20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V346" s="19"/>
      <c r="W346" s="19"/>
    </row>
    <row r="347" spans="1:23">
      <c r="A347" s="20"/>
      <c r="B347" s="20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V347" s="19"/>
      <c r="W347" s="19"/>
    </row>
    <row r="348" spans="1:23">
      <c r="A348" s="20"/>
      <c r="B348" s="20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V348" s="19"/>
      <c r="W348" s="19"/>
    </row>
    <row r="349" spans="1:23">
      <c r="A349" s="20"/>
      <c r="B349" s="20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V349" s="19"/>
      <c r="W349" s="19"/>
    </row>
    <row r="350" spans="1:23">
      <c r="A350" s="20"/>
      <c r="B350" s="20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V350" s="19"/>
      <c r="W350" s="19"/>
    </row>
    <row r="351" spans="1:23">
      <c r="A351" s="20"/>
      <c r="B351" s="20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V351" s="19"/>
      <c r="W351" s="19"/>
    </row>
    <row r="352" spans="1:23">
      <c r="A352" s="20"/>
      <c r="B352" s="20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V352" s="19"/>
      <c r="W352" s="19"/>
    </row>
    <row r="353" spans="1:23">
      <c r="A353" s="20"/>
      <c r="B353" s="20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V353" s="19"/>
      <c r="W353" s="19"/>
    </row>
    <row r="354" spans="1:23">
      <c r="A354" s="20"/>
      <c r="B354" s="20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V354" s="19"/>
      <c r="W354" s="19"/>
    </row>
    <row r="355" spans="1:23">
      <c r="A355" s="20"/>
      <c r="B355" s="20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V355" s="19"/>
      <c r="W355" s="19"/>
    </row>
    <row r="356" spans="1:23">
      <c r="A356" s="20"/>
      <c r="B356" s="20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V356" s="19"/>
      <c r="W356" s="19"/>
    </row>
    <row r="357" spans="1:23">
      <c r="A357" s="20"/>
      <c r="B357" s="20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V357" s="19"/>
      <c r="W357" s="19"/>
    </row>
    <row r="358" spans="1:23">
      <c r="A358" s="20"/>
      <c r="B358" s="20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V358" s="19"/>
      <c r="W358" s="19"/>
    </row>
    <row r="359" spans="1:23">
      <c r="A359" s="20"/>
      <c r="B359" s="20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V359" s="19"/>
      <c r="W359" s="19"/>
    </row>
    <row r="360" spans="1:23">
      <c r="A360" s="20"/>
      <c r="B360" s="20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V360" s="19"/>
      <c r="W360" s="19"/>
    </row>
    <row r="361" spans="1:23">
      <c r="A361" s="20"/>
      <c r="B361" s="20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V361" s="19"/>
      <c r="W361" s="19"/>
    </row>
    <row r="362" spans="1:23">
      <c r="A362" s="20"/>
      <c r="B362" s="20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V362" s="19"/>
      <c r="W362" s="19"/>
    </row>
    <row r="363" spans="1:23">
      <c r="A363" s="20"/>
      <c r="B363" s="20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V363" s="19"/>
      <c r="W363" s="19"/>
    </row>
    <row r="364" spans="1:23">
      <c r="A364" s="20"/>
      <c r="B364" s="20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V364" s="19"/>
      <c r="W364" s="19"/>
    </row>
    <row r="365" spans="1:23">
      <c r="A365" s="20"/>
      <c r="B365" s="20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V365" s="19"/>
      <c r="W365" s="19"/>
    </row>
    <row r="366" spans="1:23">
      <c r="A366" s="20"/>
      <c r="B366" s="20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V366" s="19"/>
      <c r="W366" s="19"/>
    </row>
    <row r="367" spans="1:23">
      <c r="A367" s="20"/>
      <c r="B367" s="20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V367" s="19"/>
      <c r="W367" s="19"/>
    </row>
    <row r="368" spans="1:23">
      <c r="A368" s="20"/>
      <c r="B368" s="20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V368" s="19"/>
      <c r="W368" s="19"/>
    </row>
    <row r="369" spans="1:23">
      <c r="A369" s="20"/>
      <c r="B369" s="20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V369" s="19"/>
      <c r="W369" s="19"/>
    </row>
    <row r="370" spans="1:23">
      <c r="A370" s="20"/>
      <c r="B370" s="20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V370" s="19"/>
      <c r="W370" s="19"/>
    </row>
    <row r="371" spans="1:23">
      <c r="A371" s="20"/>
      <c r="B371" s="20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V371" s="19"/>
      <c r="W371" s="19"/>
    </row>
    <row r="372" spans="1:23">
      <c r="A372" s="20"/>
      <c r="B372" s="20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V372" s="19"/>
      <c r="W372" s="19"/>
    </row>
    <row r="373" spans="1:23">
      <c r="A373" s="20"/>
      <c r="B373" s="20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V373" s="19"/>
      <c r="W373" s="19"/>
    </row>
    <row r="374" spans="1:23">
      <c r="A374" s="20"/>
      <c r="B374" s="20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V374" s="19"/>
      <c r="W374" s="19"/>
    </row>
    <row r="375" spans="1:23">
      <c r="A375" s="20"/>
      <c r="B375" s="20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V375" s="19"/>
      <c r="W375" s="19"/>
    </row>
    <row r="376" spans="1:23">
      <c r="A376" s="20"/>
      <c r="B376" s="20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V376" s="19"/>
      <c r="W376" s="19"/>
    </row>
    <row r="377" spans="1:23">
      <c r="A377" s="20"/>
      <c r="B377" s="20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V377" s="19"/>
      <c r="W377" s="19"/>
    </row>
    <row r="378" spans="1:23">
      <c r="A378" s="20"/>
      <c r="B378" s="20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V378" s="19"/>
      <c r="W378" s="19"/>
    </row>
    <row r="379" spans="1:23">
      <c r="A379" s="20"/>
      <c r="B379" s="20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V379" s="19"/>
      <c r="W379" s="19"/>
    </row>
    <row r="380" spans="1:23">
      <c r="A380" s="20"/>
      <c r="B380" s="20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V380" s="19"/>
      <c r="W380" s="19"/>
    </row>
    <row r="381" spans="1:23">
      <c r="A381" s="20"/>
      <c r="B381" s="20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V381" s="19"/>
      <c r="W381" s="19"/>
    </row>
    <row r="382" spans="1:23">
      <c r="A382" s="20"/>
      <c r="B382" s="20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V382" s="19"/>
      <c r="W382" s="19"/>
    </row>
    <row r="383" spans="1:23">
      <c r="A383" s="20"/>
      <c r="B383" s="20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V383" s="19"/>
      <c r="W383" s="19"/>
    </row>
    <row r="384" spans="1:23">
      <c r="A384" s="20"/>
      <c r="B384" s="20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V384" s="19"/>
      <c r="W384" s="19"/>
    </row>
    <row r="385" spans="1:23">
      <c r="A385" s="20"/>
      <c r="B385" s="20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V385" s="19"/>
      <c r="W385" s="19"/>
    </row>
    <row r="386" spans="1:23">
      <c r="A386" s="20"/>
      <c r="B386" s="20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V386" s="19"/>
      <c r="W386" s="19"/>
    </row>
    <row r="387" spans="1:23">
      <c r="A387" s="20"/>
      <c r="B387" s="20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V387" s="19"/>
      <c r="W387" s="19"/>
    </row>
    <row r="388" spans="1:23">
      <c r="A388" s="20"/>
      <c r="B388" s="20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V388" s="19"/>
      <c r="W388" s="19"/>
    </row>
    <row r="389" spans="1:23">
      <c r="A389" s="20"/>
      <c r="B389" s="20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V389" s="19"/>
      <c r="W389" s="19"/>
    </row>
    <row r="390" spans="1:23">
      <c r="A390" s="20"/>
      <c r="B390" s="20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V390" s="19"/>
      <c r="W390" s="19"/>
    </row>
    <row r="391" spans="1:23">
      <c r="A391" s="20"/>
      <c r="B391" s="20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V391" s="19"/>
      <c r="W391" s="19"/>
    </row>
    <row r="392" spans="1:23">
      <c r="A392" s="20"/>
      <c r="B392" s="20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V392" s="19"/>
      <c r="W392" s="19"/>
    </row>
    <row r="393" spans="1:23">
      <c r="A393" s="20"/>
      <c r="B393" s="20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V393" s="19"/>
      <c r="W393" s="19"/>
    </row>
    <row r="394" spans="1:23">
      <c r="A394" s="20"/>
      <c r="B394" s="20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V394" s="19"/>
      <c r="W394" s="19"/>
    </row>
    <row r="395" spans="1:23">
      <c r="A395" s="20"/>
      <c r="B395" s="20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V395" s="19"/>
      <c r="W395" s="19"/>
    </row>
    <row r="396" spans="1:23">
      <c r="A396" s="20"/>
      <c r="B396" s="20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V396" s="19"/>
      <c r="W396" s="19"/>
    </row>
    <row r="397" spans="1:23">
      <c r="A397" s="20"/>
      <c r="B397" s="20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V397" s="19"/>
      <c r="W397" s="19"/>
    </row>
    <row r="398" spans="1:23">
      <c r="A398" s="20"/>
      <c r="B398" s="20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V398" s="19"/>
      <c r="W398" s="19"/>
    </row>
    <row r="399" spans="1:23">
      <c r="A399" s="20"/>
      <c r="B399" s="20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V399" s="19"/>
      <c r="W399" s="19"/>
    </row>
    <row r="400" spans="1:23">
      <c r="A400" s="20"/>
      <c r="B400" s="20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V400" s="19"/>
      <c r="W400" s="19"/>
    </row>
    <row r="401" spans="1:23">
      <c r="A401" s="20"/>
      <c r="B401" s="20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V401" s="19"/>
      <c r="W401" s="19"/>
    </row>
    <row r="402" spans="1:23">
      <c r="A402" s="20"/>
      <c r="B402" s="20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V402" s="19"/>
      <c r="W402" s="19"/>
    </row>
    <row r="403" spans="1:23">
      <c r="A403" s="20"/>
      <c r="B403" s="20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V403" s="19"/>
      <c r="W403" s="19"/>
    </row>
    <row r="404" spans="1:23">
      <c r="A404" s="20"/>
      <c r="B404" s="20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V404" s="19"/>
      <c r="W404" s="19"/>
    </row>
    <row r="405" spans="1:23">
      <c r="A405" s="20"/>
      <c r="B405" s="20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V405" s="19"/>
      <c r="W405" s="19"/>
    </row>
    <row r="406" spans="1:23">
      <c r="A406" s="20"/>
      <c r="B406" s="20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V406" s="19"/>
      <c r="W406" s="19"/>
    </row>
    <row r="407" spans="1:23">
      <c r="A407" s="20"/>
      <c r="B407" s="20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V407" s="19"/>
      <c r="W407" s="19"/>
    </row>
    <row r="408" spans="1:23">
      <c r="A408" s="20"/>
      <c r="B408" s="20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V408" s="19"/>
      <c r="W408" s="19"/>
    </row>
    <row r="409" spans="1:23">
      <c r="A409" s="20"/>
      <c r="B409" s="20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V409" s="19"/>
      <c r="W409" s="19"/>
    </row>
    <row r="410" spans="1:23">
      <c r="A410" s="20"/>
      <c r="B410" s="20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V410" s="19"/>
      <c r="W410" s="19"/>
    </row>
    <row r="411" spans="1:23">
      <c r="A411" s="20"/>
      <c r="B411" s="20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V411" s="19"/>
      <c r="W411" s="19"/>
    </row>
    <row r="412" spans="1:23">
      <c r="A412" s="20"/>
      <c r="B412" s="20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V412" s="19"/>
      <c r="W412" s="19"/>
    </row>
    <row r="413" spans="1:23">
      <c r="A413" s="20"/>
      <c r="B413" s="20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V413" s="19"/>
      <c r="W413" s="19"/>
    </row>
    <row r="414" spans="1:23">
      <c r="A414" s="20"/>
      <c r="B414" s="20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V414" s="19"/>
      <c r="W414" s="19"/>
    </row>
    <row r="415" spans="1:23">
      <c r="A415" s="20"/>
      <c r="B415" s="20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V415" s="19"/>
      <c r="W415" s="19"/>
    </row>
    <row r="416" spans="1:23">
      <c r="A416" s="20"/>
      <c r="B416" s="20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V416" s="19"/>
      <c r="W416" s="19"/>
    </row>
    <row r="417" spans="1:23">
      <c r="A417" s="20"/>
      <c r="B417" s="20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V417" s="19"/>
      <c r="W417" s="19"/>
    </row>
    <row r="418" spans="1:23">
      <c r="A418" s="20"/>
      <c r="B418" s="20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V418" s="19"/>
      <c r="W418" s="19"/>
    </row>
    <row r="419" spans="1:23">
      <c r="A419" s="20"/>
      <c r="B419" s="20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V419" s="19"/>
      <c r="W419" s="19"/>
    </row>
    <row r="420" spans="1:23">
      <c r="A420" s="20"/>
      <c r="B420" s="20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V420" s="19"/>
      <c r="W420" s="19"/>
    </row>
    <row r="421" spans="1:23">
      <c r="A421" s="20"/>
      <c r="B421" s="20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V421" s="19"/>
      <c r="W421" s="19"/>
    </row>
    <row r="422" spans="1:23">
      <c r="A422" s="20"/>
      <c r="B422" s="20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V422" s="19"/>
      <c r="W422" s="19"/>
    </row>
    <row r="423" spans="1:23">
      <c r="A423" s="20"/>
      <c r="B423" s="20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V423" s="19"/>
      <c r="W423" s="19"/>
    </row>
    <row r="424" spans="1:23">
      <c r="A424" s="20"/>
      <c r="B424" s="20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V424" s="19"/>
      <c r="W424" s="19"/>
    </row>
    <row r="425" spans="1:23">
      <c r="A425" s="20"/>
      <c r="B425" s="20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V425" s="19"/>
      <c r="W425" s="19"/>
    </row>
    <row r="426" spans="1:23">
      <c r="A426" s="20"/>
      <c r="B426" s="20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V426" s="19"/>
      <c r="W426" s="19"/>
    </row>
    <row r="427" spans="1:23">
      <c r="A427" s="20"/>
      <c r="B427" s="20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V427" s="19"/>
      <c r="W427" s="19"/>
    </row>
    <row r="428" spans="1:23">
      <c r="A428" s="20"/>
      <c r="B428" s="20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V428" s="19"/>
      <c r="W428" s="19"/>
    </row>
    <row r="429" spans="1:23">
      <c r="A429" s="20"/>
      <c r="B429" s="20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V429" s="19"/>
      <c r="W429" s="19"/>
    </row>
    <row r="430" spans="1:23">
      <c r="A430" s="20"/>
      <c r="B430" s="20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V430" s="19"/>
      <c r="W430" s="19"/>
    </row>
    <row r="431" spans="1:23">
      <c r="A431" s="20"/>
      <c r="B431" s="20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V431" s="19"/>
      <c r="W431" s="19"/>
    </row>
    <row r="432" spans="1:23">
      <c r="A432" s="20"/>
      <c r="B432" s="20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V432" s="19"/>
      <c r="W432" s="19"/>
    </row>
    <row r="433" spans="1:23">
      <c r="A433" s="20"/>
      <c r="B433" s="20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V433" s="19"/>
      <c r="W433" s="19"/>
    </row>
    <row r="434" spans="1:23">
      <c r="A434" s="20"/>
      <c r="B434" s="20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V434" s="19"/>
      <c r="W434" s="19"/>
    </row>
    <row r="435" spans="1:23">
      <c r="A435" s="20"/>
      <c r="B435" s="20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V435" s="19"/>
      <c r="W435" s="19"/>
    </row>
    <row r="436" spans="1:23">
      <c r="A436" s="20"/>
      <c r="B436" s="20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V436" s="19"/>
      <c r="W436" s="19"/>
    </row>
    <row r="437" spans="1:23">
      <c r="A437" s="20"/>
      <c r="B437" s="20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V437" s="19"/>
      <c r="W437" s="19"/>
    </row>
    <row r="438" spans="1:23">
      <c r="A438" s="20"/>
      <c r="B438" s="20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V438" s="19"/>
      <c r="W438" s="19"/>
    </row>
    <row r="439" spans="1:23">
      <c r="A439" s="20"/>
      <c r="B439" s="20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V439" s="19"/>
      <c r="W439" s="19"/>
    </row>
    <row r="440" spans="1:23">
      <c r="A440" s="20"/>
      <c r="B440" s="20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V440" s="19"/>
      <c r="W440" s="19"/>
    </row>
    <row r="441" spans="1:23">
      <c r="A441" s="20"/>
      <c r="B441" s="20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V441" s="19"/>
      <c r="W441" s="19"/>
    </row>
    <row r="442" spans="1:23">
      <c r="A442" s="20"/>
      <c r="B442" s="20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V442" s="19"/>
      <c r="W442" s="19"/>
    </row>
    <row r="443" spans="1:23">
      <c r="A443" s="20"/>
      <c r="B443" s="20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V443" s="19"/>
      <c r="W443" s="19"/>
    </row>
    <row r="444" spans="1:23">
      <c r="A444" s="20"/>
      <c r="B444" s="20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V444" s="19"/>
      <c r="W444" s="19"/>
    </row>
    <row r="445" spans="1:23">
      <c r="A445" s="20"/>
      <c r="B445" s="20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V445" s="19"/>
      <c r="W445" s="19"/>
    </row>
    <row r="446" spans="1:23">
      <c r="A446" s="20"/>
      <c r="B446" s="20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V446" s="19"/>
      <c r="W446" s="19"/>
    </row>
    <row r="447" spans="1:23">
      <c r="A447" s="20"/>
      <c r="B447" s="20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V447" s="19"/>
      <c r="W447" s="19"/>
    </row>
    <row r="448" spans="1:23">
      <c r="A448" s="20"/>
      <c r="B448" s="20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V448" s="19"/>
      <c r="W448" s="19"/>
    </row>
    <row r="449" spans="1:23">
      <c r="A449" s="20"/>
      <c r="B449" s="20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V449" s="19"/>
      <c r="W449" s="19"/>
    </row>
    <row r="450" spans="1:23">
      <c r="A450" s="20"/>
      <c r="B450" s="20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V450" s="19"/>
      <c r="W450" s="19"/>
    </row>
    <row r="451" spans="1:23">
      <c r="A451" s="20"/>
      <c r="B451" s="20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V451" s="19"/>
      <c r="W451" s="19"/>
    </row>
    <row r="452" spans="1:23">
      <c r="A452" s="20"/>
      <c r="B452" s="20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V452" s="19"/>
      <c r="W452" s="19"/>
    </row>
    <row r="453" spans="1:23">
      <c r="A453" s="20"/>
      <c r="B453" s="20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V453" s="19"/>
      <c r="W453" s="19"/>
    </row>
    <row r="454" spans="1:23">
      <c r="A454" s="20"/>
      <c r="B454" s="20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V454" s="19"/>
      <c r="W454" s="19"/>
    </row>
    <row r="455" spans="1:23">
      <c r="A455" s="20"/>
      <c r="B455" s="20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V455" s="19"/>
      <c r="W455" s="19"/>
    </row>
    <row r="456" spans="1:23">
      <c r="A456" s="20"/>
      <c r="B456" s="20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V456" s="19"/>
      <c r="W456" s="19"/>
    </row>
    <row r="457" spans="1:23">
      <c r="A457" s="20"/>
      <c r="B457" s="20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V457" s="19"/>
      <c r="W457" s="19"/>
    </row>
    <row r="458" spans="1:23">
      <c r="A458" s="20"/>
      <c r="B458" s="20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V458" s="19"/>
      <c r="W458" s="19"/>
    </row>
    <row r="459" spans="1:23">
      <c r="A459" s="20"/>
      <c r="B459" s="20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V459" s="19"/>
      <c r="W459" s="19"/>
    </row>
    <row r="460" spans="1:23">
      <c r="A460" s="20"/>
      <c r="B460" s="20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V460" s="19"/>
      <c r="W460" s="19"/>
    </row>
    <row r="461" spans="1:23">
      <c r="A461" s="20"/>
      <c r="B461" s="20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V461" s="19"/>
      <c r="W461" s="19"/>
    </row>
    <row r="462" spans="1:23">
      <c r="A462" s="20"/>
      <c r="B462" s="20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V462" s="19"/>
      <c r="W462" s="19"/>
    </row>
    <row r="463" spans="1:23">
      <c r="A463" s="20"/>
      <c r="B463" s="20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V463" s="19"/>
      <c r="W463" s="19"/>
    </row>
    <row r="464" spans="1:23">
      <c r="A464" s="20"/>
      <c r="B464" s="20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V464" s="19"/>
      <c r="W464" s="19"/>
    </row>
    <row r="465" spans="1:23">
      <c r="A465" s="20"/>
      <c r="B465" s="20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V465" s="19"/>
      <c r="W465" s="19"/>
    </row>
    <row r="466" spans="1:23">
      <c r="A466" s="20"/>
      <c r="B466" s="20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V466" s="19"/>
      <c r="W466" s="19"/>
    </row>
    <row r="467" spans="1:23">
      <c r="A467" s="20"/>
      <c r="B467" s="20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V467" s="19"/>
      <c r="W467" s="19"/>
    </row>
    <row r="468" spans="1:23">
      <c r="A468" s="20"/>
      <c r="B468" s="20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V468" s="19"/>
      <c r="W468" s="19"/>
    </row>
    <row r="469" spans="1:23">
      <c r="A469" s="20"/>
      <c r="B469" s="20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V469" s="19"/>
      <c r="W469" s="19"/>
    </row>
    <row r="470" spans="1:23">
      <c r="A470" s="20"/>
      <c r="B470" s="20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V470" s="19"/>
      <c r="W470" s="19"/>
    </row>
    <row r="471" spans="1:23">
      <c r="A471" s="20"/>
      <c r="B471" s="20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V471" s="19"/>
      <c r="W471" s="19"/>
    </row>
    <row r="472" spans="1:23">
      <c r="A472" s="20"/>
      <c r="B472" s="20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V472" s="19"/>
      <c r="W472" s="19"/>
    </row>
    <row r="473" spans="1:23">
      <c r="A473" s="20"/>
      <c r="B473" s="20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V473" s="19"/>
      <c r="W473" s="19"/>
    </row>
    <row r="474" spans="1:23">
      <c r="A474" s="20"/>
      <c r="B474" s="20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V474" s="19"/>
      <c r="W474" s="19"/>
    </row>
    <row r="475" spans="1:23">
      <c r="A475" s="20"/>
      <c r="B475" s="20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V475" s="19"/>
      <c r="W475" s="19"/>
    </row>
    <row r="476" spans="1:23">
      <c r="A476" s="20"/>
      <c r="B476" s="20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V476" s="19"/>
      <c r="W476" s="19"/>
    </row>
    <row r="477" spans="1:23">
      <c r="A477" s="20"/>
      <c r="B477" s="20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V477" s="19"/>
      <c r="W477" s="19"/>
    </row>
    <row r="478" spans="1:23">
      <c r="A478" s="20"/>
      <c r="B478" s="20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V478" s="19"/>
      <c r="W478" s="19"/>
    </row>
    <row r="479" spans="1:23">
      <c r="A479" s="20"/>
      <c r="B479" s="20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V479" s="19"/>
      <c r="W479" s="19"/>
    </row>
    <row r="480" spans="1:23">
      <c r="A480" s="20"/>
      <c r="B480" s="20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V480" s="19"/>
      <c r="W480" s="19"/>
    </row>
    <row r="481" spans="1:23">
      <c r="A481" s="20"/>
      <c r="B481" s="20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V481" s="19"/>
      <c r="W481" s="19"/>
    </row>
    <row r="482" spans="1:23">
      <c r="A482" s="20"/>
      <c r="B482" s="20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V482" s="19"/>
      <c r="W482" s="19"/>
    </row>
    <row r="483" spans="1:23">
      <c r="A483" s="20"/>
      <c r="B483" s="20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V483" s="19"/>
      <c r="W483" s="19"/>
    </row>
    <row r="484" spans="1:23">
      <c r="A484" s="20"/>
      <c r="B484" s="20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V484" s="19"/>
      <c r="W484" s="19"/>
    </row>
    <row r="485" spans="1:23">
      <c r="A485" s="20"/>
      <c r="B485" s="20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V485" s="19"/>
      <c r="W485" s="19"/>
    </row>
    <row r="486" spans="1:23">
      <c r="A486" s="20"/>
      <c r="B486" s="20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V486" s="19"/>
      <c r="W486" s="19"/>
    </row>
    <row r="487" spans="1:23">
      <c r="A487" s="20"/>
      <c r="B487" s="20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V487" s="19"/>
      <c r="W487" s="19"/>
    </row>
    <row r="488" spans="1:23">
      <c r="A488" s="20"/>
      <c r="B488" s="20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V488" s="19"/>
      <c r="W488" s="19"/>
    </row>
    <row r="489" spans="1:23">
      <c r="A489" s="20"/>
      <c r="B489" s="20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V489" s="19"/>
      <c r="W489" s="19"/>
    </row>
    <row r="490" spans="1:23">
      <c r="A490" s="20"/>
      <c r="B490" s="20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V490" s="19"/>
      <c r="W490" s="19"/>
    </row>
    <row r="491" spans="1:23">
      <c r="A491" s="20"/>
      <c r="B491" s="20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V491" s="19"/>
      <c r="W491" s="19"/>
    </row>
    <row r="492" spans="1:23">
      <c r="A492" s="20"/>
      <c r="B492" s="20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V492" s="19"/>
      <c r="W492" s="19"/>
    </row>
    <row r="493" spans="1:23">
      <c r="A493" s="20"/>
      <c r="B493" s="20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V493" s="19"/>
      <c r="W493" s="19"/>
    </row>
    <row r="494" spans="1:23">
      <c r="A494" s="20"/>
      <c r="B494" s="20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V494" s="19"/>
      <c r="W494" s="19"/>
    </row>
    <row r="495" spans="1:23">
      <c r="A495" s="20"/>
      <c r="B495" s="20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V495" s="19"/>
      <c r="W495" s="19"/>
    </row>
    <row r="496" spans="1:23">
      <c r="A496" s="20"/>
      <c r="B496" s="20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V496" s="19"/>
      <c r="W496" s="19"/>
    </row>
    <row r="497" spans="1:23">
      <c r="A497" s="20"/>
      <c r="B497" s="20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V497" s="19"/>
      <c r="W497" s="19"/>
    </row>
    <row r="498" spans="1:23">
      <c r="A498" s="20"/>
      <c r="B498" s="20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V498" s="19"/>
      <c r="W498" s="19"/>
    </row>
    <row r="499" spans="1:23">
      <c r="A499" s="20"/>
      <c r="B499" s="20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V499" s="19"/>
      <c r="W499" s="19"/>
    </row>
    <row r="500" spans="1:23">
      <c r="A500" s="20"/>
      <c r="B500" s="20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V500" s="19"/>
      <c r="W500" s="19"/>
    </row>
    <row r="501" spans="1:23">
      <c r="A501" s="20"/>
      <c r="B501" s="20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V501" s="19"/>
      <c r="W501" s="19"/>
    </row>
    <row r="502" spans="1:23">
      <c r="A502" s="20"/>
      <c r="B502" s="20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V502" s="19"/>
      <c r="W502" s="19"/>
    </row>
    <row r="503" spans="1:23">
      <c r="A503" s="20"/>
      <c r="B503" s="20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V503" s="19"/>
      <c r="W503" s="19"/>
    </row>
    <row r="504" spans="1:23">
      <c r="A504" s="20"/>
      <c r="B504" s="20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V504" s="19"/>
      <c r="W504" s="19"/>
    </row>
    <row r="505" spans="1:23">
      <c r="A505" s="20"/>
      <c r="B505" s="20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V505" s="19"/>
      <c r="W505" s="19"/>
    </row>
    <row r="506" spans="1:23">
      <c r="A506" s="20"/>
      <c r="B506" s="20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V506" s="19"/>
      <c r="W506" s="19"/>
    </row>
    <row r="507" spans="1:23">
      <c r="A507" s="20"/>
      <c r="B507" s="20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V507" s="19"/>
      <c r="W507" s="19"/>
    </row>
    <row r="508" spans="1:23">
      <c r="A508" s="20"/>
      <c r="B508" s="20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V508" s="19"/>
      <c r="W508" s="19"/>
    </row>
    <row r="509" spans="1:23">
      <c r="A509" s="20"/>
      <c r="B509" s="20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V509" s="19"/>
      <c r="W509" s="19"/>
    </row>
    <row r="510" spans="1:23">
      <c r="A510" s="20"/>
      <c r="B510" s="20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V510" s="19"/>
      <c r="W510" s="19"/>
    </row>
    <row r="511" spans="1:23">
      <c r="A511" s="20"/>
      <c r="B511" s="20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V511" s="19"/>
      <c r="W511" s="19"/>
    </row>
    <row r="512" spans="1:23">
      <c r="A512" s="20"/>
      <c r="B512" s="20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V512" s="19"/>
      <c r="W512" s="19"/>
    </row>
    <row r="513" spans="1:23">
      <c r="A513" s="20"/>
      <c r="B513" s="20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V513" s="19"/>
      <c r="W513" s="19"/>
    </row>
    <row r="514" spans="1:23">
      <c r="A514" s="20"/>
      <c r="B514" s="20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V514" s="19"/>
      <c r="W514" s="19"/>
    </row>
    <row r="515" spans="1:23">
      <c r="A515" s="20"/>
      <c r="B515" s="20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V515" s="19"/>
      <c r="W515" s="19"/>
    </row>
    <row r="516" spans="1:23">
      <c r="A516" s="20"/>
      <c r="B516" s="20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V516" s="19"/>
      <c r="W516" s="19"/>
    </row>
    <row r="517" spans="1:23">
      <c r="A517" s="20"/>
      <c r="B517" s="20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V517" s="19"/>
      <c r="W517" s="19"/>
    </row>
    <row r="518" spans="1:23">
      <c r="A518" s="18"/>
      <c r="B518" s="18"/>
      <c r="C518" s="18"/>
    </row>
    <row r="519" spans="1:23">
      <c r="A519" s="18"/>
      <c r="B519" s="18"/>
      <c r="C519" s="18"/>
    </row>
    <row r="520" spans="1:23">
      <c r="A520" s="18"/>
      <c r="B520" s="18"/>
      <c r="C520" s="18"/>
    </row>
    <row r="521" spans="1:23">
      <c r="A521" s="18"/>
      <c r="B521" s="18"/>
      <c r="C521" s="18"/>
    </row>
    <row r="522" spans="1:23">
      <c r="A522" s="18"/>
      <c r="B522" s="18"/>
      <c r="C522" s="18"/>
    </row>
    <row r="523" spans="1:23">
      <c r="A523" s="18"/>
      <c r="B523" s="18"/>
      <c r="C523" s="18"/>
    </row>
    <row r="524" spans="1:23">
      <c r="A524" s="18"/>
      <c r="B524" s="18"/>
      <c r="C524" s="18"/>
    </row>
    <row r="525" spans="1:23">
      <c r="A525" s="18"/>
      <c r="B525" s="18"/>
      <c r="C525" s="18"/>
    </row>
    <row r="526" spans="1:23">
      <c r="A526" s="18"/>
      <c r="B526" s="18"/>
      <c r="C526" s="18"/>
    </row>
    <row r="527" spans="1:23">
      <c r="A527" s="18"/>
      <c r="B527" s="18"/>
      <c r="C527" s="18"/>
    </row>
    <row r="528" spans="1:23">
      <c r="A528" s="18"/>
      <c r="B528" s="18"/>
      <c r="C528" s="18"/>
    </row>
    <row r="529" spans="1:3">
      <c r="A529" s="18"/>
      <c r="B529" s="18"/>
      <c r="C529" s="18"/>
    </row>
    <row r="530" spans="1:3">
      <c r="A530" s="18"/>
      <c r="B530" s="18"/>
      <c r="C530" s="18"/>
    </row>
    <row r="531" spans="1:3">
      <c r="A531" s="18"/>
      <c r="B531" s="18"/>
      <c r="C531" s="18"/>
    </row>
    <row r="532" spans="1:3">
      <c r="A532" s="18"/>
      <c r="B532" s="18"/>
      <c r="C532" s="18"/>
    </row>
    <row r="533" spans="1:3">
      <c r="A533" s="18"/>
      <c r="B533" s="18"/>
      <c r="C533" s="18"/>
    </row>
    <row r="534" spans="1:3">
      <c r="A534" s="18"/>
      <c r="B534" s="18"/>
      <c r="C534" s="18"/>
    </row>
    <row r="535" spans="1:3">
      <c r="A535" s="18"/>
      <c r="B535" s="18"/>
      <c r="C535" s="18"/>
    </row>
    <row r="536" spans="1:3">
      <c r="A536" s="18"/>
      <c r="B536" s="18"/>
      <c r="C536" s="18"/>
    </row>
    <row r="537" spans="1:3">
      <c r="A537" s="18"/>
      <c r="B537" s="18"/>
      <c r="C537" s="18"/>
    </row>
    <row r="538" spans="1:3">
      <c r="A538" s="18"/>
      <c r="B538" s="18"/>
      <c r="C538" s="18"/>
    </row>
    <row r="539" spans="1:3">
      <c r="A539" s="18"/>
      <c r="B539" s="18"/>
      <c r="C539" s="18"/>
    </row>
    <row r="540" spans="1:3">
      <c r="A540" s="18"/>
      <c r="B540" s="18"/>
      <c r="C540" s="18"/>
    </row>
    <row r="541" spans="1:3">
      <c r="A541" s="18"/>
      <c r="B541" s="18"/>
      <c r="C541" s="18"/>
    </row>
    <row r="542" spans="1:3">
      <c r="A542" s="18"/>
      <c r="B542" s="18"/>
      <c r="C542" s="18"/>
    </row>
    <row r="543" spans="1:3">
      <c r="A543" s="18"/>
      <c r="B543" s="18"/>
      <c r="C543" s="18"/>
    </row>
    <row r="544" spans="1:3">
      <c r="A544" s="18"/>
      <c r="B544" s="18"/>
      <c r="C544" s="18"/>
    </row>
    <row r="545" spans="1:3">
      <c r="A545" s="18"/>
      <c r="B545" s="18"/>
      <c r="C545" s="18"/>
    </row>
    <row r="546" spans="1:3">
      <c r="A546" s="18"/>
      <c r="B546" s="18"/>
      <c r="C546" s="18"/>
    </row>
    <row r="547" spans="1:3">
      <c r="A547" s="18"/>
      <c r="B547" s="18"/>
      <c r="C547" s="18"/>
    </row>
    <row r="548" spans="1:3">
      <c r="A548" s="18"/>
      <c r="B548" s="18"/>
      <c r="C548" s="18"/>
    </row>
    <row r="549" spans="1:3">
      <c r="A549" s="18"/>
      <c r="B549" s="18"/>
      <c r="C549" s="18"/>
    </row>
    <row r="550" spans="1:3">
      <c r="A550" s="18"/>
      <c r="B550" s="18"/>
      <c r="C550" s="18"/>
    </row>
    <row r="551" spans="1:3">
      <c r="A551" s="18"/>
      <c r="B551" s="18"/>
      <c r="C551" s="18"/>
    </row>
    <row r="552" spans="1:3">
      <c r="A552" s="18"/>
      <c r="B552" s="18"/>
      <c r="C552" s="18"/>
    </row>
    <row r="553" spans="1:3">
      <c r="A553" s="18"/>
      <c r="B553" s="18"/>
      <c r="C553" s="18"/>
    </row>
    <row r="554" spans="1:3">
      <c r="A554" s="18"/>
      <c r="B554" s="18"/>
      <c r="C554" s="18"/>
    </row>
    <row r="555" spans="1:3">
      <c r="A555" s="18"/>
      <c r="B555" s="18"/>
      <c r="C555" s="18"/>
    </row>
    <row r="556" spans="1:3">
      <c r="A556" s="18"/>
      <c r="B556" s="18"/>
      <c r="C556" s="18"/>
    </row>
    <row r="557" spans="1:3">
      <c r="A557" s="18"/>
      <c r="B557" s="18"/>
      <c r="C557" s="18"/>
    </row>
    <row r="558" spans="1:3">
      <c r="A558" s="18"/>
      <c r="B558" s="18"/>
      <c r="C558" s="18"/>
    </row>
    <row r="559" spans="1:3">
      <c r="A559" s="18"/>
      <c r="B559" s="18"/>
      <c r="C559" s="18"/>
    </row>
    <row r="560" spans="1:3">
      <c r="A560" s="18"/>
      <c r="B560" s="18"/>
      <c r="C560" s="18"/>
    </row>
    <row r="561" spans="1:3">
      <c r="A561" s="18"/>
      <c r="B561" s="18"/>
      <c r="C561" s="18"/>
    </row>
    <row r="562" spans="1:3">
      <c r="A562" s="18"/>
      <c r="B562" s="18"/>
      <c r="C562" s="18"/>
    </row>
    <row r="563" spans="1:3">
      <c r="A563" s="18"/>
      <c r="B563" s="18"/>
      <c r="C563" s="18"/>
    </row>
    <row r="564" spans="1:3">
      <c r="A564" s="18"/>
      <c r="B564" s="18"/>
      <c r="C564" s="18"/>
    </row>
  </sheetData>
  <pageMargins left="0.7" right="0.7" top="0.75" bottom="0.75" header="0.3" footer="0.3"/>
  <pageSetup paperSize="9" orientation="portrait"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04A7A-CCA6-4B78-AE8C-BF97BE6D68A3}">
  <dimension ref="A1:G30"/>
  <sheetViews>
    <sheetView tabSelected="1" topLeftCell="A7" zoomScale="55" zoomScaleNormal="55" workbookViewId="0">
      <selection activeCell="D18" sqref="D18"/>
    </sheetView>
  </sheetViews>
  <sheetFormatPr baseColWidth="10" defaultRowHeight="15"/>
  <cols>
    <col min="1" max="1" width="39.140625" bestFit="1" customWidth="1"/>
    <col min="2" max="2" width="30.7109375" customWidth="1"/>
    <col min="3" max="3" width="23.5703125" customWidth="1"/>
    <col min="4" max="4" width="23" customWidth="1"/>
    <col min="5" max="5" width="19.140625" customWidth="1"/>
  </cols>
  <sheetData>
    <row r="1" spans="1:7" ht="32.25" customHeight="1">
      <c r="A1" s="9" t="s">
        <v>261</v>
      </c>
      <c r="B1" s="13"/>
      <c r="C1" s="13"/>
      <c r="D1" s="13"/>
      <c r="E1" s="13"/>
      <c r="F1" s="8"/>
      <c r="G1" s="8"/>
    </row>
    <row r="2" spans="1:7" ht="40.5" customHeight="1">
      <c r="A2" s="13"/>
      <c r="B2" s="14"/>
      <c r="C2" s="14"/>
      <c r="D2" s="15"/>
      <c r="E2" s="15"/>
      <c r="F2" s="8"/>
      <c r="G2" s="8"/>
    </row>
    <row r="3" spans="1:7" ht="36" customHeight="1">
      <c r="A3" s="9" t="s">
        <v>236</v>
      </c>
      <c r="B3" s="9" t="s">
        <v>227</v>
      </c>
      <c r="C3" s="9" t="s">
        <v>1</v>
      </c>
      <c r="D3" s="9" t="s">
        <v>229</v>
      </c>
      <c r="E3" s="9" t="s">
        <v>223</v>
      </c>
      <c r="F3" s="8"/>
      <c r="G3" s="8"/>
    </row>
    <row r="4" spans="1:7" ht="30" customHeight="1">
      <c r="A4" s="9" t="s">
        <v>234</v>
      </c>
      <c r="B4" s="10">
        <f>AVERAGE('Synthese-Electricite'!F:F)</f>
        <v>105523.2613819445</v>
      </c>
      <c r="C4" s="10">
        <f>AVERAGE('Synthese-Electricite'!H:H)</f>
        <v>185.80000000000007</v>
      </c>
      <c r="D4" s="11">
        <f>AVERAGE('Synthese-Electricite'!I:I)</f>
        <v>0.99777777777777765</v>
      </c>
      <c r="E4" s="11">
        <f>AVERAGE('Synthese-Electricite'!B:B)</f>
        <v>-3861.4547058823537</v>
      </c>
      <c r="F4" s="8"/>
      <c r="G4" s="8"/>
    </row>
    <row r="5" spans="1:7" ht="39" customHeight="1">
      <c r="A5" s="9" t="s">
        <v>237</v>
      </c>
      <c r="B5" s="10">
        <f>_xlfn.STDEV.P('Synthese-Electricite'!F:F)</f>
        <v>16392.508338854423</v>
      </c>
      <c r="C5" s="10">
        <f>_xlfn.STDEV.P('Synthese-Electricite'!H:H)</f>
        <v>102.05131264821196</v>
      </c>
      <c r="D5" s="11">
        <f>_xlfn.STDEV.P('Synthese-Electricite'!I:I)</f>
        <v>0.29305341863359857</v>
      </c>
      <c r="E5" s="11">
        <f>_xlfn.STDEV.P('Synthese-Electricite'!B:B)</f>
        <v>2394.4073866144072</v>
      </c>
      <c r="F5" s="8"/>
      <c r="G5" s="8"/>
    </row>
    <row r="6" spans="1:7" ht="32.25" customHeight="1">
      <c r="A6" s="9" t="s">
        <v>238</v>
      </c>
      <c r="B6" s="10">
        <f>MIN('Synthese-Electricite'!F:F)</f>
        <v>67857.819000000003</v>
      </c>
      <c r="C6" s="10">
        <f>MIN('Synthese-Electricite'!H:H)</f>
        <v>17.2</v>
      </c>
      <c r="D6" s="11">
        <f>MIN('Synthese-Electricite'!I:I)</f>
        <v>0.23200000000000001</v>
      </c>
      <c r="E6" s="11">
        <f>MIN('Synthese-Electricite'!B:B)</f>
        <v>-8166.72</v>
      </c>
      <c r="F6" s="8"/>
      <c r="G6" s="8"/>
    </row>
    <row r="7" spans="1:7" ht="31.5" customHeight="1">
      <c r="A7" s="9" t="s">
        <v>235</v>
      </c>
      <c r="B7" s="10">
        <f>MAX('Synthese-Electricite'!F:F)</f>
        <v>142068.386</v>
      </c>
      <c r="C7" s="10">
        <f>MAX('Synthese-Electricite'!H:H)</f>
        <v>415.5</v>
      </c>
      <c r="D7" s="11">
        <f>MAX('Synthese-Electricite'!I:I)</f>
        <v>2.069</v>
      </c>
      <c r="E7" s="11">
        <f>MAX('Synthese-Electricite'!B:B)</f>
        <v>3318.835</v>
      </c>
      <c r="F7" s="8"/>
      <c r="G7" s="8"/>
    </row>
    <row r="8" spans="1:7" ht="62.25" customHeight="1">
      <c r="A8" s="4" t="s">
        <v>239</v>
      </c>
      <c r="B8" s="12">
        <f>B5/B4</f>
        <v>0.15534497440826117</v>
      </c>
      <c r="C8" s="12">
        <f>C5/C4</f>
        <v>0.54925356645969814</v>
      </c>
      <c r="D8" s="12">
        <f>D5/D4</f>
        <v>0.29370609885327253</v>
      </c>
      <c r="E8" s="12">
        <f>ABS(E5/E4)</f>
        <v>0.62007910722528548</v>
      </c>
      <c r="F8" s="8"/>
      <c r="G8" s="8"/>
    </row>
    <row r="9" spans="1:7" ht="38.25" customHeight="1">
      <c r="A9" s="13"/>
      <c r="B9" s="13"/>
      <c r="C9" s="13"/>
      <c r="D9" s="13"/>
      <c r="E9" s="13"/>
      <c r="F9" s="8"/>
      <c r="G9" s="8"/>
    </row>
    <row r="10" spans="1:7" ht="35.25" customHeight="1">
      <c r="A10" s="21" t="s">
        <v>262</v>
      </c>
      <c r="B10" s="22"/>
      <c r="C10" s="14"/>
      <c r="D10" s="15"/>
      <c r="E10" s="15"/>
      <c r="F10" s="8"/>
      <c r="G10" s="8"/>
    </row>
    <row r="11" spans="1:7" ht="34.5" customHeight="1">
      <c r="A11" s="13"/>
      <c r="B11" s="22"/>
      <c r="C11" s="14"/>
      <c r="D11" s="15"/>
      <c r="E11" s="15"/>
      <c r="F11" s="8"/>
      <c r="G11" s="8"/>
    </row>
    <row r="12" spans="1:7" ht="39" customHeight="1">
      <c r="A12" s="21" t="s">
        <v>263</v>
      </c>
      <c r="B12" s="23">
        <f>CORREL('Synthese-Electricite'!F:F, 'Synthese-Electricite'!H:H)</f>
        <v>0.76373052479829695</v>
      </c>
      <c r="C12" s="14"/>
      <c r="D12" s="15"/>
      <c r="E12" s="15"/>
      <c r="F12" s="8"/>
      <c r="G12" s="8"/>
    </row>
    <row r="13" spans="1:7" ht="36" customHeight="1">
      <c r="A13" s="21" t="s">
        <v>264</v>
      </c>
      <c r="B13" s="23">
        <f>RSQ('Synthese-Electricite'!F:F, 'Synthese-Electricite'!H:H)</f>
        <v>0.58328431450868212</v>
      </c>
      <c r="C13" s="14"/>
      <c r="D13" s="15"/>
      <c r="E13" s="15"/>
      <c r="F13" s="8"/>
      <c r="G13" s="8"/>
    </row>
    <row r="14" spans="1:7" ht="30" customHeight="1">
      <c r="A14" s="21" t="s">
        <v>265</v>
      </c>
      <c r="B14" s="23">
        <f>SLOPE('Synthese-Electricite'!F:F, 'Synthese-Electricite'!H:H)</f>
        <v>117.98273489754456</v>
      </c>
      <c r="C14" s="17"/>
      <c r="D14" s="17"/>
      <c r="E14" s="17"/>
      <c r="F14" s="8"/>
      <c r="G14" s="8"/>
    </row>
    <row r="15" spans="1:7" ht="37.5" customHeight="1">
      <c r="A15" s="21" t="s">
        <v>266</v>
      </c>
      <c r="B15" s="23">
        <f>INTERCEPT('Synthese-Electricite'!F:F, 'Synthese-Electricite'!H:H)</f>
        <v>91237.417935140227</v>
      </c>
      <c r="C15" s="8"/>
      <c r="D15" s="8"/>
      <c r="E15" s="8"/>
      <c r="F15" s="8"/>
      <c r="G15" s="8"/>
    </row>
    <row r="16" spans="1:7" ht="56.25" customHeight="1">
      <c r="A16" s="8"/>
      <c r="B16" s="8"/>
      <c r="C16" s="8"/>
      <c r="D16" s="8"/>
      <c r="E16" s="8"/>
      <c r="F16" s="8"/>
      <c r="G16" s="8"/>
    </row>
    <row r="17" spans="1:6" ht="60" customHeight="1"/>
    <row r="18" spans="1:6" ht="60" customHeight="1">
      <c r="A18" s="8"/>
      <c r="B18" s="8"/>
      <c r="C18" s="8"/>
      <c r="D18" s="8"/>
      <c r="E18" s="8"/>
      <c r="F18" s="8"/>
    </row>
    <row r="19" spans="1:6">
      <c r="A19" s="8"/>
      <c r="B19" s="8"/>
      <c r="C19" s="8"/>
      <c r="D19" s="8"/>
      <c r="E19" s="8"/>
      <c r="F19" s="8"/>
    </row>
    <row r="20" spans="1:6">
      <c r="A20" s="8"/>
      <c r="B20" s="8"/>
      <c r="C20" s="8"/>
      <c r="D20" s="8"/>
      <c r="E20" s="8"/>
      <c r="F20" s="8"/>
    </row>
    <row r="21" spans="1:6">
      <c r="A21" s="13"/>
      <c r="B21" s="13"/>
      <c r="C21" s="13"/>
      <c r="D21" s="13"/>
      <c r="E21" s="13"/>
      <c r="F21" s="8"/>
    </row>
    <row r="22" spans="1:6">
      <c r="A22" s="13"/>
      <c r="B22" s="14"/>
      <c r="C22" s="14"/>
      <c r="D22" s="15"/>
      <c r="E22" s="15"/>
      <c r="F22" s="8"/>
    </row>
    <row r="23" spans="1:6">
      <c r="A23" s="13"/>
      <c r="B23" s="14"/>
      <c r="C23" s="14"/>
      <c r="D23" s="15"/>
      <c r="E23" s="15"/>
      <c r="F23" s="8"/>
    </row>
    <row r="24" spans="1:6">
      <c r="A24" s="13"/>
      <c r="B24" s="14"/>
      <c r="C24" s="14"/>
      <c r="D24" s="15"/>
      <c r="E24" s="15"/>
      <c r="F24" s="8"/>
    </row>
    <row r="25" spans="1:6">
      <c r="A25" s="13"/>
      <c r="B25" s="14"/>
      <c r="C25" s="14"/>
      <c r="D25" s="15"/>
      <c r="E25" s="15"/>
      <c r="F25" s="8"/>
    </row>
    <row r="26" spans="1:6">
      <c r="A26" s="16"/>
      <c r="B26" s="17"/>
      <c r="C26" s="17"/>
      <c r="D26" s="17"/>
      <c r="E26" s="17"/>
      <c r="F26" s="8"/>
    </row>
    <row r="27" spans="1:6">
      <c r="A27" s="8"/>
      <c r="B27" s="8"/>
      <c r="C27" s="8"/>
      <c r="D27" s="8"/>
      <c r="E27" s="8"/>
      <c r="F27" s="8"/>
    </row>
    <row r="28" spans="1:6">
      <c r="A28" s="8"/>
      <c r="B28" s="8"/>
      <c r="C28" s="8"/>
      <c r="D28" s="8"/>
      <c r="E28" s="8"/>
      <c r="F28" s="8"/>
    </row>
    <row r="29" spans="1:6">
      <c r="A29" s="8"/>
      <c r="B29" s="8"/>
      <c r="C29" s="8"/>
      <c r="D29" s="8"/>
      <c r="E29" s="8"/>
      <c r="F29" s="8"/>
    </row>
    <row r="30" spans="1:6">
      <c r="A30" s="8"/>
      <c r="B30" s="8"/>
      <c r="C30" s="8"/>
      <c r="D30" s="8"/>
      <c r="E30" s="8"/>
      <c r="F30" s="8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CA5360-61A3-48CE-B4D0-252135EB41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Synthese-Electricite</vt:lpstr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BOUNOUARA ADAM p2501332</dc:creator>
  <cp:lastModifiedBy>BOUNOUARA ADAM p2501332</cp:lastModifiedBy>
  <dcterms:created xsi:type="dcterms:W3CDTF">2026-05-06T09:05:46Z</dcterms:created>
  <dcterms:modified xsi:type="dcterms:W3CDTF">2026-05-07T10:27:05Z</dcterms:modified>
</cp:coreProperties>
</file>